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itconsultinginc-my.sharepoint.com/personal/tania_tmit_ca/Documents/Documents/juan/"/>
    </mc:Choice>
  </mc:AlternateContent>
  <xr:revisionPtr revIDLastSave="1303" documentId="8_{83DDBB69-7F4A-46CD-ACC0-018C1490C46A}" xr6:coauthVersionLast="47" xr6:coauthVersionMax="47" xr10:uidLastSave="{23CDE7F0-0981-440A-B445-33270A6C0D9D}"/>
  <bookViews>
    <workbookView xWindow="-83" yWindow="-83" windowWidth="21766" windowHeight="13846" xr2:uid="{31983A38-D63B-4FA8-88B6-3E71796A7FE1}"/>
  </bookViews>
  <sheets>
    <sheet name="75" sheetId="1" r:id="rId1"/>
    <sheet name="78" sheetId="2" r:id="rId2"/>
    <sheet name="80" sheetId="3" r:id="rId3"/>
    <sheet name="82" sheetId="4" r:id="rId4"/>
    <sheet name="85" sheetId="5" r:id="rId5"/>
    <sheet name="88" sheetId="6" r:id="rId6"/>
    <sheet name="90" sheetId="7" r:id="rId7"/>
    <sheet name="comparison" sheetId="8" r:id="rId8"/>
  </sheets>
  <definedNames>
    <definedName name="_xlnm._FilterDatabase" localSheetId="0" hidden="1">'75'!$A$1:$F$1</definedName>
    <definedName name="_xlnm._FilterDatabase" localSheetId="1" hidden="1">'78'!$A$1:$F$1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8" l="1" a="1"/>
  <c r="H6" i="8" s="1"/>
  <c r="G6" i="8" a="1"/>
  <c r="G6" i="8" s="1"/>
  <c r="F6" i="8" a="1"/>
  <c r="F6" i="8" s="1"/>
  <c r="E6" i="8" a="1"/>
  <c r="E6" i="8" s="1"/>
  <c r="D6" i="8" a="1"/>
  <c r="D6" i="8" s="1"/>
  <c r="C6" i="8" a="1"/>
  <c r="C6" i="8" s="1"/>
  <c r="B6" i="8" a="1"/>
  <c r="B6" i="8" s="1"/>
  <c r="E2" i="8" a="1"/>
  <c r="E2" i="8" s="1"/>
  <c r="F2" i="8" a="1"/>
  <c r="F2" i="8" s="1"/>
  <c r="G2" i="8" a="1"/>
  <c r="G2" i="8" s="1"/>
  <c r="H2" i="8" a="1"/>
  <c r="H2" i="8" s="1"/>
  <c r="D2" i="8" a="1"/>
  <c r="D2" i="8" s="1"/>
  <c r="C2" i="8" a="1"/>
  <c r="C2" i="8" s="1"/>
  <c r="B2" i="8" a="1"/>
  <c r="B2" i="8" s="1"/>
  <c r="J3" i="7" l="1"/>
  <c r="J2" i="7"/>
  <c r="I3" i="7"/>
  <c r="I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2" i="7"/>
  <c r="F2" i="6"/>
  <c r="I3" i="6"/>
  <c r="J3" i="6" s="1"/>
  <c r="I2" i="6"/>
  <c r="J2" i="6" s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2" i="5"/>
  <c r="I2" i="5" s="1"/>
  <c r="J2" i="5" s="1"/>
  <c r="I3" i="5"/>
  <c r="J3" i="5" s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" i="4"/>
  <c r="I3" i="4"/>
  <c r="J3" i="4" s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2" i="3"/>
  <c r="I3" i="3" s="1"/>
  <c r="J3" i="3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2" i="2"/>
  <c r="I3" i="2"/>
  <c r="J3" i="2" s="1"/>
  <c r="I2" i="2"/>
  <c r="J2" i="2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J3" i="1"/>
  <c r="J2" i="1"/>
  <c r="I3" i="1"/>
  <c r="I2" i="1"/>
  <c r="I2" i="4" l="1"/>
  <c r="J2" i="4" s="1"/>
  <c r="I2" i="3"/>
  <c r="J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<sst xmlns="http://schemas.openxmlformats.org/spreadsheetml/2006/main" count="7285" uniqueCount="1207">
  <si>
    <t>name1</t>
  </si>
  <si>
    <t>name2</t>
  </si>
  <si>
    <t>id1</t>
  </si>
  <si>
    <t>id2</t>
  </si>
  <si>
    <t>similarity_score</t>
  </si>
  <si>
    <t>ahmed khalid al-rawi</t>
  </si>
  <si>
    <t>ahmed al-rawi</t>
  </si>
  <si>
    <t>sean c anderson</t>
  </si>
  <si>
    <t>aspen m anderson</t>
  </si>
  <si>
    <t>sam anderson</t>
  </si>
  <si>
    <t>benjamin anderson</t>
  </si>
  <si>
    <t>michael m adachi</t>
  </si>
  <si>
    <t>michael adamski</t>
  </si>
  <si>
    <t>gail s anderson</t>
  </si>
  <si>
    <t>taylor m anderson</t>
  </si>
  <si>
    <t>juan josÃ© alava</t>
  </si>
  <si>
    <t>juan jose alava saltos</t>
  </si>
  <si>
    <t>ribwar ahmadi</t>
  </si>
  <si>
    <t>parisa ahmadi</t>
  </si>
  <si>
    <t>mohammad akbari</t>
  </si>
  <si>
    <t>mohammad amani</t>
  </si>
  <si>
    <t>kathleen a akins</t>
  </si>
  <si>
    <t>kathleen akinsc</t>
  </si>
  <si>
    <t>hafiz munsub ali</t>
  </si>
  <si>
    <t>munsub ali</t>
  </si>
  <si>
    <t>oluwafemi akintola</t>
  </si>
  <si>
    <t>oluwafemi s akintola</t>
  </si>
  <si>
    <t>payam ahmadvand</t>
  </si>
  <si>
    <t>maryam ahmadzadeh</t>
  </si>
  <si>
    <t>hossein asghari</t>
  </si>
  <si>
    <t>amirhossein ansari</t>
  </si>
  <si>
    <t>niloufar abhari</t>
  </si>
  <si>
    <t>niloufar aran</t>
  </si>
  <si>
    <t>neilofar amiri</t>
  </si>
  <si>
    <t>mohammad amin arab</t>
  </si>
  <si>
    <t>stella atkins</t>
  </si>
  <si>
    <t>m stella atkins</t>
  </si>
  <si>
    <t>mahsa ansari</t>
  </si>
  <si>
    <t>nadra ansari</t>
  </si>
  <si>
    <t>neda anvari</t>
  </si>
  <si>
    <t>Ã©ric m beauregard</t>
  </si>
  <si>
    <t>eric beauregarda</t>
  </si>
  <si>
    <t>ivan v bajic</t>
  </si>
  <si>
    <t>ivan v bajjc</t>
  </si>
  <si>
    <t>lvan v bajic</t>
  </si>
  <si>
    <t>robert a britton</t>
  </si>
  <si>
    <t>robert bittner</t>
  </si>
  <si>
    <t>tanya l broesch</t>
  </si>
  <si>
    <t>tanya j behrisch</t>
  </si>
  <si>
    <t>heesoon bai</t>
  </si>
  <si>
    <t>beesoon bai</t>
  </si>
  <si>
    <t>derek r bingham</t>
  </si>
  <si>
    <t>derek bingham</t>
  </si>
  <si>
    <t>nicholas k blomley</t>
  </si>
  <si>
    <t>nicholas a brunelle</t>
  </si>
  <si>
    <t>nicole s berry</t>
  </si>
  <si>
    <t>nicole m berg</t>
  </si>
  <si>
    <t>douglas c braun</t>
  </si>
  <si>
    <t>douglas f bertram</t>
  </si>
  <si>
    <t>david v burley</t>
  </si>
  <si>
    <t>avid v burley</t>
  </si>
  <si>
    <t>mayra donaji barrera-machuca</t>
  </si>
  <si>
    <t>aldo a barrera-machuca</t>
  </si>
  <si>
    <t>tanya m brown</t>
  </si>
  <si>
    <t>ethan brown</t>
  </si>
  <si>
    <t>christopher t beh</t>
  </si>
  <si>
    <t>christopher d bonar</t>
  </si>
  <si>
    <t>chandan bhardwaj</t>
  </si>
  <si>
    <t>ajay bhardwaj</t>
  </si>
  <si>
    <t>matthew l brown</t>
  </si>
  <si>
    <t>matthew berkowitz</t>
  </si>
  <si>
    <t>tom c brown</t>
  </si>
  <si>
    <t>tom brown</t>
  </si>
  <si>
    <t>heather a baitz</t>
  </si>
  <si>
    <t>heather a baroody</t>
  </si>
  <si>
    <t>ollie m blake</t>
  </si>
  <si>
    <t>elly m blake</t>
  </si>
  <si>
    <t>sean brown</t>
  </si>
  <si>
    <t>azra bhanji</t>
  </si>
  <si>
    <t>zohra bhimani</t>
  </si>
  <si>
    <t>alishba bilal</t>
  </si>
  <si>
    <t>alishba bibal</t>
  </si>
  <si>
    <t>julien chopin</t>
  </si>
  <si>
    <t>julien chopinb</t>
  </si>
  <si>
    <t>isabelle m cÃ´tÃ©</t>
  </si>
  <si>
    <t>isabelle m cÈtÃ©</t>
  </si>
  <si>
    <t>caroline colijn</t>
  </si>
  <si>
    <t>caroline coljin</t>
  </si>
  <si>
    <t>nansheng chen</t>
  </si>
  <si>
    <t>jiacheng chen</t>
  </si>
  <si>
    <t>allison j carter</t>
  </si>
  <si>
    <t>allison j campbell</t>
  </si>
  <si>
    <t>alexander l chapman</t>
  </si>
  <si>
    <t>alexander clapp</t>
  </si>
  <si>
    <t>mo chen</t>
  </si>
  <si>
    <t>imin chen</t>
  </si>
  <si>
    <t>long chen</t>
  </si>
  <si>
    <t>shuo chen</t>
  </si>
  <si>
    <t>yubo chen</t>
  </si>
  <si>
    <t>cong chen</t>
  </si>
  <si>
    <t>j chen</t>
  </si>
  <si>
    <t>d s cross</t>
  </si>
  <si>
    <t>d c cross</t>
  </si>
  <si>
    <t>sarah l canham</t>
  </si>
  <si>
    <t>rachel canham</t>
  </si>
  <si>
    <t>julian k christians</t>
  </si>
  <si>
    <t>aisha k christiansen</t>
  </si>
  <si>
    <t>alexandra b collins</t>
  </si>
  <si>
    <t>alexandra m coates</t>
  </si>
  <si>
    <t>cassandra collins</t>
  </si>
  <si>
    <t>cary campbell</t>
  </si>
  <si>
    <t>lara campbell</t>
  </si>
  <si>
    <t>tylar campbell</t>
  </si>
  <si>
    <t>si chen</t>
  </si>
  <si>
    <t>ying chen</t>
  </si>
  <si>
    <t>lei chen</t>
  </si>
  <si>
    <t>tian chen</t>
  </si>
  <si>
    <t>anqi chen</t>
  </si>
  <si>
    <t>yuxi chen</t>
  </si>
  <si>
    <t>jing chen</t>
  </si>
  <si>
    <t>xi chen</t>
  </si>
  <si>
    <t>siyuan chen</t>
  </si>
  <si>
    <t>david a campbell</t>
  </si>
  <si>
    <t>qinghua chen</t>
  </si>
  <si>
    <t>yixuan chen</t>
  </si>
  <si>
    <t>wuyang chen</t>
  </si>
  <si>
    <t>gang chen</t>
  </si>
  <si>
    <t>yiting chen</t>
  </si>
  <si>
    <t>zhiqin chen</t>
  </si>
  <si>
    <t>qimin chen</t>
  </si>
  <si>
    <t>aimin chen</t>
  </si>
  <si>
    <t>ziniu chen</t>
  </si>
  <si>
    <t>jiaqi chen</t>
  </si>
  <si>
    <t>hongwen chen</t>
  </si>
  <si>
    <t>yue chen</t>
  </si>
  <si>
    <t>rebecca j cobb</t>
  </si>
  <si>
    <t>rebecca d cox</t>
  </si>
  <si>
    <t>tessa k cheng</t>
  </si>
  <si>
    <t>teresa pl cheung</t>
  </si>
  <si>
    <t>daniel h chang</t>
  </si>
  <si>
    <t>daniel chiang</t>
  </si>
  <si>
    <t>binyu chen</t>
  </si>
  <si>
    <t>jiayue chen</t>
  </si>
  <si>
    <t>stephanie g craig</t>
  </si>
  <si>
    <t>stephanie w chang</t>
  </si>
  <si>
    <t>david chang</t>
  </si>
  <si>
    <t>kristin chong</t>
  </si>
  <si>
    <t>christine chuong</t>
  </si>
  <si>
    <t>yuchi chen</t>
  </si>
  <si>
    <t>cassandra s carroll</t>
  </si>
  <si>
    <t>leena w chau</t>
  </si>
  <si>
    <t>aleena chia</t>
  </si>
  <si>
    <t>w christopher carleton</t>
  </si>
  <si>
    <t>christopher rj charles</t>
  </si>
  <si>
    <t>george h cheng</t>
  </si>
  <si>
    <t>george cheng</t>
  </si>
  <si>
    <t>michelle t chan</t>
  </si>
  <si>
    <t>michael chang</t>
  </si>
  <si>
    <t>helen chong</t>
  </si>
  <si>
    <t>cherlene chang</t>
  </si>
  <si>
    <t>stephanie e cleland</t>
  </si>
  <si>
    <t>anthony chan</t>
  </si>
  <si>
    <t>howard anthony chan</t>
  </si>
  <si>
    <t>dani chu</t>
  </si>
  <si>
    <t>annica chu</t>
  </si>
  <si>
    <t>liang cao</t>
  </si>
  <si>
    <t>han cao</t>
  </si>
  <si>
    <t>rimika chaudhury</t>
  </si>
  <si>
    <t>samara chaudhury</t>
  </si>
  <si>
    <t>john r calvert</t>
  </si>
  <si>
    <t>john calvert</t>
  </si>
  <si>
    <t>xiaoban chen</t>
  </si>
  <si>
    <t>aotian chen</t>
  </si>
  <si>
    <t>anqi a chen</t>
  </si>
  <si>
    <t>zhuang chen</t>
  </si>
  <si>
    <t>yizhou chen</t>
  </si>
  <si>
    <t>guanzhou chen</t>
  </si>
  <si>
    <t>alexander ciok</t>
  </si>
  <si>
    <t>alexander clow</t>
  </si>
  <si>
    <t>james k cavers</t>
  </si>
  <si>
    <t>james carter</t>
  </si>
  <si>
    <t>xiaobin chang</t>
  </si>
  <si>
    <t>wenzhi chen</t>
  </si>
  <si>
    <t>bowen chen</t>
  </si>
  <si>
    <t>changan chen</t>
  </si>
  <si>
    <t>christopher l cunada</t>
  </si>
  <si>
    <t>christopher l cahill</t>
  </si>
  <si>
    <t>yu seon sarah chae</t>
  </si>
  <si>
    <t>y sarah chae</t>
  </si>
  <si>
    <t>alice campbell</t>
  </si>
  <si>
    <t>stephanie l cooper</t>
  </si>
  <si>
    <t>stephanie cooper</t>
  </si>
  <si>
    <t>jason j chung</t>
  </si>
  <si>
    <t>alison f chung</t>
  </si>
  <si>
    <t>george chow</t>
  </si>
  <si>
    <t>zhefan chen</t>
  </si>
  <si>
    <t>shun cao</t>
  </si>
  <si>
    <t>shaohuang chen</t>
  </si>
  <si>
    <t>gene cheung</t>
  </si>
  <si>
    <t>christophe r cantelli</t>
  </si>
  <si>
    <t>roy carlson</t>
  </si>
  <si>
    <t>roy l carlson</t>
  </si>
  <si>
    <t>maryum chaudhry</t>
  </si>
  <si>
    <t>christopher r correia</t>
  </si>
  <si>
    <t>jeremy cheung</t>
  </si>
  <si>
    <t>hannah caird</t>
  </si>
  <si>
    <t>hannah carpendale</t>
  </si>
  <si>
    <t>maude comtois cabana</t>
  </si>
  <si>
    <t>maude comtois-cabana</t>
  </si>
  <si>
    <t>christine callihoo</t>
  </si>
  <si>
    <t>christine conlan</t>
  </si>
  <si>
    <t>charley cai</t>
  </si>
  <si>
    <t>ashley cai</t>
  </si>
  <si>
    <t>avneet k chhina</t>
  </si>
  <si>
    <t>navneet kaur chana</t>
  </si>
  <si>
    <t>jeffrey cf cheung</t>
  </si>
  <si>
    <t>sheelagh carpendale</t>
  </si>
  <si>
    <t>michael curran</t>
  </si>
  <si>
    <t>t d dias do vale</t>
  </si>
  <si>
    <t>t dias do vale</t>
  </si>
  <si>
    <t>nilgun donmez</t>
  </si>
  <si>
    <t>anil donmez</t>
  </si>
  <si>
    <t>ryan cn dÊ¼arcy</t>
  </si>
  <si>
    <t>ryan cn dâ€™arcy</t>
  </si>
  <si>
    <t>james p delgrande</t>
  </si>
  <si>
    <t>james w dean</t>
  </si>
  <si>
    <t>matthew c deen</t>
  </si>
  <si>
    <t>matthew c dorton</t>
  </si>
  <si>
    <t>leith davis</t>
  </si>
  <si>
    <t>leah r davis</t>
  </si>
  <si>
    <t>a catherine dâ€™andrea</t>
  </si>
  <si>
    <t>catherine dandrea</t>
  </si>
  <si>
    <t>thushani de silva</t>
  </si>
  <si>
    <t>g lthushani de silva</t>
  </si>
  <si>
    <t>ruizhi deng</t>
  </si>
  <si>
    <t>xizi deng</t>
  </si>
  <si>
    <t>sebastian dille</t>
  </si>
  <si>
    <t>sebastian damin</t>
  </si>
  <si>
    <t>erica dong</t>
  </si>
  <si>
    <t>tea dong</t>
  </si>
  <si>
    <t>paul delany</t>
  </si>
  <si>
    <t>kat delany</t>
  </si>
  <si>
    <t>heather de forest</t>
  </si>
  <si>
    <t>heather deforest</t>
  </si>
  <si>
    <t>siying duan</t>
  </si>
  <si>
    <t>ying duan</t>
  </si>
  <si>
    <t>katie j danielson</t>
  </si>
  <si>
    <t>aaron j danielson</t>
  </si>
  <si>
    <t>lauren desouza</t>
  </si>
  <si>
    <t>lauren de souza</t>
  </si>
  <si>
    <t>maggie e duncan</t>
  </si>
  <si>
    <t>maggie c duncan</t>
  </si>
  <si>
    <t>sasan ebrahimi</t>
  </si>
  <si>
    <t>khashayar ebrahimi</t>
  </si>
  <si>
    <t>jayson eppler</t>
  </si>
  <si>
    <t>jayson epplera</t>
  </si>
  <si>
    <t>khosrow ebrahimi</t>
  </si>
  <si>
    <t>andreas fischer</t>
  </si>
  <si>
    <t>alexandra j fischer</t>
  </si>
  <si>
    <t>shirin fartash fartah tolue</t>
  </si>
  <si>
    <t>shirin fartash toloue</t>
  </si>
  <si>
    <t>jennifer fang</t>
  </si>
  <si>
    <t>jennifer fane</t>
  </si>
  <si>
    <t>sherri ferguson</t>
  </si>
  <si>
    <t>arron ferguson</t>
  </si>
  <si>
    <t>sheri fabian</t>
  </si>
  <si>
    <t>sheryl c fabian</t>
  </si>
  <si>
    <t>kate e fraser</t>
  </si>
  <si>
    <t>kate m fraser</t>
  </si>
  <si>
    <t>hao fang</t>
  </si>
  <si>
    <t>hope fan</t>
  </si>
  <si>
    <t>matthew rc fitzpatrick</t>
  </si>
  <si>
    <t>kathleen a fitzpatrick</t>
  </si>
  <si>
    <t>mia fitzpatrick</t>
  </si>
  <si>
    <t>claire h fergusson</t>
  </si>
  <si>
    <t>karen ferguson</t>
  </si>
  <si>
    <t>susanne w fietz</t>
  </si>
  <si>
    <t>w susanne fietz</t>
  </si>
  <si>
    <t>jiahui feng</t>
  </si>
  <si>
    <t>jiuen feng</t>
  </si>
  <si>
    <t>jingxue feng</t>
  </si>
  <si>
    <t>belÃ©n febres-cordero</t>
  </si>
  <si>
    <t>belen febres-codero</t>
  </si>
  <si>
    <t>yasasi fernando</t>
  </si>
  <si>
    <t>tara fernando</t>
  </si>
  <si>
    <t>cai mitsu feng</t>
  </si>
  <si>
    <t>cai (mitsu) feng</t>
  </si>
  <si>
    <t>mandana farzaneh</t>
  </si>
  <si>
    <t>nima farzaneh</t>
  </si>
  <si>
    <t>s farzaneh</t>
  </si>
  <si>
    <t>aleisha fernandes</t>
  </si>
  <si>
    <t>s fernandes</t>
  </si>
  <si>
    <t>charles harry goldsmith</t>
  </si>
  <si>
    <t>charles h goldsmith</t>
  </si>
  <si>
    <t>wei gong</t>
  </si>
  <si>
    <t>ye gong</t>
  </si>
  <si>
    <t>h daniel gibson</t>
  </si>
  <si>
    <t>chantal gibson</t>
  </si>
  <si>
    <t>uwe glÃ¤sser</t>
  </si>
  <si>
    <t>uwe gl sser</t>
  </si>
  <si>
    <t>rebecca gormley</t>
  </si>
  <si>
    <t>becky gormley</t>
  </si>
  <si>
    <t>christina m giovas</t>
  </si>
  <si>
    <t>kristina m gicas</t>
  </si>
  <si>
    <t>christina gros</t>
  </si>
  <si>
    <t>ian jw giesbrecht</t>
  </si>
  <si>
    <t>chantelle j giesbrecht</t>
  </si>
  <si>
    <t>kristen l gray</t>
  </si>
  <si>
    <t>kristen b gorman</t>
  </si>
  <si>
    <t>yu gong</t>
  </si>
  <si>
    <t>samantha m gray</t>
  </si>
  <si>
    <t>amanda r gray</t>
  </si>
  <si>
    <t>cameron gunton</t>
  </si>
  <si>
    <t>cameron j grant</t>
  </si>
  <si>
    <t>spencer greening</t>
  </si>
  <si>
    <t>spencer greening lagoot</t>
  </si>
  <si>
    <t>bhargav j gadhvi</t>
  </si>
  <si>
    <t>bhargav gadhavi</t>
  </si>
  <si>
    <t>wyatt gronnemose</t>
  </si>
  <si>
    <t>wyatt gronnemosea</t>
  </si>
  <si>
    <t>matthew c go</t>
  </si>
  <si>
    <t>matthew gould</t>
  </si>
  <si>
    <t>hayley grey</t>
  </si>
  <si>
    <t>haley p goren</t>
  </si>
  <si>
    <t>paneet gill</t>
  </si>
  <si>
    <t>pavreet k gill</t>
  </si>
  <si>
    <t>alia gola</t>
  </si>
  <si>
    <t>ali gholami</t>
  </si>
  <si>
    <t>haiyan guo</t>
  </si>
  <si>
    <t>zhiyang gu</t>
  </si>
  <si>
    <t>shrisudhan govindarajan</t>
  </si>
  <si>
    <t>priyanka govindarajan</t>
  </si>
  <si>
    <t>elizabeth a gnatiuk</t>
  </si>
  <si>
    <t>elizabeth a gow</t>
  </si>
  <si>
    <t>wanhaoyi geng</t>
  </si>
  <si>
    <t>wanhayoi geng</t>
  </si>
  <si>
    <t>elizabeth guinto</t>
  </si>
  <si>
    <t>jin guo</t>
  </si>
  <si>
    <t>jiahu guo</t>
  </si>
  <si>
    <t>stephen d hart</t>
  </si>
  <si>
    <t>stephen r harrigan</t>
  </si>
  <si>
    <t>robert a holt</t>
  </si>
  <si>
    <t>robert s hogg</t>
  </si>
  <si>
    <t>peter v hall</t>
  </si>
  <si>
    <t>peter a hall</t>
  </si>
  <si>
    <t>mohamed m hefeeda</t>
  </si>
  <si>
    <t>mohamed hefeeda</t>
  </si>
  <si>
    <t>bretislav heinrich</t>
  </si>
  <si>
    <t>brett heinrich</t>
  </si>
  <si>
    <t>michael w hart</t>
  </si>
  <si>
    <t>michael j hathaway</t>
  </si>
  <si>
    <t>michael d hank</t>
  </si>
  <si>
    <t>kaisong huang</t>
  </si>
  <si>
    <t>songyi huang</t>
  </si>
  <si>
    <t>hailong huang</t>
  </si>
  <si>
    <t>kevin huang</t>
  </si>
  <si>
    <t>nicholas harden</t>
  </si>
  <si>
    <t>nicholas m hein</t>
  </si>
  <si>
    <t>cher m hill</t>
  </si>
  <si>
    <t>chloe hill</t>
  </si>
  <si>
    <t>amirhossein hasani</t>
  </si>
  <si>
    <t>amirhossein hassanpoor kalhori</t>
  </si>
  <si>
    <t>vahid hosseini</t>
  </si>
  <si>
    <t>elahe hosseini</t>
  </si>
  <si>
    <t>emma e hodgson</t>
  </si>
  <si>
    <t>emma hughson</t>
  </si>
  <si>
    <t>chuqiao huang</t>
  </si>
  <si>
    <t>yutao huang</t>
  </si>
  <si>
    <t>dayuan huang</t>
  </si>
  <si>
    <t>hadi hadizadeh</t>
  </si>
  <si>
    <t>atia hamidizadeh</t>
  </si>
  <si>
    <t>christina m hull</t>
  </si>
  <si>
    <t>christian hui</t>
  </si>
  <si>
    <t>jiaxiong hu</t>
  </si>
  <si>
    <t>jing hu</t>
  </si>
  <si>
    <t>kirk j hepburn</t>
  </si>
  <si>
    <t>kirk hepburn</t>
  </si>
  <si>
    <t>scott marcus harrison</t>
  </si>
  <si>
    <t>scott michael harrison</t>
  </si>
  <si>
    <t>sarah henzi</t>
  </si>
  <si>
    <t>sara hosseini</t>
  </si>
  <si>
    <t>zahra haeri</t>
  </si>
  <si>
    <t>zahra haq</t>
  </si>
  <si>
    <t>yang he</t>
  </si>
  <si>
    <t>yuliang he</t>
  </si>
  <si>
    <t>ian hutchinson</t>
  </si>
  <si>
    <t>jim hutchinson</t>
  </si>
  <si>
    <t>olivia n hutchinson</t>
  </si>
  <si>
    <t>ryan hung</t>
  </si>
  <si>
    <t>william wl ho</t>
  </si>
  <si>
    <t>william hsiao</t>
  </si>
  <si>
    <t>william wl hsiao</t>
  </si>
  <si>
    <t>andrew harries</t>
  </si>
  <si>
    <t>andrew heard</t>
  </si>
  <si>
    <t>jonathan hartt</t>
  </si>
  <si>
    <t>jonathan hui</t>
  </si>
  <si>
    <t>peter hoong</t>
  </si>
  <si>
    <t>peter horban</t>
  </si>
  <si>
    <t>william hammond</t>
  </si>
  <si>
    <t>k a hudson</t>
  </si>
  <si>
    <t>k h hudson</t>
  </si>
  <si>
    <t>dal yong jin</t>
  </si>
  <si>
    <t>dalyong jin</t>
  </si>
  <si>
    <t>xianta jiang</t>
  </si>
  <si>
    <t>aixiang jiang</t>
  </si>
  <si>
    <t>ali jamali</t>
  </si>
  <si>
    <t>ali jannati</t>
  </si>
  <si>
    <t>hanxiao jiang</t>
  </si>
  <si>
    <t>baofeng jia</t>
  </si>
  <si>
    <t>feng jiang</t>
  </si>
  <si>
    <t>worawee janpongsri</t>
  </si>
  <si>
    <t>worawee japongsori</t>
  </si>
  <si>
    <t>jun jiang</t>
  </si>
  <si>
    <t>ji-sun jang</t>
  </si>
  <si>
    <t>raj johal</t>
  </si>
  <si>
    <t>am johal</t>
  </si>
  <si>
    <t>jisung jeong</t>
  </si>
  <si>
    <t>julie jones</t>
  </si>
  <si>
    <t>julie jesson</t>
  </si>
  <si>
    <t>thomas d jennewein</t>
  </si>
  <si>
    <t>thomas jennewein</t>
  </si>
  <si>
    <t>bocheng jing</t>
  </si>
  <si>
    <t>cheng jin</t>
  </si>
  <si>
    <t>fahmid kabir</t>
  </si>
  <si>
    <t>amin kabir</t>
  </si>
  <si>
    <t>steven y ko</t>
  </si>
  <si>
    <t>steven r kidd</t>
  </si>
  <si>
    <t>alexander k karaivanov</t>
  </si>
  <si>
    <t>alexander tk kurkjian</t>
  </si>
  <si>
    <t>peter kunz</t>
  </si>
  <si>
    <t>peter klein</t>
  </si>
  <si>
    <t>dustin t king</t>
  </si>
  <si>
    <t>justin j king</t>
  </si>
  <si>
    <t>laura kadowaki</t>
  </si>
  <si>
    <t>arya kadakia</t>
  </si>
  <si>
    <t>angel m kennedy</t>
  </si>
  <si>
    <t>ian j kennedy</t>
  </si>
  <si>
    <t>mandeep kaur</t>
  </si>
  <si>
    <t>manpreet kaur</t>
  </si>
  <si>
    <t>avneet kaur</t>
  </si>
  <si>
    <t>taeyoung kim</t>
  </si>
  <si>
    <t>suyoung kim</t>
  </si>
  <si>
    <t>hae-yoon kim</t>
  </si>
  <si>
    <t>hoyoung kim</t>
  </si>
  <si>
    <t>brianne a kent</t>
  </si>
  <si>
    <t>bryan ap kent</t>
  </si>
  <si>
    <t>dongwoo kim</t>
  </si>
  <si>
    <t>dongho kim</t>
  </si>
  <si>
    <t>harpreet kaur</t>
  </si>
  <si>
    <t>simranjeet kaur</t>
  </si>
  <si>
    <t>gurbinder kaur</t>
  </si>
  <si>
    <t>raminder kaur</t>
  </si>
  <si>
    <t>suhong kim</t>
  </si>
  <si>
    <t>seyeon kim</t>
  </si>
  <si>
    <t>brahmjot kaur</t>
  </si>
  <si>
    <t>taranjot kaur</t>
  </si>
  <si>
    <t>navjot kaur</t>
  </si>
  <si>
    <t>barry c kelly</t>
  </si>
  <si>
    <t>mary kelly</t>
  </si>
  <si>
    <t>stephen kline</t>
  </si>
  <si>
    <t>stephen d kinsey</t>
  </si>
  <si>
    <t>jonghyeok kim</t>
  </si>
  <si>
    <t>alexander korzuchowski</t>
  </si>
  <si>
    <t>alexander koch</t>
  </si>
  <si>
    <t>p kowalski</t>
  </si>
  <si>
    <t>pawel kowalski</t>
  </si>
  <si>
    <t>peter keller</t>
  </si>
  <si>
    <t>c peter keller</t>
  </si>
  <si>
    <t>nitish kumar</t>
  </si>
  <si>
    <t>hitesh kumar</t>
  </si>
  <si>
    <t>aniket kumar</t>
  </si>
  <si>
    <t>dara kelly</t>
  </si>
  <si>
    <t>mahesh kumar</t>
  </si>
  <si>
    <t>matthew king-roskamp</t>
  </si>
  <si>
    <t>matthew kingâ€“roskamp</t>
  </si>
  <si>
    <t>md zishaan khan</t>
  </si>
  <si>
    <t>mishaa khan</t>
  </si>
  <si>
    <t>katerina kwon</t>
  </si>
  <si>
    <t>katrina koehn</t>
  </si>
  <si>
    <t>harsimrat kaur</t>
  </si>
  <si>
    <t>casey l kirkpatrick</t>
  </si>
  <si>
    <t>ted kirkpatrick</t>
  </si>
  <si>
    <t>johannes keil</t>
  </si>
  <si>
    <t>johanna kneifel</t>
  </si>
  <si>
    <t>alex kent</t>
  </si>
  <si>
    <t>alex king</t>
  </si>
  <si>
    <t>edmond kilpatrick</t>
  </si>
  <si>
    <t>raminderjeet kaur</t>
  </si>
  <si>
    <t>kenji kurita</t>
  </si>
  <si>
    <t>kenji l kurita</t>
  </si>
  <si>
    <t>bingxuan liu</t>
  </si>
  <si>
    <t>tingan li</t>
  </si>
  <si>
    <t>jiangchuan liu</t>
  </si>
  <si>
    <t>bingfan liu</t>
  </si>
  <si>
    <t>zixuan li</t>
  </si>
  <si>
    <t>jiangchuan chuan liu</t>
  </si>
  <si>
    <t>jiangchuan jc liu</t>
  </si>
  <si>
    <t>j llorente merino</t>
  </si>
  <si>
    <t>j llorentemerino</t>
  </si>
  <si>
    <t>jie liang</t>
  </si>
  <si>
    <t>junzhe liang</t>
  </si>
  <si>
    <t>kelley lee</t>
  </si>
  <si>
    <t>chelsey lee</t>
  </si>
  <si>
    <t>kelsey lee</t>
  </si>
  <si>
    <t>cheng li</t>
  </si>
  <si>
    <t>feng lin</t>
  </si>
  <si>
    <t>heng li</t>
  </si>
  <si>
    <t>cheng lit</t>
  </si>
  <si>
    <t>feng liu</t>
  </si>
  <si>
    <t>chenzheng li</t>
  </si>
  <si>
    <t>paul chi hang li</t>
  </si>
  <si>
    <t>paul ch li</t>
  </si>
  <si>
    <t>amy huei yi lee</t>
  </si>
  <si>
    <t>amy huey yi lee</t>
  </si>
  <si>
    <t>sieun lee</t>
  </si>
  <si>
    <t>ena lee</t>
  </si>
  <si>
    <t>eric lin</t>
  </si>
  <si>
    <t>eric lee</t>
  </si>
  <si>
    <t>bing lu</t>
  </si>
  <si>
    <t>qing liu</t>
  </si>
  <si>
    <t>adrian km lai</t>
  </si>
  <si>
    <t>adrian c lim</t>
  </si>
  <si>
    <t>chelsey laird</t>
  </si>
  <si>
    <t>zenghui liu</t>
  </si>
  <si>
    <t>pengyu liu</t>
  </si>
  <si>
    <t>michelle levy</t>
  </si>
  <si>
    <t>michelle leung</t>
  </si>
  <si>
    <t>michelle lu</t>
  </si>
  <si>
    <t>richard a lockhart</t>
  </si>
  <si>
    <t>richard loat</t>
  </si>
  <si>
    <t>julian lo</t>
  </si>
  <si>
    <t>jian li</t>
  </si>
  <si>
    <t>chelsea j little</t>
  </si>
  <si>
    <t>chelsea l little</t>
  </si>
  <si>
    <t>belinda li</t>
  </si>
  <si>
    <t>linda c li</t>
  </si>
  <si>
    <t>chunhong liu</t>
  </si>
  <si>
    <t>qingcan li</t>
  </si>
  <si>
    <t>jing li</t>
  </si>
  <si>
    <t>binglin li</t>
  </si>
  <si>
    <t>shuxing li</t>
  </si>
  <si>
    <t>xin li</t>
  </si>
  <si>
    <t>xingtu liu</t>
  </si>
  <si>
    <t>fengke lin</t>
  </si>
  <si>
    <t>jaeyong lee</t>
  </si>
  <si>
    <t>jeonghun lee</t>
  </si>
  <si>
    <t>janghyeon lee</t>
  </si>
  <si>
    <t>jan lee</t>
  </si>
  <si>
    <t>jong-in lee</t>
  </si>
  <si>
    <t>jonathan lee</t>
  </si>
  <si>
    <t>julia m link</t>
  </si>
  <si>
    <t>julia m lawson</t>
  </si>
  <si>
    <t>guiliang liu</t>
  </si>
  <si>
    <t>yilin liu</t>
  </si>
  <si>
    <t>xilan liu</t>
  </si>
  <si>
    <t>tawei liu</t>
  </si>
  <si>
    <t>wei li</t>
  </si>
  <si>
    <t>jiaxing li</t>
  </si>
  <si>
    <t>xiaohan li</t>
  </si>
  <si>
    <t>xinru li</t>
  </si>
  <si>
    <t>kun liu</t>
  </si>
  <si>
    <t>ken liu</t>
  </si>
  <si>
    <t>lun li</t>
  </si>
  <si>
    <t>jiarui li</t>
  </si>
  <si>
    <t>xiaorui li</t>
  </si>
  <si>
    <t>jiayi liu</t>
  </si>
  <si>
    <t>lisa lin</t>
  </si>
  <si>
    <t>lily lin</t>
  </si>
  <si>
    <t>em g lim</t>
  </si>
  <si>
    <t>emily g lim</t>
  </si>
  <si>
    <t>justin c lo</t>
  </si>
  <si>
    <t>justin long</t>
  </si>
  <si>
    <t>emily lemke</t>
  </si>
  <si>
    <t>emily lam</t>
  </si>
  <si>
    <t>emily leaman</t>
  </si>
  <si>
    <t>jianping lin</t>
  </si>
  <si>
    <t>hsufeng lee</t>
  </si>
  <si>
    <t>suemin lee</t>
  </si>
  <si>
    <t>yejia liu</t>
  </si>
  <si>
    <t>xiaoxue liu</t>
  </si>
  <si>
    <t>xiaosu li</t>
  </si>
  <si>
    <t>linyi li</t>
  </si>
  <si>
    <t>manyi li</t>
  </si>
  <si>
    <t>liyi lim</t>
  </si>
  <si>
    <t>anjian li</t>
  </si>
  <si>
    <t>jiyuan li</t>
  </si>
  <si>
    <t>gavia f lertzman-lepofsky</t>
  </si>
  <si>
    <t>george lertzman-lepofsky</t>
  </si>
  <si>
    <t>jiadi luo</t>
  </si>
  <si>
    <t>jialin lu</t>
  </si>
  <si>
    <t>hanyu li</t>
  </si>
  <si>
    <t>yuhe lu</t>
  </si>
  <si>
    <t>wuyue lu</t>
  </si>
  <si>
    <t>zheyuan li</t>
  </si>
  <si>
    <t>chuyuan lin</t>
  </si>
  <si>
    <t>xiaocen lu</t>
  </si>
  <si>
    <t>yerin lee</t>
  </si>
  <si>
    <t>martin lee</t>
  </si>
  <si>
    <t>mark lee</t>
  </si>
  <si>
    <t>marina levene</t>
  </si>
  <si>
    <t>xiulong liu</t>
  </si>
  <si>
    <t>kenneth liu</t>
  </si>
  <si>
    <t>christoph lÃ¼lfesman</t>
  </si>
  <si>
    <t>christoph luelfesmann</t>
  </si>
  <si>
    <t>aaron leung</t>
  </si>
  <si>
    <t>carolyn leung</t>
  </si>
  <si>
    <t>qiushi lin</t>
  </si>
  <si>
    <t>qiu lin</t>
  </si>
  <si>
    <t>sanghoon lee</t>
  </si>
  <si>
    <t>yanlin lim</t>
  </si>
  <si>
    <t>yan lim</t>
  </si>
  <si>
    <t>bryan leonard</t>
  </si>
  <si>
    <t>bryan lo</t>
  </si>
  <si>
    <t>kelvin lau</t>
  </si>
  <si>
    <t>kevin laughren</t>
  </si>
  <si>
    <t>yihan lin</t>
  </si>
  <si>
    <t>brian li</t>
  </si>
  <si>
    <t>weijie lin</t>
  </si>
  <si>
    <t>weihua liu</t>
  </si>
  <si>
    <t>jiacheng lu</t>
  </si>
  <si>
    <t>xiao feng lu</t>
  </si>
  <si>
    <t>richard li</t>
  </si>
  <si>
    <t>emily leung</t>
  </si>
  <si>
    <t>jessica li</t>
  </si>
  <si>
    <t>jessica lee</t>
  </si>
  <si>
    <t>guanyu li</t>
  </si>
  <si>
    <t>baiyu li</t>
  </si>
  <si>
    <t>mark leier</t>
  </si>
  <si>
    <t>ming yu lin</t>
  </si>
  <si>
    <t>minghui liang</t>
  </si>
  <si>
    <t>tan khang le</t>
  </si>
  <si>
    <t>anh ha le</t>
  </si>
  <si>
    <t>michael lu</t>
  </si>
  <si>
    <t>ze liu</t>
  </si>
  <si>
    <t>ke li</t>
  </si>
  <si>
    <t>da ma</t>
  </si>
  <si>
    <t>d ma</t>
  </si>
  <si>
    <t>john j mcdonald</t>
  </si>
  <si>
    <t>shaun mcdonald</t>
  </si>
  <si>
    <t>margo m moore</t>
  </si>
  <si>
    <t>mark a moore</t>
  </si>
  <si>
    <t>leithen k mgonigle</t>
  </si>
  <si>
    <t>leithen k mâ€™gonigle</t>
  </si>
  <si>
    <t>cari l miller</t>
  </si>
  <si>
    <t>caleb miller</t>
  </si>
  <si>
    <t>alexander moiseev</t>
  </si>
  <si>
    <t>alexander moens</t>
  </si>
  <si>
    <t>kathleen m millar</t>
  </si>
  <si>
    <t>kathleen p moriarty</t>
  </si>
  <si>
    <t>afagh mohagheghi</t>
  </si>
  <si>
    <t>a mohaghegi</t>
  </si>
  <si>
    <t>tamir moustafa</t>
  </si>
  <si>
    <t>amir mousavi</t>
  </si>
  <si>
    <t>ailene macpherson</t>
  </si>
  <si>
    <t>donald macpherson</t>
  </si>
  <si>
    <t>michael d maraun</t>
  </si>
  <si>
    <t>michaela martin</t>
  </si>
  <si>
    <t>nicola mulberry</t>
  </si>
  <si>
    <t>nicola j murray</t>
  </si>
  <si>
    <t>nicholas murray</t>
  </si>
  <si>
    <t>bronwyn mcbride</t>
  </si>
  <si>
    <t>ryan mcbride</t>
  </si>
  <si>
    <t>klinsmann jcoelho silva meneses</t>
  </si>
  <si>
    <t>coelho silva meneses</t>
  </si>
  <si>
    <t>mehrdad mansouri</t>
  </si>
  <si>
    <t>mehrdad mokhtari</t>
  </si>
  <si>
    <t>megan h mackenzie</t>
  </si>
  <si>
    <t>megan mackenzie</t>
  </si>
  <si>
    <t>iain d mckenzie</t>
  </si>
  <si>
    <t>rebecca a macdonald</t>
  </si>
  <si>
    <t>j a macdonald</t>
  </si>
  <si>
    <t>mohammad mahdavian</t>
  </si>
  <si>
    <t>mohammad mahdavyfakhr</t>
  </si>
  <si>
    <t>xin min</t>
  </si>
  <si>
    <t>xin mu</t>
  </si>
  <si>
    <t>zahia marzouk</t>
  </si>
  <si>
    <t>amr marzouk</t>
  </si>
  <si>
    <t>cassia l mcintyre</t>
  </si>
  <si>
    <t>david l mcintyre</t>
  </si>
  <si>
    <t>zarah monfaredi</t>
  </si>
  <si>
    <t>aryan monfared</t>
  </si>
  <si>
    <t>payam mousavi</t>
  </si>
  <si>
    <t>michael l moreton</t>
  </si>
  <si>
    <t>david murphy</t>
  </si>
  <si>
    <t>d murphy</t>
  </si>
  <si>
    <t>david moorthy</t>
  </si>
  <si>
    <t>jesse morin</t>
  </si>
  <si>
    <t>evie morin</t>
  </si>
  <si>
    <t>ahmad mokhtar</t>
  </si>
  <si>
    <t>mark machacek</t>
  </si>
  <si>
    <t>mark mahadeo</t>
  </si>
  <si>
    <t>like ma</t>
  </si>
  <si>
    <t>rickie ma</t>
  </si>
  <si>
    <t>evan macdonald</t>
  </si>
  <si>
    <t>ian mcdonald</t>
  </si>
  <si>
    <t>paul macdonald</t>
  </si>
  <si>
    <t>mohammad reza mostaan</t>
  </si>
  <si>
    <t>mohammadreza mohseni</t>
  </si>
  <si>
    <t>johannes merz</t>
  </si>
  <si>
    <t>johannes meyer</t>
  </si>
  <si>
    <t>kyle macdonald</t>
  </si>
  <si>
    <t>jennifer multani</t>
  </si>
  <si>
    <t>jennifer mentanko</t>
  </si>
  <si>
    <t>glenna f mcgregor</t>
  </si>
  <si>
    <t>hannah mcgregor</t>
  </si>
  <si>
    <t>hadi mohandes</t>
  </si>
  <si>
    <t>mohammadhadi mohandes</t>
  </si>
  <si>
    <t>megan macgregor</t>
  </si>
  <si>
    <t>james macgregor</t>
  </si>
  <si>
    <t>megan a macgregor</t>
  </si>
  <si>
    <t>alexi morin</t>
  </si>
  <si>
    <t>katherine e mcleod</t>
  </si>
  <si>
    <t>katherine x metcalfe</t>
  </si>
  <si>
    <t>manveer mahal</t>
  </si>
  <si>
    <t>tanveer mahal</t>
  </si>
  <si>
    <t>anita manshadi</t>
  </si>
  <si>
    <t>anahita mani</t>
  </si>
  <si>
    <t>fatemeh movafagh</t>
  </si>
  <si>
    <t>fateme movahedi</t>
  </si>
  <si>
    <t>thinh nguyen-vo</t>
  </si>
  <si>
    <t>hien nguyen</t>
  </si>
  <si>
    <t>minh nguyen</t>
  </si>
  <si>
    <t>farzad nadiri</t>
  </si>
  <si>
    <t>farzad nasirpouri</t>
  </si>
  <si>
    <t>hoang minh nguyen</t>
  </si>
  <si>
    <t>mohammad javad nouri</t>
  </si>
  <si>
    <t>mohammadjavad nouri</t>
  </si>
  <si>
    <t>sam nguyen</t>
  </si>
  <si>
    <t>johnny nguyen</t>
  </si>
  <si>
    <t>dugan c oneil</t>
  </si>
  <si>
    <t>d c oâ€™neil</t>
  </si>
  <si>
    <t>d c oneil</t>
  </si>
  <si>
    <t>deirdre kevin oâ€™neill</t>
  </si>
  <si>
    <t>kevin oâ€™neill</t>
  </si>
  <si>
    <t>tamara oâ€™doherty</t>
  </si>
  <si>
    <t>tamara odoherty</t>
  </si>
  <si>
    <t>kevin oneill</t>
  </si>
  <si>
    <t>tiffany a oconnor</t>
  </si>
  <si>
    <t>tiffany a oâ€™connor</t>
  </si>
  <si>
    <t>s otoole</t>
  </si>
  <si>
    <t>s o`toole</t>
  </si>
  <si>
    <t>mary grantham obrien</t>
  </si>
  <si>
    <t>mary grantham oâ€™brien</t>
  </si>
  <si>
    <t>caroline okeefe-markman</t>
  </si>
  <si>
    <t>caroline o-keefe-markman</t>
  </si>
  <si>
    <t>caroline oâ€™keefe-markman</t>
  </si>
  <si>
    <t>emeralde oâ€™donnell</t>
  </si>
  <si>
    <t>emeralde odonnell</t>
  </si>
  <si>
    <t>kimberly odonnell</t>
  </si>
  <si>
    <t>kieran j odonnell</t>
  </si>
  <si>
    <t>justin william oâ€™camb</t>
  </si>
  <si>
    <t>justin w ocamb</t>
  </si>
  <si>
    <t>derrick oâ€™keefe</t>
  </si>
  <si>
    <t>derrick okeefe</t>
  </si>
  <si>
    <t>marissa oâ€™neill</t>
  </si>
  <si>
    <t>marissa l oâ€™neill</t>
  </si>
  <si>
    <t>xuebin peng</t>
  </si>
  <si>
    <t>xin peng</t>
  </si>
  <si>
    <t>xue bin peng</t>
  </si>
  <si>
    <t>rachelle pullmer</t>
  </si>
  <si>
    <t>rachelle patille</t>
  </si>
  <si>
    <t>michelle pidgeon</t>
  </si>
  <si>
    <t>michelle pang</t>
  </si>
  <si>
    <t>michelle phan</t>
  </si>
  <si>
    <t>andrey d pavlov</t>
  </si>
  <si>
    <t>andrew d pauls</t>
  </si>
  <si>
    <t>damon t poburko</t>
  </si>
  <si>
    <t>damon poburko</t>
  </si>
  <si>
    <t>michael parent</t>
  </si>
  <si>
    <t>michael pruner</t>
  </si>
  <si>
    <t>mark paetzel</t>
  </si>
  <si>
    <t>mayur patel</t>
  </si>
  <si>
    <t>david pimm</t>
  </si>
  <si>
    <t>david pham</t>
  </si>
  <si>
    <t>david j prime</t>
  </si>
  <si>
    <t>nicolas peressin</t>
  </si>
  <si>
    <t>nicolas perez</t>
  </si>
  <si>
    <t>jinglin peng</t>
  </si>
  <si>
    <t>jingyang peng</t>
  </si>
  <si>
    <t>aaron pardy</t>
  </si>
  <si>
    <t>aaron pearson</t>
  </si>
  <si>
    <t>anna m petersson</t>
  </si>
  <si>
    <t>ann p pederson</t>
  </si>
  <si>
    <t>sandra lm peterson</t>
  </si>
  <si>
    <t>kenken peng</t>
  </si>
  <si>
    <t>ken peng</t>
  </si>
  <si>
    <t>david j price</t>
  </si>
  <si>
    <t>aerin park</t>
  </si>
  <si>
    <t>yejin park</t>
  </si>
  <si>
    <t>kilim park</t>
  </si>
  <si>
    <t>jim park</t>
  </si>
  <si>
    <t>k park</t>
  </si>
  <si>
    <t>jihyun park</t>
  </si>
  <si>
    <t>stephen neil robinovitch</t>
  </si>
  <si>
    <t>stephen n robinovich</t>
  </si>
  <si>
    <t>bernhard t rabus</t>
  </si>
  <si>
    <t>bernhard rabus</t>
  </si>
  <si>
    <t>bernhard rabusa</t>
  </si>
  <si>
    <t>arthur j robson</t>
  </si>
  <si>
    <t>sarah j robinson</t>
  </si>
  <si>
    <t>arash rafiey</t>
  </si>
  <si>
    <t>akbar rafiey</t>
  </si>
  <si>
    <t>deanna rexe</t>
  </si>
  <si>
    <t>deanna reder</t>
  </si>
  <si>
    <t>k raymond</t>
  </si>
  <si>
    <t>kurtis raymond</t>
  </si>
  <si>
    <t>ramani ramaseshan</t>
  </si>
  <si>
    <t>ramani remaseshan</t>
  </si>
  <si>
    <t>hyung-ju ryu</t>
  </si>
  <si>
    <t>young ryu</t>
  </si>
  <si>
    <t>danielle rogers</t>
  </si>
  <si>
    <t>daniel j rogers</t>
  </si>
  <si>
    <t>krishna reddy</t>
  </si>
  <si>
    <t>dasha reddy</t>
  </si>
  <si>
    <t>shuvay singh</t>
  </si>
  <si>
    <t>rishav singh</t>
  </si>
  <si>
    <t>wolfgang stuerzlinger</t>
  </si>
  <si>
    <t>wolfgang stÃ¼rzlinger</t>
  </si>
  <si>
    <t>jeremy c snyder</t>
  </si>
  <si>
    <t>jeremy t stone</t>
  </si>
  <si>
    <t>nadine c schuurman</t>
  </si>
  <si>
    <t>nadine schuurmann</t>
  </si>
  <si>
    <t>hasina samji</t>
  </si>
  <si>
    <t>hasina shamji</t>
  </si>
  <si>
    <t>sarah spencer</t>
  </si>
  <si>
    <t>adam spencer</t>
  </si>
  <si>
    <t>tammara soma</t>
  </si>
  <si>
    <t>tamara shulman</t>
  </si>
  <si>
    <t>rylan simpson</t>
  </si>
  <si>
    <t>eleanor simpson</t>
  </si>
  <si>
    <t>ekaterina r stepanova</t>
  </si>
  <si>
    <t>ekaterina stogova</t>
  </si>
  <si>
    <t>ryan shea</t>
  </si>
  <si>
    <t>ryland shaw</t>
  </si>
  <si>
    <t>bingyun sun</t>
  </si>
  <si>
    <t>xiangyu sun</t>
  </si>
  <si>
    <t>dingyi sun</t>
  </si>
  <si>
    <t>weiran sun</t>
  </si>
  <si>
    <t>wenqian sun</t>
  </si>
  <si>
    <t>michael t schmitt</t>
  </si>
  <si>
    <t>michÃ¨le j schmidt</t>
  </si>
  <si>
    <t>thomas m spalek</t>
  </si>
  <si>
    <t>thomas jg skalski</t>
  </si>
  <si>
    <t>david swanlund</t>
  </si>
  <si>
    <t>david sun</t>
  </si>
  <si>
    <t>nicholas a scott</t>
  </si>
  <si>
    <t>nicolas schmitt</t>
  </si>
  <si>
    <t>n s smith</t>
  </si>
  <si>
    <t>ryan j smith</t>
  </si>
  <si>
    <t>jon smith</t>
  </si>
  <si>
    <t>debbie d sheehan</t>
  </si>
  <si>
    <t>debbie sheenan</t>
  </si>
  <si>
    <t>justin song</t>
  </si>
  <si>
    <t>jun song</t>
  </si>
  <si>
    <t>pouyan sajadi</t>
  </si>
  <si>
    <t>pouya samandi</t>
  </si>
  <si>
    <t>david l shen</t>
  </si>
  <si>
    <t>prophecy sun</t>
  </si>
  <si>
    <t>poppy sun</t>
  </si>
  <si>
    <t>sina salari</t>
  </si>
  <si>
    <t>sina sadrian</t>
  </si>
  <si>
    <t>cameron scott</t>
  </si>
  <si>
    <t>cameron schwartz</t>
  </si>
  <si>
    <t>mohammad amin shabani</t>
  </si>
  <si>
    <t>mohammadhadi salari</t>
  </si>
  <si>
    <t>rakesh shrestha</t>
  </si>
  <si>
    <t>rupak shrestha</t>
  </si>
  <si>
    <t>andrea n smit</t>
  </si>
  <si>
    <t>andrea samoil</t>
  </si>
  <si>
    <t>nafiseh sedaghat</t>
  </si>
  <si>
    <t>ali sedaghati</t>
  </si>
  <si>
    <t>neha sharma</t>
  </si>
  <si>
    <t>bhawna sharma</t>
  </si>
  <si>
    <t>jeungeun song</t>
  </si>
  <si>
    <t>yanxin shen</t>
  </si>
  <si>
    <t>yuxin shan</t>
  </si>
  <si>
    <t>xiaoting sun</t>
  </si>
  <si>
    <t>mahsoo salimi</t>
  </si>
  <si>
    <t>mohsen salimi</t>
  </si>
  <si>
    <t>reagan c smith</t>
  </si>
  <si>
    <t>alex k smith</t>
  </si>
  <si>
    <t>neale smith</t>
  </si>
  <si>
    <t>lindsay samson</t>
  </si>
  <si>
    <t>lindsay simpson</t>
  </si>
  <si>
    <t>weilian song</t>
  </si>
  <si>
    <t>jialin song</t>
  </si>
  <si>
    <t>huiqian song</t>
  </si>
  <si>
    <t>mathew schneider</t>
  </si>
  <si>
    <t>lauren schneider</t>
  </si>
  <si>
    <t>brian stewart</t>
  </si>
  <si>
    <t>jordan stewart</t>
  </si>
  <si>
    <t>matthew c stewart</t>
  </si>
  <si>
    <t>heather g stewart</t>
  </si>
  <si>
    <t>richard k smith</t>
  </si>
  <si>
    <t>erica smith</t>
  </si>
  <si>
    <t>richard salami</t>
  </si>
  <si>
    <t>jeff stacey</t>
  </si>
  <si>
    <t>jeff staceya</t>
  </si>
  <si>
    <t>hamideh sharifi noghabi</t>
  </si>
  <si>
    <t>hamide sharifi</t>
  </si>
  <si>
    <t>ehsan sadeghi</t>
  </si>
  <si>
    <t>mahya sadeghi</t>
  </si>
  <si>
    <t>hassan m sadeghi</t>
  </si>
  <si>
    <t>martin siegert</t>
  </si>
  <si>
    <t>martin ster</t>
  </si>
  <si>
    <t>xintian sun</t>
  </si>
  <si>
    <t>maha shehadeh</t>
  </si>
  <si>
    <t>hirmand saffari</t>
  </si>
  <si>
    <t>ashkan saffari</t>
  </si>
  <si>
    <t>grant statham</t>
  </si>
  <si>
    <t>grant sinha</t>
  </si>
  <si>
    <t>john shen</t>
  </si>
  <si>
    <t>tony shen</t>
  </si>
  <si>
    <t>z john shen</t>
  </si>
  <si>
    <t>zheng john shen</t>
  </si>
  <si>
    <t>ian y song</t>
  </si>
  <si>
    <t>hamida safi</t>
  </si>
  <si>
    <t>jason r smith</t>
  </si>
  <si>
    <t>mohsen seifi</t>
  </si>
  <si>
    <t>harsimran singh</t>
  </si>
  <si>
    <t>harman jit singh</t>
  </si>
  <si>
    <t>mohamad sadri</t>
  </si>
  <si>
    <t>mahdi salehzadeh</t>
  </si>
  <si>
    <t>katherine sew</t>
  </si>
  <si>
    <t>katherine sims</t>
  </si>
  <si>
    <t>amritpal singh</t>
  </si>
  <si>
    <t>bara singh</t>
  </si>
  <si>
    <t>huiyin song</t>
  </si>
  <si>
    <t>stephanie c stelmaschuk</t>
  </si>
  <si>
    <t>stephanie c stelmachuk</t>
  </si>
  <si>
    <t>xiaolin sun</t>
  </si>
  <si>
    <t>fiona shaw</t>
  </si>
  <si>
    <t>alison shaw</t>
  </si>
  <si>
    <t>hamed shirzad</t>
  </si>
  <si>
    <t>sam sohirad</t>
  </si>
  <si>
    <t>xin tong</t>
  </si>
  <si>
    <t>boxin tang</t>
  </si>
  <si>
    <t>john r thompson</t>
  </si>
  <si>
    <t>joseph j thompson</t>
  </si>
  <si>
    <t>john thomas</t>
  </si>
  <si>
    <t>rohan thomas</t>
  </si>
  <si>
    <t>sarah thomas</t>
  </si>
  <si>
    <t>feitong tan</t>
  </si>
  <si>
    <t>feipeng tian</t>
  </si>
  <si>
    <t>ann travers</t>
  </si>
  <si>
    <t xml:space="preserve"> travers</t>
  </si>
  <si>
    <t>x travers</t>
  </si>
  <si>
    <t>david c thomas</t>
  </si>
  <si>
    <t>david c thompson</t>
  </si>
  <si>
    <t>frederick tung</t>
  </si>
  <si>
    <t>frÃ©dÃ©ric tuong</t>
  </si>
  <si>
    <t>jiaxi tang</t>
  </si>
  <si>
    <t>jie tang</t>
  </si>
  <si>
    <t>jiaqi tan</t>
  </si>
  <si>
    <t>daniel tay</t>
  </si>
  <si>
    <t>daniel tarnu</t>
  </si>
  <si>
    <t>shitao tang</t>
  </si>
  <si>
    <t>jingtao tang</t>
  </si>
  <si>
    <t>brian s thomson</t>
  </si>
  <si>
    <t>brittni thompson</t>
  </si>
  <si>
    <t>sarah k thomsen</t>
  </si>
  <si>
    <t>xingyu tian</t>
  </si>
  <si>
    <t>ying tian</t>
  </si>
  <si>
    <t>trevor j thomson</t>
  </si>
  <si>
    <t>peter r thompson</t>
  </si>
  <si>
    <t>olivia hsin i tsai</t>
  </si>
  <si>
    <t>olivia tsai</t>
  </si>
  <si>
    <t>mariana toniolo-barrios</t>
  </si>
  <si>
    <t>mariana tonioloâ€“barrios</t>
  </si>
  <si>
    <t>james thomson</t>
  </si>
  <si>
    <t>james thompson</t>
  </si>
  <si>
    <t>jenna thomson</t>
  </si>
  <si>
    <t>yiting tang</t>
  </si>
  <si>
    <t>yifan tang</t>
  </si>
  <si>
    <t>ping tan</t>
  </si>
  <si>
    <t>natasha vitkin</t>
  </si>
  <si>
    <t>natasha virginkar</t>
  </si>
  <si>
    <t>madhawa vidanapathirana</t>
  </si>
  <si>
    <t>madhawa vidanpathirana</t>
  </si>
  <si>
    <t>david gt whitehurst</t>
  </si>
  <si>
    <t>david gt whitehirst</t>
  </si>
  <si>
    <t>jennifer s wong</t>
  </si>
  <si>
    <t>jennifer wang</t>
  </si>
  <si>
    <t>jiacheng r wang</t>
  </si>
  <si>
    <t>tianzheng wang</t>
  </si>
  <si>
    <t>jiahe wang</t>
  </si>
  <si>
    <t>jeffrey j warren</t>
  </si>
  <si>
    <t>jeffrey wael</t>
  </si>
  <si>
    <t>liangliang wang</t>
  </si>
  <si>
    <t>fangxing wang</t>
  </si>
  <si>
    <t>xiangxiang wang</t>
  </si>
  <si>
    <t>xiaogang wang</t>
  </si>
  <si>
    <t>jiannan wang</t>
  </si>
  <si>
    <t>rina wang</t>
  </si>
  <si>
    <t>xinglu wang</t>
  </si>
  <si>
    <t>xin wang</t>
  </si>
  <si>
    <t>yanbin wang</t>
  </si>
  <si>
    <t>ryan r woods</t>
  </si>
  <si>
    <t>brad d woods</t>
  </si>
  <si>
    <t>rachel weldrick</t>
  </si>
  <si>
    <t>rachel warwick</t>
  </si>
  <si>
    <t>bixia wang</t>
  </si>
  <si>
    <t>shijia wang</t>
  </si>
  <si>
    <t>zheng wu</t>
  </si>
  <si>
    <t>peng wu</t>
  </si>
  <si>
    <t>zewen wu</t>
  </si>
  <si>
    <t>di wu</t>
  </si>
  <si>
    <t>edith wu</t>
  </si>
  <si>
    <t>sidi wu</t>
  </si>
  <si>
    <t>yuepeng wang</t>
  </si>
  <si>
    <t>yule wang</t>
  </si>
  <si>
    <t>feng wang</t>
  </si>
  <si>
    <t>peiling wang</t>
  </si>
  <si>
    <t>yue wang</t>
  </si>
  <si>
    <t>yang wang</t>
  </si>
  <si>
    <t>andrew g wright</t>
  </si>
  <si>
    <t>andrew s wright</t>
  </si>
  <si>
    <t>kenneth kin lam wong</t>
  </si>
  <si>
    <t>kenneth ck wong</t>
  </si>
  <si>
    <t>kahung wong</t>
  </si>
  <si>
    <t>senhung wong</t>
  </si>
  <si>
    <t>noelle warkentin</t>
  </si>
  <si>
    <t>luke warkentin</t>
  </si>
  <si>
    <t>pei wang</t>
  </si>
  <si>
    <t>yi wang</t>
  </si>
  <si>
    <t>fenqi wang</t>
  </si>
  <si>
    <t>jie wang</t>
  </si>
  <si>
    <t>zhe wang</t>
  </si>
  <si>
    <t>peiwei wang</t>
  </si>
  <si>
    <t>yufei wang</t>
  </si>
  <si>
    <t>ke wang</t>
  </si>
  <si>
    <t>amanda wallace</t>
  </si>
  <si>
    <t>alannah wallace</t>
  </si>
  <si>
    <t>chloe white</t>
  </si>
  <si>
    <t>nicole white</t>
  </si>
  <si>
    <t>yizhi wang</t>
  </si>
  <si>
    <t>yitong wang</t>
  </si>
  <si>
    <t>mengyi wang</t>
  </si>
  <si>
    <t>zezhong wang</t>
  </si>
  <si>
    <t>shaun p wong</t>
  </si>
  <si>
    <t>qi wen</t>
  </si>
  <si>
    <t>xin wen</t>
  </si>
  <si>
    <t>yang wu</t>
  </si>
  <si>
    <t>yuefan wu</t>
  </si>
  <si>
    <t>zhuangfei wang</t>
  </si>
  <si>
    <t>heather williams</t>
  </si>
  <si>
    <t>peter w willimas</t>
  </si>
  <si>
    <t>xiaoying wang</t>
  </si>
  <si>
    <t>robert l williamson</t>
  </si>
  <si>
    <t>scott n williamson</t>
  </si>
  <si>
    <t>sara williamson</t>
  </si>
  <si>
    <t>tessa williams</t>
  </si>
  <si>
    <t>zhengqing wang</t>
  </si>
  <si>
    <t>mengqin wang</t>
  </si>
  <si>
    <t>renjie wang</t>
  </si>
  <si>
    <t>xin wei</t>
  </si>
  <si>
    <t>xiaolei wang</t>
  </si>
  <si>
    <t>z m wang</t>
  </si>
  <si>
    <t>james whitehead</t>
  </si>
  <si>
    <t>jenna whitehead</t>
  </si>
  <si>
    <t>jason wang</t>
  </si>
  <si>
    <t>tao wang</t>
  </si>
  <si>
    <t>natalie c williams</t>
  </si>
  <si>
    <t>jonathan f williams</t>
  </si>
  <si>
    <t>pei wu</t>
  </si>
  <si>
    <t>aleyah williams</t>
  </si>
  <si>
    <t>hui xie</t>
  </si>
  <si>
    <t>yi xie</t>
  </si>
  <si>
    <t>jing xu</t>
  </si>
  <si>
    <t>xiang xu</t>
  </si>
  <si>
    <t>qihan xu</t>
  </si>
  <si>
    <t>linghao xu</t>
  </si>
  <si>
    <t>qinghong xu</t>
  </si>
  <si>
    <t>zuo guang ye</t>
  </si>
  <si>
    <t>zuoâ€‘guang g ye</t>
  </si>
  <si>
    <t>huazhong hogan yu</t>
  </si>
  <si>
    <t>huazhong yu</t>
  </si>
  <si>
    <t>dongya yang</t>
  </si>
  <si>
    <t>xingdong yang</t>
  </si>
  <si>
    <t>donna yung</t>
  </si>
  <si>
    <t>diana yang</t>
  </si>
  <si>
    <t>xingguang yan</t>
  </si>
  <si>
    <t>yi yuan</t>
  </si>
  <si>
    <t>ye yuan</t>
  </si>
  <si>
    <t>lillian yang</t>
  </si>
  <si>
    <t>yijian yang</t>
  </si>
  <si>
    <t>yupin yang</t>
  </si>
  <si>
    <t>yuping yang</t>
  </si>
  <si>
    <t>yiqiu yang</t>
  </si>
  <si>
    <t>jeffrey yip</t>
  </si>
  <si>
    <t>jefferey yue</t>
  </si>
  <si>
    <t>nancy yang</t>
  </si>
  <si>
    <t>andy yan</t>
  </si>
  <si>
    <t>yang yu</t>
  </si>
  <si>
    <t>ying yu</t>
  </si>
  <si>
    <t>faye y yuan</t>
  </si>
  <si>
    <t>jesse young</t>
  </si>
  <si>
    <t>james young</t>
  </si>
  <si>
    <t>andy yoon</t>
  </si>
  <si>
    <t>pamela young</t>
  </si>
  <si>
    <t>hao richard zhang</t>
  </si>
  <si>
    <t>richard zhang</t>
  </si>
  <si>
    <t>howard zhang</t>
  </si>
  <si>
    <t>hao zhang</t>
  </si>
  <si>
    <t>miao zhang</t>
  </si>
  <si>
    <t>xiao zang</t>
  </si>
  <si>
    <t>hua zhang</t>
  </si>
  <si>
    <t>ray zhang</t>
  </si>
  <si>
    <t>xiao zhang</t>
  </si>
  <si>
    <t>mohan zhang</t>
  </si>
  <si>
    <t>harry zhuang</t>
  </si>
  <si>
    <t>nan zhang</t>
  </si>
  <si>
    <t>xiaoya zhang</t>
  </si>
  <si>
    <t>hang zhou</t>
  </si>
  <si>
    <t>chenyang zhu</t>
  </si>
  <si>
    <t>sha zhu</t>
  </si>
  <si>
    <t>yang zou</t>
  </si>
  <si>
    <t>haoxuan zhou</t>
  </si>
  <si>
    <t>wang zhu</t>
  </si>
  <si>
    <t>chen zhou</t>
  </si>
  <si>
    <t>jia zhao</t>
  </si>
  <si>
    <t>jinyan zhao</t>
  </si>
  <si>
    <t>sida zhao</t>
  </si>
  <si>
    <t>kai zhao</t>
  </si>
  <si>
    <t>xin zhao</t>
  </si>
  <si>
    <t>di zhao</t>
  </si>
  <si>
    <t>xiaoxing zhang</t>
  </si>
  <si>
    <t>xiaowen zhang</t>
  </si>
  <si>
    <t>xiaokong zhang</t>
  </si>
  <si>
    <t>yanping zhu</t>
  </si>
  <si>
    <t>yanqing zhang</t>
  </si>
  <si>
    <t>yangqing zhao</t>
  </si>
  <si>
    <t>ce zhong</t>
  </si>
  <si>
    <t>ke zhang</t>
  </si>
  <si>
    <t>jiajie zang</t>
  </si>
  <si>
    <t>jianqiu zhang</t>
  </si>
  <si>
    <t>jiarui zhang</t>
  </si>
  <si>
    <t>jiajie zhang</t>
  </si>
  <si>
    <t>jie zhang</t>
  </si>
  <si>
    <t>yushu zhu</t>
  </si>
  <si>
    <t>yifei zhu</t>
  </si>
  <si>
    <t>feida zhu</t>
  </si>
  <si>
    <t>xin zhang</t>
  </si>
  <si>
    <t>chuxuan zhang</t>
  </si>
  <si>
    <t>fuyang zhang</t>
  </si>
  <si>
    <t>yijuan zhang</t>
  </si>
  <si>
    <t>yuxuan zhang</t>
  </si>
  <si>
    <t>yanshu zhang</t>
  </si>
  <si>
    <t>yutian zhang</t>
  </si>
  <si>
    <t>rui zhang</t>
  </si>
  <si>
    <t>zhilin zhang</t>
  </si>
  <si>
    <t>zhitian zhang</t>
  </si>
  <si>
    <t>lishen zhang</t>
  </si>
  <si>
    <t>jin zhang</t>
  </si>
  <si>
    <t>yiming zhang</t>
  </si>
  <si>
    <t>ruilin zhang</t>
  </si>
  <si>
    <t>xilun zhang</t>
  </si>
  <si>
    <t>zidong zhang</t>
  </si>
  <si>
    <t>yuzhi zhang</t>
  </si>
  <si>
    <t>lin zhang</t>
  </si>
  <si>
    <t>peng zhang</t>
  </si>
  <si>
    <t>pengpeng zhang</t>
  </si>
  <si>
    <t>liheng zhuang</t>
  </si>
  <si>
    <t>xueying zhang</t>
  </si>
  <si>
    <t>carson o zellman</t>
  </si>
  <si>
    <t>carson o zellmann-parrotta</t>
  </si>
  <si>
    <t>mengliu zhao</t>
  </si>
  <si>
    <t>mingrui zhao</t>
  </si>
  <si>
    <t>haoyuan zhao</t>
  </si>
  <si>
    <t>wenyuan zhou</t>
  </si>
  <si>
    <t>guojuan zhang</t>
  </si>
  <si>
    <t>yanyan zhang</t>
  </si>
  <si>
    <t>sarah zhang</t>
  </si>
  <si>
    <t>maryam zarei</t>
  </si>
  <si>
    <t>maryiam zahoor</t>
  </si>
  <si>
    <t>kaikai zhao</t>
  </si>
  <si>
    <t>haikai zhao</t>
  </si>
  <si>
    <t>tingyu zhang</t>
  </si>
  <si>
    <t>weiji zhang</t>
  </si>
  <si>
    <t>ligeng zhu</t>
  </si>
  <si>
    <t>xinyu zhao</t>
  </si>
  <si>
    <t>lingling zhang</t>
  </si>
  <si>
    <t>qingxin zhang</t>
  </si>
  <si>
    <t>ying zeng</t>
  </si>
  <si>
    <t>lanqing zhao</t>
  </si>
  <si>
    <t>weiling zheng</t>
  </si>
  <si>
    <t>mi zhou</t>
  </si>
  <si>
    <t>siyu zhou</t>
  </si>
  <si>
    <t>kino zhao</t>
  </si>
  <si>
    <t>erique zhang</t>
  </si>
  <si>
    <t>xuewen zhou</t>
  </si>
  <si>
    <t>wen zhou</t>
  </si>
  <si>
    <t>xinyi zhong</t>
  </si>
  <si>
    <t>yuezhi zhao</t>
  </si>
  <si>
    <t>shiqu zhou</t>
  </si>
  <si>
    <t xml:space="preserve">ok/no? </t>
  </si>
  <si>
    <t>ok</t>
  </si>
  <si>
    <t>no</t>
  </si>
  <si>
    <t>%ok</t>
  </si>
  <si>
    <t>%no</t>
  </si>
  <si>
    <t>ok/no?</t>
  </si>
  <si>
    <t xml:space="preserve">%ok </t>
  </si>
  <si>
    <t>Proportion Correct</t>
  </si>
  <si>
    <t>Proportion Wrong</t>
  </si>
  <si>
    <t>Count Correct</t>
  </si>
  <si>
    <t>Count Wrong</t>
  </si>
  <si>
    <t>wow!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</si>
</sst>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comparison!$A$2</c:f>
              <c:strCache>
                <c:ptCount val="1"/>
                <c:pt idx="0">
                  <c:v>Proportion Correct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comparison!$B$1:$H$1</c:f>
              <c:numCache>
                <c:formatCode>General</c:formatCode>
                <c:ptCount val="7"/>
                <c:pt idx="0">
                  <c:v>75</c:v>
                </c:pt>
                <c:pt idx="1">
                  <c:v>78</c:v>
                </c:pt>
                <c:pt idx="2">
                  <c:v>80</c:v>
                </c:pt>
                <c:pt idx="3">
                  <c:v>82</c:v>
                </c:pt>
                <c:pt idx="4">
                  <c:v>85</c:v>
                </c:pt>
                <c:pt idx="5">
                  <c:v>88</c:v>
                </c:pt>
                <c:pt idx="6">
                  <c:v>90</c:v>
                </c:pt>
              </c:numCache>
            </c:numRef>
          </c:cat>
          <c:val>
            <c:numRef>
              <c:f>comparison!$B$2:$H$2</c:f>
              <c:numCache>
                <c:formatCode>General</c:formatCode>
                <c:ptCount val="7"/>
                <c:pt idx="0">
                  <c:v>0.11481156879929887</c:v>
                </c:pt>
                <c:pt idx="1">
                  <c:v>0.18222891566265059</c:v>
                </c:pt>
                <c:pt idx="2">
                  <c:v>0.22851153039832284</c:v>
                </c:pt>
                <c:pt idx="3">
                  <c:v>0.31428571428571428</c:v>
                </c:pt>
                <c:pt idx="4">
                  <c:v>0.43781094527363185</c:v>
                </c:pt>
                <c:pt idx="5">
                  <c:v>0.57664233576642332</c:v>
                </c:pt>
                <c:pt idx="6">
                  <c:v>0.7155963302752294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5A-4757-AABB-B80B57204748}"/>
            </c:ext>
          </c:extLst>
        </c:ser>
        <c:ser>
          <c:idx val="1"/>
          <c:order val="1"/>
          <c:tx>
            <c:strRef>
              <c:f>comparison!$A$3</c:f>
              <c:strCache>
                <c:ptCount val="1"/>
                <c:pt idx="0">
                  <c:v>Proportion Wrong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comparison!$B$1:$H$1</c:f>
              <c:numCache>
                <c:formatCode>General</c:formatCode>
                <c:ptCount val="7"/>
                <c:pt idx="0">
                  <c:v>75</c:v>
                </c:pt>
                <c:pt idx="1">
                  <c:v>78</c:v>
                </c:pt>
                <c:pt idx="2">
                  <c:v>80</c:v>
                </c:pt>
                <c:pt idx="3">
                  <c:v>82</c:v>
                </c:pt>
                <c:pt idx="4">
                  <c:v>85</c:v>
                </c:pt>
                <c:pt idx="5">
                  <c:v>88</c:v>
                </c:pt>
                <c:pt idx="6">
                  <c:v>90</c:v>
                </c:pt>
              </c:numCache>
            </c:numRef>
          </c:cat>
          <c:val>
            <c:numRef>
              <c:f>comparison!$B$3:$H$3</c:f>
              <c:numCache>
                <c:formatCode>General</c:formatCode>
                <c:ptCount val="7"/>
                <c:pt idx="0">
                  <c:v>0.88518843120070112</c:v>
                </c:pt>
                <c:pt idx="1">
                  <c:v>0.81777108433734935</c:v>
                </c:pt>
                <c:pt idx="2">
                  <c:v>0.77148846960167716</c:v>
                </c:pt>
                <c:pt idx="3">
                  <c:v>0.68571428571428572</c:v>
                </c:pt>
                <c:pt idx="4">
                  <c:v>0.56218905472636815</c:v>
                </c:pt>
                <c:pt idx="5">
                  <c:v>0.42335766423357662</c:v>
                </c:pt>
                <c:pt idx="6">
                  <c:v>0.28440366972477066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5A-4757-AABB-B80B57204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6479215"/>
        <c:axId val="796476815"/>
      </c:lineChart>
      <c:catAx>
        <c:axId val="79647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476815"/>
        <c:crosses val="autoZero"/>
        <c:auto val="1"/>
        <c:lblAlgn val="ctr"/>
        <c:lblOffset val="100"/>
        <c:noMultiLvlLbl val="0"/>
      </c:catAx>
      <c:valAx>
        <c:axId val="79647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47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comparison!$A$6</c:f>
              <c:strCache>
                <c:ptCount val="1"/>
                <c:pt idx="0">
                  <c:v>Count Correct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comparison!$B$5:$H$5</c:f>
              <c:numCache>
                <c:formatCode>General</c:formatCode>
                <c:ptCount val="7"/>
                <c:pt idx="0">
                  <c:v>75</c:v>
                </c:pt>
                <c:pt idx="1">
                  <c:v>78</c:v>
                </c:pt>
                <c:pt idx="2">
                  <c:v>80</c:v>
                </c:pt>
                <c:pt idx="3">
                  <c:v>82</c:v>
                </c:pt>
                <c:pt idx="4">
                  <c:v>85</c:v>
                </c:pt>
                <c:pt idx="5">
                  <c:v>88</c:v>
                </c:pt>
                <c:pt idx="6">
                  <c:v>90</c:v>
                </c:pt>
              </c:numCache>
            </c:numRef>
          </c:cat>
          <c:val>
            <c:numRef>
              <c:f>comparison!$B$6:$H$6</c:f>
              <c:numCache>
                <c:formatCode>General</c:formatCode>
                <c:ptCount val="7"/>
                <c:pt idx="0">
                  <c:v>131</c:v>
                </c:pt>
                <c:pt idx="1">
                  <c:v>121</c:v>
                </c:pt>
                <c:pt idx="2">
                  <c:v>109</c:v>
                </c:pt>
                <c:pt idx="3">
                  <c:v>99</c:v>
                </c:pt>
                <c:pt idx="4">
                  <c:v>88</c:v>
                </c:pt>
                <c:pt idx="5">
                  <c:v>79</c:v>
                </c:pt>
                <c:pt idx="6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55-4697-83B1-40140999946E}"/>
            </c:ext>
          </c:extLst>
        </c:ser>
        <c:ser>
          <c:idx val="1"/>
          <c:order val="1"/>
          <c:tx>
            <c:strRef>
              <c:f>comparison!$A$7</c:f>
              <c:strCache>
                <c:ptCount val="1"/>
                <c:pt idx="0">
                  <c:v>Count Wrong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comparison!$B$5:$H$5</c:f>
              <c:numCache>
                <c:formatCode>General</c:formatCode>
                <c:ptCount val="7"/>
                <c:pt idx="0">
                  <c:v>75</c:v>
                </c:pt>
                <c:pt idx="1">
                  <c:v>78</c:v>
                </c:pt>
                <c:pt idx="2">
                  <c:v>80</c:v>
                </c:pt>
                <c:pt idx="3">
                  <c:v>82</c:v>
                </c:pt>
                <c:pt idx="4">
                  <c:v>85</c:v>
                </c:pt>
                <c:pt idx="5">
                  <c:v>88</c:v>
                </c:pt>
                <c:pt idx="6">
                  <c:v>90</c:v>
                </c:pt>
              </c:numCache>
            </c:numRef>
          </c:cat>
          <c:val>
            <c:numRef>
              <c:f>comparison!$B$7:$H$7</c:f>
              <c:numCache>
                <c:formatCode>General</c:formatCode>
                <c:ptCount val="7"/>
                <c:pt idx="0">
                  <c:v>1010</c:v>
                </c:pt>
                <c:pt idx="1">
                  <c:v>543</c:v>
                </c:pt>
                <c:pt idx="2">
                  <c:v>368</c:v>
                </c:pt>
                <c:pt idx="3">
                  <c:v>216</c:v>
                </c:pt>
                <c:pt idx="4">
                  <c:v>113</c:v>
                </c:pt>
                <c:pt idx="5">
                  <c:v>58</c:v>
                </c:pt>
                <c:pt idx="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55-4697-83B1-401409999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586751"/>
        <c:axId val="118583391"/>
      </c:lineChart>
      <c:catAx>
        <c:axId val="11858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83391"/>
        <c:crosses val="autoZero"/>
        <c:auto val="1"/>
        <c:lblAlgn val="ctr"/>
        <c:lblOffset val="100"/>
        <c:noMultiLvlLbl val="0"/>
      </c:catAx>
      <c:valAx>
        <c:axId val="11858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8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983456</xdr:colOff>
      <xdr:row>10</xdr:row>
      <xdr:rowOff>66675</xdr:rowOff>
    </xdr:from>
    <xdr:to>
      <xdr:col>7</xdr:col>
      <xdr:colOff>578643</xdr:colOff>
      <xdr:row>25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71906F-5C83-1873-6EA6-64BA95521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350042</xdr:colOff>
      <xdr:row>10</xdr:row>
      <xdr:rowOff>47625</xdr:rowOff>
    </xdr:from>
    <xdr:to>
      <xdr:col>15</xdr:col>
      <xdr:colOff>388142</xdr:colOff>
      <xdr:row>25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6ADB82-FD35-4EBC-A247-E5A9AE56B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51ED-3E61-426D-8FD7-D580A386B679}">
  <dimension ref="A1:J1142"/>
  <sheetViews>
    <sheetView tabSelected="1" workbookViewId="0">
      <selection activeCell="A2" sqref="A2"/>
    </sheetView>
  </sheetViews>
  <sheetFormatPr defaultRowHeight="14.25" x14ac:dyDescent="0.45"/>
  <cols>
    <col min="1" max="1" width="26.53125" bestFit="1" customWidth="1"/>
    <col min="2" max="2" width="25.86328125" bestFit="1" customWidth="1"/>
    <col min="3" max="4" width="11.73046875" bestFit="1" customWidth="1"/>
    <col min="5" max="5" width="13.464843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1195</v>
      </c>
    </row>
    <row r="2" spans="1:10" x14ac:dyDescent="0.45">
      <c r="A2" t="s">
        <v>5</v>
      </c>
      <c r="B2" t="s">
        <v>6</v>
      </c>
      <c r="C2">
        <v>55683085700</v>
      </c>
      <c r="D2">
        <v>59265299800</v>
      </c>
      <c r="E2">
        <v>79</v>
      </c>
      <c r="F2" t="s">
        <v>1196</v>
      </c>
      <c r="H2" t="s">
        <v>1198</v>
      </c>
      <c r="I2">
        <f>COUNTIF(F2:F1142, "ok")/1141</f>
        <v>0.11481156879929887</v>
      </c>
      <c r="J2">
        <f>COUNTIF(F2:F1142, "ok")</f>
        <v>131</v>
      </c>
    </row>
    <row r="3" spans="1:10" x14ac:dyDescent="0.45">
      <c r="A3" t="s">
        <v>7</v>
      </c>
      <c r="B3" t="s">
        <v>8</v>
      </c>
      <c r="C3">
        <v>25930284300</v>
      </c>
      <c r="D3">
        <v>57194637587</v>
      </c>
      <c r="E3">
        <v>84</v>
      </c>
      <c r="F3" t="s">
        <v>1197</v>
      </c>
      <c r="H3" t="s">
        <v>1199</v>
      </c>
      <c r="I3">
        <f>COUNTIF(F2:F1142, "no")/1141</f>
        <v>0.88518843120070112</v>
      </c>
      <c r="J3">
        <f>COUNTIF(F2:F1142, "no")</f>
        <v>1010</v>
      </c>
    </row>
    <row r="4" spans="1:10" x14ac:dyDescent="0.45">
      <c r="A4" t="s">
        <v>7</v>
      </c>
      <c r="B4" t="s">
        <v>9</v>
      </c>
      <c r="C4">
        <v>25930284300</v>
      </c>
      <c r="D4">
        <v>57204007272</v>
      </c>
      <c r="E4">
        <v>81</v>
      </c>
      <c r="F4" t="s">
        <v>1197</v>
      </c>
    </row>
    <row r="5" spans="1:10" x14ac:dyDescent="0.45">
      <c r="A5" t="s">
        <v>7</v>
      </c>
      <c r="B5" t="s">
        <v>10</v>
      </c>
      <c r="C5">
        <v>25930284300</v>
      </c>
      <c r="D5">
        <v>57373810700</v>
      </c>
      <c r="E5">
        <v>75</v>
      </c>
      <c r="F5" t="s">
        <v>1197</v>
      </c>
    </row>
    <row r="6" spans="1:10" x14ac:dyDescent="0.45">
      <c r="A6" t="s">
        <v>11</v>
      </c>
      <c r="B6" t="s">
        <v>12</v>
      </c>
      <c r="C6">
        <v>16432591400</v>
      </c>
      <c r="D6">
        <v>57195037162</v>
      </c>
      <c r="E6">
        <v>77</v>
      </c>
      <c r="F6" t="s">
        <v>1197</v>
      </c>
    </row>
    <row r="7" spans="1:10" x14ac:dyDescent="0.45">
      <c r="A7" t="s">
        <v>13</v>
      </c>
      <c r="B7" t="s">
        <v>14</v>
      </c>
      <c r="C7">
        <v>7404223891</v>
      </c>
      <c r="D7">
        <v>56902130900</v>
      </c>
      <c r="E7">
        <v>75</v>
      </c>
      <c r="F7" t="s">
        <v>1197</v>
      </c>
    </row>
    <row r="8" spans="1:10" x14ac:dyDescent="0.45">
      <c r="A8" t="s">
        <v>15</v>
      </c>
      <c r="B8" t="s">
        <v>16</v>
      </c>
      <c r="C8">
        <v>12139754400</v>
      </c>
      <c r="D8">
        <v>59262283800</v>
      </c>
      <c r="E8">
        <v>76</v>
      </c>
      <c r="F8" t="s">
        <v>1196</v>
      </c>
    </row>
    <row r="9" spans="1:10" x14ac:dyDescent="0.45">
      <c r="A9" t="s">
        <v>17</v>
      </c>
      <c r="B9" t="s">
        <v>18</v>
      </c>
      <c r="C9">
        <v>57278170200</v>
      </c>
      <c r="D9">
        <v>57212063223</v>
      </c>
      <c r="E9">
        <v>77</v>
      </c>
      <c r="F9" t="s">
        <v>1197</v>
      </c>
    </row>
    <row r="10" spans="1:10" x14ac:dyDescent="0.45">
      <c r="A10" t="s">
        <v>19</v>
      </c>
      <c r="B10" t="s">
        <v>20</v>
      </c>
      <c r="C10">
        <v>57212395140</v>
      </c>
      <c r="D10">
        <v>56239028500</v>
      </c>
      <c r="E10">
        <v>83</v>
      </c>
      <c r="F10" t="s">
        <v>1197</v>
      </c>
    </row>
    <row r="11" spans="1:10" x14ac:dyDescent="0.45">
      <c r="A11" t="s">
        <v>14</v>
      </c>
      <c r="B11" t="s">
        <v>9</v>
      </c>
      <c r="C11">
        <v>56902130900</v>
      </c>
      <c r="D11">
        <v>57204007272</v>
      </c>
      <c r="E11">
        <v>76</v>
      </c>
      <c r="F11" t="s">
        <v>1197</v>
      </c>
    </row>
    <row r="12" spans="1:10" x14ac:dyDescent="0.45">
      <c r="A12" t="s">
        <v>21</v>
      </c>
      <c r="B12" t="s">
        <v>22</v>
      </c>
      <c r="C12">
        <v>55105815400</v>
      </c>
      <c r="D12">
        <v>57216688017</v>
      </c>
      <c r="E12">
        <v>90</v>
      </c>
      <c r="F12" t="s">
        <v>1196</v>
      </c>
    </row>
    <row r="13" spans="1:10" x14ac:dyDescent="0.45">
      <c r="A13" t="s">
        <v>23</v>
      </c>
      <c r="B13" t="s">
        <v>24</v>
      </c>
      <c r="C13">
        <v>57191580250</v>
      </c>
      <c r="D13">
        <v>57208174775</v>
      </c>
      <c r="E13">
        <v>77</v>
      </c>
      <c r="F13" t="s">
        <v>1196</v>
      </c>
    </row>
    <row r="14" spans="1:10" x14ac:dyDescent="0.45">
      <c r="A14" t="s">
        <v>25</v>
      </c>
      <c r="B14" t="s">
        <v>26</v>
      </c>
      <c r="C14">
        <v>57218423351</v>
      </c>
      <c r="D14">
        <v>56965067200</v>
      </c>
      <c r="E14">
        <v>95</v>
      </c>
      <c r="F14" t="s">
        <v>1196</v>
      </c>
    </row>
    <row r="15" spans="1:10" x14ac:dyDescent="0.45">
      <c r="A15" t="s">
        <v>27</v>
      </c>
      <c r="B15" t="s">
        <v>28</v>
      </c>
      <c r="C15">
        <v>55229314100</v>
      </c>
      <c r="D15">
        <v>57216210553</v>
      </c>
      <c r="E15">
        <v>75</v>
      </c>
      <c r="F15" t="s">
        <v>1197</v>
      </c>
    </row>
    <row r="16" spans="1:10" x14ac:dyDescent="0.45">
      <c r="A16" t="s">
        <v>29</v>
      </c>
      <c r="B16" t="s">
        <v>30</v>
      </c>
      <c r="C16">
        <v>57194972852</v>
      </c>
      <c r="D16">
        <v>59422200500</v>
      </c>
      <c r="E16">
        <v>79</v>
      </c>
      <c r="F16" t="s">
        <v>1197</v>
      </c>
    </row>
    <row r="17" spans="1:6" x14ac:dyDescent="0.45">
      <c r="A17" t="s">
        <v>31</v>
      </c>
      <c r="B17" t="s">
        <v>32</v>
      </c>
      <c r="C17">
        <v>58066423600</v>
      </c>
      <c r="D17">
        <v>57217853663</v>
      </c>
      <c r="E17">
        <v>79</v>
      </c>
      <c r="F17" t="s">
        <v>1197</v>
      </c>
    </row>
    <row r="18" spans="1:6" x14ac:dyDescent="0.45">
      <c r="A18" t="s">
        <v>31</v>
      </c>
      <c r="B18" t="s">
        <v>33</v>
      </c>
      <c r="C18">
        <v>58066423600</v>
      </c>
      <c r="D18">
        <v>58382248000</v>
      </c>
      <c r="E18">
        <v>76</v>
      </c>
      <c r="F18" t="s">
        <v>1197</v>
      </c>
    </row>
    <row r="19" spans="1:6" x14ac:dyDescent="0.45">
      <c r="A19" t="s">
        <v>20</v>
      </c>
      <c r="B19" t="s">
        <v>34</v>
      </c>
      <c r="C19">
        <v>56239028500</v>
      </c>
      <c r="D19">
        <v>57211689551</v>
      </c>
      <c r="E19">
        <v>75</v>
      </c>
      <c r="F19" t="s">
        <v>1197</v>
      </c>
    </row>
    <row r="20" spans="1:6" x14ac:dyDescent="0.45">
      <c r="A20" t="s">
        <v>8</v>
      </c>
      <c r="B20" t="s">
        <v>9</v>
      </c>
      <c r="C20">
        <v>57194637587</v>
      </c>
      <c r="D20">
        <v>57204007272</v>
      </c>
      <c r="E20">
        <v>79</v>
      </c>
      <c r="F20" t="s">
        <v>1197</v>
      </c>
    </row>
    <row r="21" spans="1:6" x14ac:dyDescent="0.45">
      <c r="A21" t="s">
        <v>9</v>
      </c>
      <c r="B21" t="s">
        <v>10</v>
      </c>
      <c r="C21">
        <v>57204007272</v>
      </c>
      <c r="D21">
        <v>57373810700</v>
      </c>
      <c r="E21">
        <v>76</v>
      </c>
      <c r="F21" t="s">
        <v>1197</v>
      </c>
    </row>
    <row r="22" spans="1:6" x14ac:dyDescent="0.45">
      <c r="A22" t="s">
        <v>35</v>
      </c>
      <c r="B22" t="s">
        <v>36</v>
      </c>
      <c r="C22">
        <v>56654006700</v>
      </c>
      <c r="D22">
        <v>7102310616</v>
      </c>
      <c r="E22">
        <v>93</v>
      </c>
      <c r="F22" t="s">
        <v>1196</v>
      </c>
    </row>
    <row r="23" spans="1:6" x14ac:dyDescent="0.45">
      <c r="A23" t="s">
        <v>37</v>
      </c>
      <c r="B23" t="s">
        <v>38</v>
      </c>
      <c r="C23">
        <v>58601278900</v>
      </c>
      <c r="D23">
        <v>57226561776</v>
      </c>
      <c r="E23">
        <v>75</v>
      </c>
      <c r="F23" t="s">
        <v>1197</v>
      </c>
    </row>
    <row r="24" spans="1:6" x14ac:dyDescent="0.45">
      <c r="A24" t="s">
        <v>38</v>
      </c>
      <c r="B24" t="s">
        <v>39</v>
      </c>
      <c r="C24">
        <v>57226561776</v>
      </c>
      <c r="D24">
        <v>57216630328</v>
      </c>
      <c r="E24">
        <v>78</v>
      </c>
      <c r="F24" t="s">
        <v>1197</v>
      </c>
    </row>
    <row r="25" spans="1:6" x14ac:dyDescent="0.45">
      <c r="A25" t="s">
        <v>40</v>
      </c>
      <c r="B25" t="s">
        <v>41</v>
      </c>
      <c r="C25">
        <v>17344924200</v>
      </c>
      <c r="D25">
        <v>59806848700</v>
      </c>
      <c r="E25">
        <v>85</v>
      </c>
      <c r="F25" t="s">
        <v>1196</v>
      </c>
    </row>
    <row r="26" spans="1:6" x14ac:dyDescent="0.45">
      <c r="A26" t="s">
        <v>42</v>
      </c>
      <c r="B26" t="s">
        <v>43</v>
      </c>
      <c r="C26">
        <v>6602479101</v>
      </c>
      <c r="D26">
        <v>59465106300</v>
      </c>
      <c r="E26">
        <v>92</v>
      </c>
      <c r="F26" t="s">
        <v>1196</v>
      </c>
    </row>
    <row r="27" spans="1:6" x14ac:dyDescent="0.45">
      <c r="A27" t="s">
        <v>42</v>
      </c>
      <c r="B27" t="s">
        <v>44</v>
      </c>
      <c r="C27">
        <v>6602479101</v>
      </c>
      <c r="D27">
        <v>59119893600</v>
      </c>
      <c r="E27">
        <v>92</v>
      </c>
      <c r="F27" t="s">
        <v>1196</v>
      </c>
    </row>
    <row r="28" spans="1:6" x14ac:dyDescent="0.45">
      <c r="A28" t="s">
        <v>45</v>
      </c>
      <c r="B28" t="s">
        <v>46</v>
      </c>
      <c r="C28">
        <v>7101816384</v>
      </c>
      <c r="D28">
        <v>57207558396</v>
      </c>
      <c r="E28">
        <v>80</v>
      </c>
      <c r="F28" t="s">
        <v>1197</v>
      </c>
    </row>
    <row r="29" spans="1:6" x14ac:dyDescent="0.45">
      <c r="A29" t="s">
        <v>47</v>
      </c>
      <c r="B29" t="s">
        <v>48</v>
      </c>
      <c r="C29">
        <v>36709230100</v>
      </c>
      <c r="D29">
        <v>57218117506</v>
      </c>
      <c r="E29">
        <v>77</v>
      </c>
      <c r="F29" t="s">
        <v>1197</v>
      </c>
    </row>
    <row r="30" spans="1:6" x14ac:dyDescent="0.45">
      <c r="A30" t="s">
        <v>49</v>
      </c>
      <c r="B30" t="s">
        <v>50</v>
      </c>
      <c r="C30">
        <v>42760951000</v>
      </c>
      <c r="D30">
        <v>57937968100</v>
      </c>
      <c r="E30">
        <v>91</v>
      </c>
      <c r="F30" t="s">
        <v>1196</v>
      </c>
    </row>
    <row r="31" spans="1:6" x14ac:dyDescent="0.45">
      <c r="A31" t="s">
        <v>51</v>
      </c>
      <c r="B31" t="s">
        <v>52</v>
      </c>
      <c r="C31">
        <v>57204216471</v>
      </c>
      <c r="D31">
        <v>7004856179</v>
      </c>
      <c r="E31">
        <v>93</v>
      </c>
      <c r="F31" t="s">
        <v>1196</v>
      </c>
    </row>
    <row r="32" spans="1:6" x14ac:dyDescent="0.45">
      <c r="A32" t="s">
        <v>53</v>
      </c>
      <c r="B32" t="s">
        <v>54</v>
      </c>
      <c r="C32">
        <v>6602849168</v>
      </c>
      <c r="D32">
        <v>57209575083</v>
      </c>
      <c r="E32">
        <v>76</v>
      </c>
      <c r="F32" t="s">
        <v>1197</v>
      </c>
    </row>
    <row r="33" spans="1:6" x14ac:dyDescent="0.45">
      <c r="A33" t="s">
        <v>55</v>
      </c>
      <c r="B33" t="s">
        <v>56</v>
      </c>
      <c r="C33">
        <v>24402486100</v>
      </c>
      <c r="D33">
        <v>59751141900</v>
      </c>
      <c r="E33">
        <v>81</v>
      </c>
      <c r="F33" t="s">
        <v>1197</v>
      </c>
    </row>
    <row r="34" spans="1:6" x14ac:dyDescent="0.45">
      <c r="A34" t="s">
        <v>57</v>
      </c>
      <c r="B34" t="s">
        <v>58</v>
      </c>
      <c r="C34">
        <v>36603927000</v>
      </c>
      <c r="D34">
        <v>7006172656</v>
      </c>
      <c r="E34">
        <v>75</v>
      </c>
      <c r="F34" t="s">
        <v>1197</v>
      </c>
    </row>
    <row r="35" spans="1:6" x14ac:dyDescent="0.45">
      <c r="A35" t="s">
        <v>59</v>
      </c>
      <c r="B35" t="s">
        <v>60</v>
      </c>
      <c r="C35">
        <v>7004232335</v>
      </c>
      <c r="D35">
        <v>57218515194</v>
      </c>
      <c r="E35">
        <v>96</v>
      </c>
      <c r="F35" t="s">
        <v>1196</v>
      </c>
    </row>
    <row r="36" spans="1:6" x14ac:dyDescent="0.45">
      <c r="A36" t="s">
        <v>61</v>
      </c>
      <c r="B36" t="s">
        <v>62</v>
      </c>
      <c r="C36">
        <v>56452760200</v>
      </c>
      <c r="D36">
        <v>57215308262</v>
      </c>
      <c r="E36">
        <v>80</v>
      </c>
      <c r="F36" t="s">
        <v>1197</v>
      </c>
    </row>
    <row r="37" spans="1:6" x14ac:dyDescent="0.45">
      <c r="A37" t="s">
        <v>63</v>
      </c>
      <c r="B37" t="s">
        <v>64</v>
      </c>
      <c r="C37">
        <v>35336009100</v>
      </c>
      <c r="D37">
        <v>59467571400</v>
      </c>
      <c r="E37">
        <v>75</v>
      </c>
      <c r="F37" t="s">
        <v>1197</v>
      </c>
    </row>
    <row r="38" spans="1:6" x14ac:dyDescent="0.45">
      <c r="A38" t="s">
        <v>65</v>
      </c>
      <c r="B38" t="s">
        <v>66</v>
      </c>
      <c r="C38">
        <v>6701548100</v>
      </c>
      <c r="D38">
        <v>57568954200</v>
      </c>
      <c r="E38">
        <v>78</v>
      </c>
      <c r="F38" t="s">
        <v>1197</v>
      </c>
    </row>
    <row r="39" spans="1:6" x14ac:dyDescent="0.45">
      <c r="A39" t="s">
        <v>67</v>
      </c>
      <c r="B39" t="s">
        <v>68</v>
      </c>
      <c r="C39">
        <v>57216127007</v>
      </c>
      <c r="D39">
        <v>58797308600</v>
      </c>
      <c r="E39">
        <v>76</v>
      </c>
      <c r="F39" t="s">
        <v>1197</v>
      </c>
    </row>
    <row r="40" spans="1:6" x14ac:dyDescent="0.45">
      <c r="A40" t="s">
        <v>69</v>
      </c>
      <c r="B40" t="s">
        <v>70</v>
      </c>
      <c r="C40">
        <v>56972419000</v>
      </c>
      <c r="D40">
        <v>59009469700</v>
      </c>
      <c r="E40">
        <v>75</v>
      </c>
      <c r="F40" t="s">
        <v>1197</v>
      </c>
    </row>
    <row r="41" spans="1:6" x14ac:dyDescent="0.45">
      <c r="A41" t="s">
        <v>71</v>
      </c>
      <c r="B41" t="s">
        <v>72</v>
      </c>
      <c r="C41">
        <v>24433859000</v>
      </c>
      <c r="D41">
        <v>57225808826</v>
      </c>
      <c r="E41">
        <v>90</v>
      </c>
      <c r="F41" t="s">
        <v>1196</v>
      </c>
    </row>
    <row r="42" spans="1:6" x14ac:dyDescent="0.45">
      <c r="A42" t="s">
        <v>73</v>
      </c>
      <c r="B42" t="s">
        <v>74</v>
      </c>
      <c r="C42">
        <v>55308501200</v>
      </c>
      <c r="D42">
        <v>57193929343</v>
      </c>
      <c r="E42">
        <v>75</v>
      </c>
      <c r="F42" t="s">
        <v>1197</v>
      </c>
    </row>
    <row r="43" spans="1:6" x14ac:dyDescent="0.45">
      <c r="A43" t="s">
        <v>75</v>
      </c>
      <c r="B43" t="s">
        <v>76</v>
      </c>
      <c r="C43">
        <v>35767452200</v>
      </c>
      <c r="D43">
        <v>59551498500</v>
      </c>
      <c r="E43">
        <v>80</v>
      </c>
      <c r="F43" t="s">
        <v>1197</v>
      </c>
    </row>
    <row r="44" spans="1:6" x14ac:dyDescent="0.45">
      <c r="A44" t="s">
        <v>64</v>
      </c>
      <c r="B44" t="s">
        <v>77</v>
      </c>
      <c r="C44">
        <v>59467571400</v>
      </c>
      <c r="D44">
        <v>57543086500</v>
      </c>
      <c r="E44">
        <v>86</v>
      </c>
      <c r="F44" t="s">
        <v>1197</v>
      </c>
    </row>
    <row r="45" spans="1:6" x14ac:dyDescent="0.45">
      <c r="A45" t="s">
        <v>78</v>
      </c>
      <c r="B45" t="s">
        <v>79</v>
      </c>
      <c r="C45">
        <v>57252225100</v>
      </c>
      <c r="D45">
        <v>57224972388</v>
      </c>
      <c r="E45">
        <v>75</v>
      </c>
      <c r="F45" t="s">
        <v>1197</v>
      </c>
    </row>
    <row r="46" spans="1:6" x14ac:dyDescent="0.45">
      <c r="A46" t="s">
        <v>43</v>
      </c>
      <c r="B46" t="s">
        <v>44</v>
      </c>
      <c r="C46">
        <v>59465106300</v>
      </c>
      <c r="D46">
        <v>59119893600</v>
      </c>
      <c r="E46">
        <v>83</v>
      </c>
      <c r="F46" t="s">
        <v>1196</v>
      </c>
    </row>
    <row r="47" spans="1:6" x14ac:dyDescent="0.45">
      <c r="A47" t="s">
        <v>80</v>
      </c>
      <c r="B47" t="s">
        <v>81</v>
      </c>
      <c r="C47">
        <v>58480796700</v>
      </c>
      <c r="D47">
        <v>59482580700</v>
      </c>
      <c r="E47">
        <v>92</v>
      </c>
      <c r="F47" t="s">
        <v>1196</v>
      </c>
    </row>
    <row r="48" spans="1:6" x14ac:dyDescent="0.45">
      <c r="A48" t="s">
        <v>82</v>
      </c>
      <c r="B48" t="s">
        <v>83</v>
      </c>
      <c r="C48">
        <v>57195104543</v>
      </c>
      <c r="D48">
        <v>59812475700</v>
      </c>
      <c r="E48">
        <v>96</v>
      </c>
      <c r="F48" t="s">
        <v>1196</v>
      </c>
    </row>
    <row r="49" spans="1:6" x14ac:dyDescent="0.45">
      <c r="A49" t="s">
        <v>84</v>
      </c>
      <c r="B49" t="s">
        <v>85</v>
      </c>
      <c r="C49">
        <v>7005488549</v>
      </c>
      <c r="D49">
        <v>58680470600</v>
      </c>
      <c r="E49">
        <v>93</v>
      </c>
      <c r="F49" t="s">
        <v>1196</v>
      </c>
    </row>
    <row r="50" spans="1:6" x14ac:dyDescent="0.45">
      <c r="A50" t="s">
        <v>86</v>
      </c>
      <c r="B50" t="s">
        <v>87</v>
      </c>
      <c r="C50">
        <v>16416871500</v>
      </c>
      <c r="D50">
        <v>57221322504</v>
      </c>
      <c r="E50">
        <v>93</v>
      </c>
      <c r="F50" t="s">
        <v>1196</v>
      </c>
    </row>
    <row r="51" spans="1:6" x14ac:dyDescent="0.45">
      <c r="A51" t="s">
        <v>88</v>
      </c>
      <c r="B51" t="s">
        <v>89</v>
      </c>
      <c r="C51">
        <v>55573104300</v>
      </c>
      <c r="D51">
        <v>57203151209</v>
      </c>
      <c r="E51">
        <v>77</v>
      </c>
      <c r="F51" t="s">
        <v>1197</v>
      </c>
    </row>
    <row r="52" spans="1:6" x14ac:dyDescent="0.45">
      <c r="A52" t="s">
        <v>90</v>
      </c>
      <c r="B52" t="s">
        <v>91</v>
      </c>
      <c r="C52">
        <v>55778469600</v>
      </c>
      <c r="D52">
        <v>58547165400</v>
      </c>
      <c r="E52">
        <v>76</v>
      </c>
      <c r="F52" t="s">
        <v>1197</v>
      </c>
    </row>
    <row r="53" spans="1:6" x14ac:dyDescent="0.45">
      <c r="A53" t="s">
        <v>92</v>
      </c>
      <c r="B53" t="s">
        <v>93</v>
      </c>
      <c r="C53">
        <v>17134481500</v>
      </c>
      <c r="D53">
        <v>56997016900</v>
      </c>
      <c r="E53">
        <v>76</v>
      </c>
      <c r="F53" t="s">
        <v>1197</v>
      </c>
    </row>
    <row r="54" spans="1:6" x14ac:dyDescent="0.45">
      <c r="A54" t="s">
        <v>94</v>
      </c>
      <c r="B54" t="s">
        <v>95</v>
      </c>
      <c r="C54">
        <v>57007331200</v>
      </c>
      <c r="D54">
        <v>35306560600</v>
      </c>
      <c r="E54">
        <v>75</v>
      </c>
      <c r="F54" t="s">
        <v>1197</v>
      </c>
    </row>
    <row r="55" spans="1:6" x14ac:dyDescent="0.45">
      <c r="A55" t="s">
        <v>94</v>
      </c>
      <c r="B55" t="s">
        <v>96</v>
      </c>
      <c r="C55">
        <v>57007331200</v>
      </c>
      <c r="D55">
        <v>57202349101</v>
      </c>
      <c r="E55">
        <v>75</v>
      </c>
      <c r="F55" t="s">
        <v>1197</v>
      </c>
    </row>
    <row r="56" spans="1:6" x14ac:dyDescent="0.45">
      <c r="A56" t="s">
        <v>94</v>
      </c>
      <c r="B56" t="s">
        <v>97</v>
      </c>
      <c r="C56">
        <v>57007331200</v>
      </c>
      <c r="D56">
        <v>57842429100</v>
      </c>
      <c r="E56">
        <v>75</v>
      </c>
      <c r="F56" t="s">
        <v>1197</v>
      </c>
    </row>
    <row r="57" spans="1:6" x14ac:dyDescent="0.45">
      <c r="A57" t="s">
        <v>94</v>
      </c>
      <c r="B57" t="s">
        <v>98</v>
      </c>
      <c r="C57">
        <v>57007331200</v>
      </c>
      <c r="D57">
        <v>57218701161</v>
      </c>
      <c r="E57">
        <v>75</v>
      </c>
      <c r="F57" t="s">
        <v>1197</v>
      </c>
    </row>
    <row r="58" spans="1:6" x14ac:dyDescent="0.45">
      <c r="A58" t="s">
        <v>94</v>
      </c>
      <c r="B58" t="s">
        <v>99</v>
      </c>
      <c r="C58">
        <v>57007331200</v>
      </c>
      <c r="D58">
        <v>57221774756</v>
      </c>
      <c r="E58">
        <v>75</v>
      </c>
      <c r="F58" t="s">
        <v>1197</v>
      </c>
    </row>
    <row r="59" spans="1:6" x14ac:dyDescent="0.45">
      <c r="A59" t="s">
        <v>94</v>
      </c>
      <c r="B59" t="s">
        <v>100</v>
      </c>
      <c r="C59">
        <v>57007331200</v>
      </c>
      <c r="D59">
        <v>58745556500</v>
      </c>
      <c r="E59">
        <v>77</v>
      </c>
      <c r="F59" t="s">
        <v>1197</v>
      </c>
    </row>
    <row r="60" spans="1:6" x14ac:dyDescent="0.45">
      <c r="A60" t="s">
        <v>101</v>
      </c>
      <c r="B60" t="s">
        <v>102</v>
      </c>
      <c r="C60">
        <v>12645477200</v>
      </c>
      <c r="D60">
        <v>58313184000</v>
      </c>
      <c r="E60">
        <v>89</v>
      </c>
      <c r="F60" t="s">
        <v>1197</v>
      </c>
    </row>
    <row r="61" spans="1:6" x14ac:dyDescent="0.45">
      <c r="A61" t="s">
        <v>103</v>
      </c>
      <c r="B61" t="s">
        <v>104</v>
      </c>
      <c r="C61">
        <v>6506306176</v>
      </c>
      <c r="D61">
        <v>57222191447</v>
      </c>
      <c r="E61">
        <v>81</v>
      </c>
      <c r="F61" t="s">
        <v>1197</v>
      </c>
    </row>
    <row r="62" spans="1:6" x14ac:dyDescent="0.45">
      <c r="A62" t="s">
        <v>105</v>
      </c>
      <c r="B62" t="s">
        <v>106</v>
      </c>
      <c r="C62">
        <v>6701576968</v>
      </c>
      <c r="D62">
        <v>57221738828</v>
      </c>
      <c r="E62">
        <v>77</v>
      </c>
      <c r="F62" t="s">
        <v>1197</v>
      </c>
    </row>
    <row r="63" spans="1:6" x14ac:dyDescent="0.45">
      <c r="A63" t="s">
        <v>107</v>
      </c>
      <c r="B63" t="s">
        <v>108</v>
      </c>
      <c r="C63">
        <v>57189582857</v>
      </c>
      <c r="D63">
        <v>57191054882</v>
      </c>
      <c r="E63">
        <v>76</v>
      </c>
      <c r="F63" t="s">
        <v>1197</v>
      </c>
    </row>
    <row r="64" spans="1:6" x14ac:dyDescent="0.45">
      <c r="A64" t="s">
        <v>107</v>
      </c>
      <c r="B64" t="s">
        <v>109</v>
      </c>
      <c r="C64">
        <v>57189582857</v>
      </c>
      <c r="D64">
        <v>58030531600</v>
      </c>
      <c r="E64">
        <v>78</v>
      </c>
      <c r="F64" t="s">
        <v>1197</v>
      </c>
    </row>
    <row r="65" spans="1:6" x14ac:dyDescent="0.45">
      <c r="A65" t="s">
        <v>110</v>
      </c>
      <c r="B65" t="s">
        <v>111</v>
      </c>
      <c r="C65">
        <v>57202919677</v>
      </c>
      <c r="D65">
        <v>57209555584</v>
      </c>
      <c r="E65">
        <v>85</v>
      </c>
      <c r="F65" t="s">
        <v>1197</v>
      </c>
    </row>
    <row r="66" spans="1:6" x14ac:dyDescent="0.45">
      <c r="A66" t="s">
        <v>110</v>
      </c>
      <c r="B66" t="s">
        <v>112</v>
      </c>
      <c r="C66">
        <v>57202919677</v>
      </c>
      <c r="D66">
        <v>59135252300</v>
      </c>
      <c r="E66">
        <v>81</v>
      </c>
      <c r="F66" t="s">
        <v>1197</v>
      </c>
    </row>
    <row r="67" spans="1:6" x14ac:dyDescent="0.45">
      <c r="A67" t="s">
        <v>113</v>
      </c>
      <c r="B67" t="s">
        <v>114</v>
      </c>
      <c r="C67">
        <v>57200504717</v>
      </c>
      <c r="D67">
        <v>56040387500</v>
      </c>
      <c r="E67">
        <v>75</v>
      </c>
      <c r="F67" t="s">
        <v>1197</v>
      </c>
    </row>
    <row r="68" spans="1:6" x14ac:dyDescent="0.45">
      <c r="A68" t="s">
        <v>113</v>
      </c>
      <c r="B68" t="s">
        <v>95</v>
      </c>
      <c r="C68">
        <v>57200504717</v>
      </c>
      <c r="D68">
        <v>35306560600</v>
      </c>
      <c r="E68">
        <v>75</v>
      </c>
      <c r="F68" t="s">
        <v>1197</v>
      </c>
    </row>
    <row r="69" spans="1:6" x14ac:dyDescent="0.45">
      <c r="A69" t="s">
        <v>113</v>
      </c>
      <c r="B69" t="s">
        <v>115</v>
      </c>
      <c r="C69">
        <v>57200504717</v>
      </c>
      <c r="D69">
        <v>56612496600</v>
      </c>
      <c r="E69">
        <v>80</v>
      </c>
      <c r="F69" t="s">
        <v>1197</v>
      </c>
    </row>
    <row r="70" spans="1:6" x14ac:dyDescent="0.45">
      <c r="A70" t="s">
        <v>113</v>
      </c>
      <c r="B70" t="s">
        <v>116</v>
      </c>
      <c r="C70">
        <v>57200504717</v>
      </c>
      <c r="D70">
        <v>57220043419</v>
      </c>
      <c r="E70">
        <v>75</v>
      </c>
      <c r="F70" t="s">
        <v>1197</v>
      </c>
    </row>
    <row r="71" spans="1:6" x14ac:dyDescent="0.45">
      <c r="A71" t="s">
        <v>113</v>
      </c>
      <c r="B71" t="s">
        <v>97</v>
      </c>
      <c r="C71">
        <v>57200504717</v>
      </c>
      <c r="D71">
        <v>57842429100</v>
      </c>
      <c r="E71">
        <v>75</v>
      </c>
      <c r="F71" t="s">
        <v>1197</v>
      </c>
    </row>
    <row r="72" spans="1:6" x14ac:dyDescent="0.45">
      <c r="A72" t="s">
        <v>113</v>
      </c>
      <c r="B72" t="s">
        <v>117</v>
      </c>
      <c r="C72">
        <v>57200504717</v>
      </c>
      <c r="D72">
        <v>57219394662</v>
      </c>
      <c r="E72">
        <v>75</v>
      </c>
      <c r="F72" t="s">
        <v>1197</v>
      </c>
    </row>
    <row r="73" spans="1:6" x14ac:dyDescent="0.45">
      <c r="A73" t="s">
        <v>113</v>
      </c>
      <c r="B73" t="s">
        <v>118</v>
      </c>
      <c r="C73">
        <v>57200504717</v>
      </c>
      <c r="D73">
        <v>59549734700</v>
      </c>
      <c r="E73">
        <v>75</v>
      </c>
      <c r="F73" t="s">
        <v>1197</v>
      </c>
    </row>
    <row r="74" spans="1:6" x14ac:dyDescent="0.45">
      <c r="A74" t="s">
        <v>113</v>
      </c>
      <c r="B74" t="s">
        <v>119</v>
      </c>
      <c r="C74">
        <v>57200504717</v>
      </c>
      <c r="D74">
        <v>55049017000</v>
      </c>
      <c r="E74">
        <v>75</v>
      </c>
      <c r="F74" t="s">
        <v>1197</v>
      </c>
    </row>
    <row r="75" spans="1:6" x14ac:dyDescent="0.45">
      <c r="A75" t="s">
        <v>113</v>
      </c>
      <c r="B75" t="s">
        <v>100</v>
      </c>
      <c r="C75">
        <v>57200504717</v>
      </c>
      <c r="D75">
        <v>58745556500</v>
      </c>
      <c r="E75">
        <v>77</v>
      </c>
      <c r="F75" t="s">
        <v>1197</v>
      </c>
    </row>
    <row r="76" spans="1:6" x14ac:dyDescent="0.45">
      <c r="A76" t="s">
        <v>113</v>
      </c>
      <c r="B76" t="s">
        <v>120</v>
      </c>
      <c r="C76">
        <v>57200504717</v>
      </c>
      <c r="D76">
        <v>57464181400</v>
      </c>
      <c r="E76">
        <v>86</v>
      </c>
      <c r="F76" t="s">
        <v>1197</v>
      </c>
    </row>
    <row r="77" spans="1:6" x14ac:dyDescent="0.45">
      <c r="A77" t="s">
        <v>113</v>
      </c>
      <c r="B77" t="s">
        <v>121</v>
      </c>
      <c r="C77">
        <v>57200504717</v>
      </c>
      <c r="D77">
        <v>59817205600</v>
      </c>
      <c r="E77">
        <v>78</v>
      </c>
      <c r="F77" t="s">
        <v>1197</v>
      </c>
    </row>
    <row r="78" spans="1:6" x14ac:dyDescent="0.45">
      <c r="A78" t="s">
        <v>122</v>
      </c>
      <c r="B78" t="s">
        <v>111</v>
      </c>
      <c r="C78">
        <v>55456356100</v>
      </c>
      <c r="D78">
        <v>57209555584</v>
      </c>
      <c r="E78">
        <v>76</v>
      </c>
      <c r="F78" t="s">
        <v>1197</v>
      </c>
    </row>
    <row r="79" spans="1:6" x14ac:dyDescent="0.45">
      <c r="A79" t="s">
        <v>114</v>
      </c>
      <c r="B79" t="s">
        <v>95</v>
      </c>
      <c r="C79">
        <v>56040387500</v>
      </c>
      <c r="D79">
        <v>35306560600</v>
      </c>
      <c r="E79">
        <v>78</v>
      </c>
      <c r="F79" t="s">
        <v>1197</v>
      </c>
    </row>
    <row r="80" spans="1:6" x14ac:dyDescent="0.45">
      <c r="A80" t="s">
        <v>114</v>
      </c>
      <c r="B80" t="s">
        <v>96</v>
      </c>
      <c r="C80">
        <v>56040387500</v>
      </c>
      <c r="D80">
        <v>57202349101</v>
      </c>
      <c r="E80">
        <v>78</v>
      </c>
      <c r="F80" t="s">
        <v>1197</v>
      </c>
    </row>
    <row r="81" spans="1:6" x14ac:dyDescent="0.45">
      <c r="A81" t="s">
        <v>114</v>
      </c>
      <c r="B81" t="s">
        <v>123</v>
      </c>
      <c r="C81">
        <v>56040387500</v>
      </c>
      <c r="D81">
        <v>57992064100</v>
      </c>
      <c r="E81">
        <v>76</v>
      </c>
      <c r="F81" t="s">
        <v>1197</v>
      </c>
    </row>
    <row r="82" spans="1:6" x14ac:dyDescent="0.45">
      <c r="A82" t="s">
        <v>114</v>
      </c>
      <c r="B82" t="s">
        <v>124</v>
      </c>
      <c r="C82">
        <v>56040387500</v>
      </c>
      <c r="D82">
        <v>57328681600</v>
      </c>
      <c r="E82">
        <v>80</v>
      </c>
      <c r="F82" t="s">
        <v>1197</v>
      </c>
    </row>
    <row r="83" spans="1:6" x14ac:dyDescent="0.45">
      <c r="A83" t="s">
        <v>114</v>
      </c>
      <c r="B83" t="s">
        <v>116</v>
      </c>
      <c r="C83">
        <v>56040387500</v>
      </c>
      <c r="D83">
        <v>57220043419</v>
      </c>
      <c r="E83">
        <v>78</v>
      </c>
      <c r="F83" t="s">
        <v>1197</v>
      </c>
    </row>
    <row r="84" spans="1:6" x14ac:dyDescent="0.45">
      <c r="A84" t="s">
        <v>114</v>
      </c>
      <c r="B84" t="s">
        <v>125</v>
      </c>
      <c r="C84">
        <v>56040387500</v>
      </c>
      <c r="D84">
        <v>57214459624</v>
      </c>
      <c r="E84">
        <v>80</v>
      </c>
      <c r="F84" t="s">
        <v>1197</v>
      </c>
    </row>
    <row r="85" spans="1:6" x14ac:dyDescent="0.45">
      <c r="A85" t="s">
        <v>114</v>
      </c>
      <c r="B85" t="s">
        <v>99</v>
      </c>
      <c r="C85">
        <v>56040387500</v>
      </c>
      <c r="D85">
        <v>57221774756</v>
      </c>
      <c r="E85">
        <v>78</v>
      </c>
      <c r="F85" t="s">
        <v>1197</v>
      </c>
    </row>
    <row r="86" spans="1:6" x14ac:dyDescent="0.45">
      <c r="A86" t="s">
        <v>114</v>
      </c>
      <c r="B86" t="s">
        <v>118</v>
      </c>
      <c r="C86">
        <v>56040387500</v>
      </c>
      <c r="D86">
        <v>59549734700</v>
      </c>
      <c r="E86">
        <v>78</v>
      </c>
      <c r="F86" t="s">
        <v>1197</v>
      </c>
    </row>
    <row r="87" spans="1:6" x14ac:dyDescent="0.45">
      <c r="A87" t="s">
        <v>114</v>
      </c>
      <c r="B87" t="s">
        <v>119</v>
      </c>
      <c r="C87">
        <v>56040387500</v>
      </c>
      <c r="D87">
        <v>55049017000</v>
      </c>
      <c r="E87">
        <v>89</v>
      </c>
      <c r="F87" t="s">
        <v>1197</v>
      </c>
    </row>
    <row r="88" spans="1:6" x14ac:dyDescent="0.45">
      <c r="A88" t="s">
        <v>114</v>
      </c>
      <c r="B88" t="s">
        <v>126</v>
      </c>
      <c r="C88">
        <v>56040387500</v>
      </c>
      <c r="D88">
        <v>57198649249</v>
      </c>
      <c r="E88">
        <v>78</v>
      </c>
      <c r="F88" t="s">
        <v>1197</v>
      </c>
    </row>
    <row r="89" spans="1:6" x14ac:dyDescent="0.45">
      <c r="A89" t="s">
        <v>114</v>
      </c>
      <c r="B89" t="s">
        <v>120</v>
      </c>
      <c r="C89">
        <v>56040387500</v>
      </c>
      <c r="D89">
        <v>57464181400</v>
      </c>
      <c r="E89">
        <v>75</v>
      </c>
      <c r="F89" t="s">
        <v>1197</v>
      </c>
    </row>
    <row r="90" spans="1:6" x14ac:dyDescent="0.45">
      <c r="A90" t="s">
        <v>114</v>
      </c>
      <c r="B90" t="s">
        <v>127</v>
      </c>
      <c r="C90">
        <v>56040387500</v>
      </c>
      <c r="D90">
        <v>59353414700</v>
      </c>
      <c r="E90">
        <v>90</v>
      </c>
      <c r="F90" t="s">
        <v>1197</v>
      </c>
    </row>
    <row r="91" spans="1:6" x14ac:dyDescent="0.45">
      <c r="A91" t="s">
        <v>95</v>
      </c>
      <c r="B91" t="s">
        <v>128</v>
      </c>
      <c r="C91">
        <v>35306560600</v>
      </c>
      <c r="D91">
        <v>57214778958</v>
      </c>
      <c r="E91">
        <v>80</v>
      </c>
      <c r="F91" t="s">
        <v>1197</v>
      </c>
    </row>
    <row r="92" spans="1:6" x14ac:dyDescent="0.45">
      <c r="A92" t="s">
        <v>95</v>
      </c>
      <c r="B92" t="s">
        <v>129</v>
      </c>
      <c r="C92">
        <v>35306560600</v>
      </c>
      <c r="D92">
        <v>57382754500</v>
      </c>
      <c r="E92">
        <v>95</v>
      </c>
      <c r="F92" t="s">
        <v>1197</v>
      </c>
    </row>
    <row r="93" spans="1:6" x14ac:dyDescent="0.45">
      <c r="A93" t="s">
        <v>95</v>
      </c>
      <c r="B93" t="s">
        <v>116</v>
      </c>
      <c r="C93">
        <v>35306560600</v>
      </c>
      <c r="D93">
        <v>57220043419</v>
      </c>
      <c r="E93">
        <v>78</v>
      </c>
      <c r="F93" t="s">
        <v>1197</v>
      </c>
    </row>
    <row r="94" spans="1:6" x14ac:dyDescent="0.45">
      <c r="A94" t="s">
        <v>95</v>
      </c>
      <c r="B94" t="s">
        <v>130</v>
      </c>
      <c r="C94">
        <v>35306560600</v>
      </c>
      <c r="D94">
        <v>55447267000</v>
      </c>
      <c r="E94">
        <v>95</v>
      </c>
      <c r="F94" t="s">
        <v>1197</v>
      </c>
    </row>
    <row r="95" spans="1:6" x14ac:dyDescent="0.45">
      <c r="A95" t="s">
        <v>95</v>
      </c>
      <c r="B95" t="s">
        <v>119</v>
      </c>
      <c r="C95">
        <v>35306560600</v>
      </c>
      <c r="D95">
        <v>55049017000</v>
      </c>
      <c r="E95">
        <v>78</v>
      </c>
      <c r="F95" t="s">
        <v>1197</v>
      </c>
    </row>
    <row r="96" spans="1:6" x14ac:dyDescent="0.45">
      <c r="A96" t="s">
        <v>95</v>
      </c>
      <c r="B96" t="s">
        <v>120</v>
      </c>
      <c r="C96">
        <v>35306560600</v>
      </c>
      <c r="D96">
        <v>57464181400</v>
      </c>
      <c r="E96">
        <v>75</v>
      </c>
      <c r="F96" t="s">
        <v>1197</v>
      </c>
    </row>
    <row r="97" spans="1:6" x14ac:dyDescent="0.45">
      <c r="A97" t="s">
        <v>95</v>
      </c>
      <c r="B97" t="s">
        <v>127</v>
      </c>
      <c r="C97">
        <v>35306560600</v>
      </c>
      <c r="D97">
        <v>59353414700</v>
      </c>
      <c r="E97">
        <v>80</v>
      </c>
      <c r="F97" t="s">
        <v>1197</v>
      </c>
    </row>
    <row r="98" spans="1:6" x14ac:dyDescent="0.45">
      <c r="A98" t="s">
        <v>128</v>
      </c>
      <c r="B98" t="s">
        <v>129</v>
      </c>
      <c r="C98">
        <v>57214778958</v>
      </c>
      <c r="D98">
        <v>57382754500</v>
      </c>
      <c r="E98">
        <v>76</v>
      </c>
      <c r="F98" t="s">
        <v>1197</v>
      </c>
    </row>
    <row r="99" spans="1:6" x14ac:dyDescent="0.45">
      <c r="A99" t="s">
        <v>128</v>
      </c>
      <c r="B99" t="s">
        <v>131</v>
      </c>
      <c r="C99">
        <v>57214778958</v>
      </c>
      <c r="D99">
        <v>57432972100</v>
      </c>
      <c r="E99">
        <v>76</v>
      </c>
      <c r="F99" t="s">
        <v>1197</v>
      </c>
    </row>
    <row r="100" spans="1:6" x14ac:dyDescent="0.45">
      <c r="A100" t="s">
        <v>128</v>
      </c>
      <c r="B100" t="s">
        <v>132</v>
      </c>
      <c r="C100">
        <v>57214778958</v>
      </c>
      <c r="D100">
        <v>58018476700</v>
      </c>
      <c r="E100">
        <v>76</v>
      </c>
      <c r="F100" t="s">
        <v>1197</v>
      </c>
    </row>
    <row r="101" spans="1:6" x14ac:dyDescent="0.45">
      <c r="A101" s="2" t="s">
        <v>128</v>
      </c>
      <c r="B101" s="2" t="s">
        <v>130</v>
      </c>
      <c r="C101" s="2">
        <v>57214778958</v>
      </c>
      <c r="D101" s="2">
        <v>55447267000</v>
      </c>
      <c r="E101" s="2">
        <v>76</v>
      </c>
      <c r="F101" t="s">
        <v>1197</v>
      </c>
    </row>
    <row r="102" spans="1:6" x14ac:dyDescent="0.45">
      <c r="A102" t="s">
        <v>96</v>
      </c>
      <c r="B102" t="s">
        <v>99</v>
      </c>
      <c r="C102">
        <v>57202349101</v>
      </c>
      <c r="D102">
        <v>57221774756</v>
      </c>
      <c r="E102">
        <v>89</v>
      </c>
      <c r="F102" t="s">
        <v>1197</v>
      </c>
    </row>
    <row r="103" spans="1:6" x14ac:dyDescent="0.45">
      <c r="A103" t="s">
        <v>96</v>
      </c>
      <c r="B103" t="s">
        <v>133</v>
      </c>
      <c r="C103">
        <v>57202349101</v>
      </c>
      <c r="D103">
        <v>58666893100</v>
      </c>
      <c r="E103">
        <v>76</v>
      </c>
      <c r="F103" t="s">
        <v>1197</v>
      </c>
    </row>
    <row r="104" spans="1:6" x14ac:dyDescent="0.45">
      <c r="A104" t="s">
        <v>96</v>
      </c>
      <c r="B104" t="s">
        <v>119</v>
      </c>
      <c r="C104">
        <v>57202349101</v>
      </c>
      <c r="D104">
        <v>55049017000</v>
      </c>
      <c r="E104">
        <v>78</v>
      </c>
      <c r="F104" t="s">
        <v>1197</v>
      </c>
    </row>
    <row r="105" spans="1:6" x14ac:dyDescent="0.45">
      <c r="A105" t="s">
        <v>96</v>
      </c>
      <c r="B105" t="s">
        <v>126</v>
      </c>
      <c r="C105">
        <v>57202349101</v>
      </c>
      <c r="D105">
        <v>57198649249</v>
      </c>
      <c r="E105">
        <v>78</v>
      </c>
      <c r="F105" t="s">
        <v>1197</v>
      </c>
    </row>
    <row r="106" spans="1:6" x14ac:dyDescent="0.45">
      <c r="A106" t="s">
        <v>115</v>
      </c>
      <c r="B106" t="s">
        <v>134</v>
      </c>
      <c r="C106">
        <v>56612496600</v>
      </c>
      <c r="D106">
        <v>57216638641</v>
      </c>
      <c r="E106">
        <v>75</v>
      </c>
      <c r="F106" t="s">
        <v>1197</v>
      </c>
    </row>
    <row r="107" spans="1:6" x14ac:dyDescent="0.45">
      <c r="A107" t="s">
        <v>115</v>
      </c>
      <c r="B107" t="s">
        <v>120</v>
      </c>
      <c r="C107">
        <v>56612496600</v>
      </c>
      <c r="D107">
        <v>57464181400</v>
      </c>
      <c r="E107">
        <v>80</v>
      </c>
      <c r="F107" t="s">
        <v>1197</v>
      </c>
    </row>
    <row r="108" spans="1:6" x14ac:dyDescent="0.45">
      <c r="A108" t="s">
        <v>135</v>
      </c>
      <c r="B108" t="s">
        <v>136</v>
      </c>
      <c r="C108">
        <v>14059835000</v>
      </c>
      <c r="D108">
        <v>30467559600</v>
      </c>
      <c r="E108">
        <v>81</v>
      </c>
      <c r="F108" t="s">
        <v>1197</v>
      </c>
    </row>
    <row r="109" spans="1:6" x14ac:dyDescent="0.45">
      <c r="A109" t="s">
        <v>137</v>
      </c>
      <c r="B109" t="s">
        <v>138</v>
      </c>
      <c r="C109">
        <v>55797553800</v>
      </c>
      <c r="D109">
        <v>23988370900</v>
      </c>
      <c r="E109">
        <v>76</v>
      </c>
      <c r="F109" t="s">
        <v>1197</v>
      </c>
    </row>
    <row r="110" spans="1:6" x14ac:dyDescent="0.45">
      <c r="A110" t="s">
        <v>139</v>
      </c>
      <c r="B110" t="s">
        <v>140</v>
      </c>
      <c r="C110">
        <v>57211297356</v>
      </c>
      <c r="D110">
        <v>58042961200</v>
      </c>
      <c r="E110">
        <v>89</v>
      </c>
      <c r="F110" t="s">
        <v>1197</v>
      </c>
    </row>
    <row r="111" spans="1:6" x14ac:dyDescent="0.45">
      <c r="A111" t="s">
        <v>141</v>
      </c>
      <c r="B111" t="s">
        <v>142</v>
      </c>
      <c r="C111">
        <v>57217236520</v>
      </c>
      <c r="D111">
        <v>57221630885</v>
      </c>
      <c r="E111">
        <v>76</v>
      </c>
      <c r="F111" t="s">
        <v>1197</v>
      </c>
    </row>
    <row r="112" spans="1:6" x14ac:dyDescent="0.45">
      <c r="A112" t="s">
        <v>141</v>
      </c>
      <c r="B112" t="s">
        <v>131</v>
      </c>
      <c r="C112">
        <v>57217236520</v>
      </c>
      <c r="D112">
        <v>57432972100</v>
      </c>
      <c r="E112">
        <v>80</v>
      </c>
      <c r="F112" t="s">
        <v>1197</v>
      </c>
    </row>
    <row r="113" spans="1:6" x14ac:dyDescent="0.45">
      <c r="A113" t="s">
        <v>141</v>
      </c>
      <c r="B113" t="s">
        <v>134</v>
      </c>
      <c r="C113">
        <v>57217236520</v>
      </c>
      <c r="D113">
        <v>57216638641</v>
      </c>
      <c r="E113">
        <v>78</v>
      </c>
      <c r="F113" t="s">
        <v>1197</v>
      </c>
    </row>
    <row r="114" spans="1:6" x14ac:dyDescent="0.45">
      <c r="A114" t="s">
        <v>141</v>
      </c>
      <c r="B114" t="s">
        <v>121</v>
      </c>
      <c r="C114">
        <v>57217236520</v>
      </c>
      <c r="D114">
        <v>59817205600</v>
      </c>
      <c r="E114">
        <v>76</v>
      </c>
      <c r="F114" t="s">
        <v>1197</v>
      </c>
    </row>
    <row r="115" spans="1:6" x14ac:dyDescent="0.45">
      <c r="A115" t="s">
        <v>143</v>
      </c>
      <c r="B115" t="s">
        <v>144</v>
      </c>
      <c r="C115">
        <v>55520207400</v>
      </c>
      <c r="D115">
        <v>57040127500</v>
      </c>
      <c r="E115">
        <v>82</v>
      </c>
      <c r="F115" t="s">
        <v>1197</v>
      </c>
    </row>
    <row r="116" spans="1:6" x14ac:dyDescent="0.45">
      <c r="A116" t="s">
        <v>145</v>
      </c>
      <c r="B116" t="s">
        <v>140</v>
      </c>
      <c r="C116">
        <v>57188537234</v>
      </c>
      <c r="D116">
        <v>58042961200</v>
      </c>
      <c r="E116">
        <v>75</v>
      </c>
      <c r="F116" t="s">
        <v>1197</v>
      </c>
    </row>
    <row r="117" spans="1:6" x14ac:dyDescent="0.45">
      <c r="A117" t="s">
        <v>89</v>
      </c>
      <c r="B117" t="s">
        <v>142</v>
      </c>
      <c r="C117">
        <v>57203151209</v>
      </c>
      <c r="D117">
        <v>57221630885</v>
      </c>
      <c r="E117">
        <v>75</v>
      </c>
      <c r="F117" t="s">
        <v>1197</v>
      </c>
    </row>
    <row r="118" spans="1:6" x14ac:dyDescent="0.45">
      <c r="A118" t="s">
        <v>89</v>
      </c>
      <c r="B118" t="s">
        <v>119</v>
      </c>
      <c r="C118">
        <v>57203151209</v>
      </c>
      <c r="D118">
        <v>55049017000</v>
      </c>
      <c r="E118">
        <v>82</v>
      </c>
      <c r="F118" t="s">
        <v>1197</v>
      </c>
    </row>
    <row r="119" spans="1:6" x14ac:dyDescent="0.45">
      <c r="A119" t="s">
        <v>146</v>
      </c>
      <c r="B119" t="s">
        <v>147</v>
      </c>
      <c r="C119">
        <v>56572138800</v>
      </c>
      <c r="D119">
        <v>57917651800</v>
      </c>
      <c r="E119">
        <v>83</v>
      </c>
      <c r="F119" t="s">
        <v>1197</v>
      </c>
    </row>
    <row r="120" spans="1:6" x14ac:dyDescent="0.45">
      <c r="A120" t="s">
        <v>148</v>
      </c>
      <c r="B120" t="s">
        <v>118</v>
      </c>
      <c r="C120">
        <v>57193485712</v>
      </c>
      <c r="D120">
        <v>59549734700</v>
      </c>
      <c r="E120">
        <v>84</v>
      </c>
      <c r="F120" t="s">
        <v>1197</v>
      </c>
    </row>
    <row r="121" spans="1:6" x14ac:dyDescent="0.45">
      <c r="A121" t="s">
        <v>148</v>
      </c>
      <c r="B121" t="s">
        <v>134</v>
      </c>
      <c r="C121">
        <v>57193485712</v>
      </c>
      <c r="D121">
        <v>57216638641</v>
      </c>
      <c r="E121">
        <v>78</v>
      </c>
      <c r="F121" t="s">
        <v>1197</v>
      </c>
    </row>
    <row r="122" spans="1:6" x14ac:dyDescent="0.45">
      <c r="A122" t="s">
        <v>149</v>
      </c>
      <c r="B122" t="s">
        <v>109</v>
      </c>
      <c r="C122">
        <v>55440932400</v>
      </c>
      <c r="D122">
        <v>58030531600</v>
      </c>
      <c r="E122">
        <v>78</v>
      </c>
      <c r="F122" t="s">
        <v>1197</v>
      </c>
    </row>
    <row r="123" spans="1:6" x14ac:dyDescent="0.45">
      <c r="A123" t="s">
        <v>150</v>
      </c>
      <c r="B123" t="s">
        <v>151</v>
      </c>
      <c r="C123">
        <v>56536183200</v>
      </c>
      <c r="D123">
        <v>55120681800</v>
      </c>
      <c r="E123">
        <v>78</v>
      </c>
      <c r="F123" t="s">
        <v>1197</v>
      </c>
    </row>
    <row r="124" spans="1:6" x14ac:dyDescent="0.45">
      <c r="A124" t="s">
        <v>152</v>
      </c>
      <c r="B124" t="s">
        <v>153</v>
      </c>
      <c r="C124">
        <v>55260605900</v>
      </c>
      <c r="D124">
        <v>55925334100</v>
      </c>
      <c r="E124">
        <v>77</v>
      </c>
      <c r="F124" t="s">
        <v>1197</v>
      </c>
    </row>
    <row r="125" spans="1:6" x14ac:dyDescent="0.45">
      <c r="A125" t="s">
        <v>154</v>
      </c>
      <c r="B125" t="s">
        <v>155</v>
      </c>
      <c r="C125">
        <v>56085514500</v>
      </c>
      <c r="D125">
        <v>59501786900</v>
      </c>
      <c r="E125">
        <v>92</v>
      </c>
      <c r="F125" t="s">
        <v>1196</v>
      </c>
    </row>
    <row r="126" spans="1:6" x14ac:dyDescent="0.45">
      <c r="A126" t="s">
        <v>156</v>
      </c>
      <c r="B126" t="s">
        <v>157</v>
      </c>
      <c r="C126">
        <v>56714593900</v>
      </c>
      <c r="D126">
        <v>57951745400</v>
      </c>
      <c r="E126">
        <v>79</v>
      </c>
      <c r="F126" t="s">
        <v>1197</v>
      </c>
    </row>
    <row r="127" spans="1:6" x14ac:dyDescent="0.45">
      <c r="A127" t="s">
        <v>123</v>
      </c>
      <c r="B127" t="s">
        <v>119</v>
      </c>
      <c r="C127">
        <v>57992064100</v>
      </c>
      <c r="D127">
        <v>55049017000</v>
      </c>
      <c r="E127">
        <v>76</v>
      </c>
      <c r="F127" t="s">
        <v>1197</v>
      </c>
    </row>
    <row r="128" spans="1:6" x14ac:dyDescent="0.45">
      <c r="A128" t="s">
        <v>158</v>
      </c>
      <c r="B128" t="s">
        <v>159</v>
      </c>
      <c r="C128">
        <v>57581194600</v>
      </c>
      <c r="D128">
        <v>57217373503</v>
      </c>
      <c r="E128">
        <v>80</v>
      </c>
      <c r="F128" t="s">
        <v>1197</v>
      </c>
    </row>
    <row r="129" spans="1:6" x14ac:dyDescent="0.45">
      <c r="A129" t="s">
        <v>144</v>
      </c>
      <c r="B129" t="s">
        <v>160</v>
      </c>
      <c r="C129">
        <v>57040127500</v>
      </c>
      <c r="D129">
        <v>57219783123</v>
      </c>
      <c r="E129">
        <v>78</v>
      </c>
      <c r="F129" t="s">
        <v>1197</v>
      </c>
    </row>
    <row r="130" spans="1:6" x14ac:dyDescent="0.45">
      <c r="A130" t="s">
        <v>161</v>
      </c>
      <c r="B130" t="s">
        <v>162</v>
      </c>
      <c r="C130">
        <v>56250973100</v>
      </c>
      <c r="D130">
        <v>7403402211</v>
      </c>
      <c r="E130">
        <v>77</v>
      </c>
      <c r="F130" t="s">
        <v>1197</v>
      </c>
    </row>
    <row r="131" spans="1:6" x14ac:dyDescent="0.45">
      <c r="A131" t="s">
        <v>124</v>
      </c>
      <c r="B131" t="s">
        <v>116</v>
      </c>
      <c r="C131">
        <v>57328681600</v>
      </c>
      <c r="D131">
        <v>57220043419</v>
      </c>
      <c r="E131">
        <v>80</v>
      </c>
      <c r="F131" t="s">
        <v>1197</v>
      </c>
    </row>
    <row r="132" spans="1:6" x14ac:dyDescent="0.45">
      <c r="A132" t="s">
        <v>124</v>
      </c>
      <c r="B132" t="s">
        <v>121</v>
      </c>
      <c r="C132">
        <v>57328681600</v>
      </c>
      <c r="D132">
        <v>59817205600</v>
      </c>
      <c r="E132">
        <v>82</v>
      </c>
      <c r="F132" t="s">
        <v>1197</v>
      </c>
    </row>
    <row r="133" spans="1:6" x14ac:dyDescent="0.45">
      <c r="A133" t="s">
        <v>163</v>
      </c>
      <c r="B133" t="s">
        <v>164</v>
      </c>
      <c r="C133">
        <v>57200559685</v>
      </c>
      <c r="D133">
        <v>57197862831</v>
      </c>
      <c r="E133">
        <v>78</v>
      </c>
      <c r="F133" t="s">
        <v>1197</v>
      </c>
    </row>
    <row r="134" spans="1:6" x14ac:dyDescent="0.45">
      <c r="A134" t="s">
        <v>165</v>
      </c>
      <c r="B134" t="s">
        <v>166</v>
      </c>
      <c r="C134">
        <v>57467068800</v>
      </c>
      <c r="D134">
        <v>57216440698</v>
      </c>
      <c r="E134">
        <v>75</v>
      </c>
      <c r="F134" t="s">
        <v>1197</v>
      </c>
    </row>
    <row r="135" spans="1:6" x14ac:dyDescent="0.45">
      <c r="A135" t="s">
        <v>167</v>
      </c>
      <c r="B135" t="s">
        <v>168</v>
      </c>
      <c r="C135">
        <v>57210733942</v>
      </c>
      <c r="D135">
        <v>59604801800</v>
      </c>
      <c r="E135">
        <v>75</v>
      </c>
      <c r="F135" t="s">
        <v>1197</v>
      </c>
    </row>
    <row r="136" spans="1:6" x14ac:dyDescent="0.45">
      <c r="A136" t="s">
        <v>129</v>
      </c>
      <c r="B136" t="s">
        <v>130</v>
      </c>
      <c r="C136">
        <v>57382754500</v>
      </c>
      <c r="D136">
        <v>55447267000</v>
      </c>
      <c r="E136">
        <v>90</v>
      </c>
      <c r="F136" t="s">
        <v>1197</v>
      </c>
    </row>
    <row r="137" spans="1:6" x14ac:dyDescent="0.45">
      <c r="A137" t="s">
        <v>129</v>
      </c>
      <c r="B137" t="s">
        <v>127</v>
      </c>
      <c r="C137">
        <v>57382754500</v>
      </c>
      <c r="D137">
        <v>59353414700</v>
      </c>
      <c r="E137">
        <v>76</v>
      </c>
      <c r="F137" t="s">
        <v>1197</v>
      </c>
    </row>
    <row r="138" spans="1:6" x14ac:dyDescent="0.45">
      <c r="A138" t="s">
        <v>169</v>
      </c>
      <c r="B138" t="s">
        <v>170</v>
      </c>
      <c r="C138">
        <v>58827810200</v>
      </c>
      <c r="D138">
        <v>56719213100</v>
      </c>
      <c r="E138">
        <v>92</v>
      </c>
      <c r="F138" t="s">
        <v>1196</v>
      </c>
    </row>
    <row r="139" spans="1:6" x14ac:dyDescent="0.45">
      <c r="A139" t="s">
        <v>116</v>
      </c>
      <c r="B139" t="s">
        <v>171</v>
      </c>
      <c r="C139">
        <v>57220043419</v>
      </c>
      <c r="D139">
        <v>57218999689</v>
      </c>
      <c r="E139">
        <v>76</v>
      </c>
      <c r="F139" t="s">
        <v>1197</v>
      </c>
    </row>
    <row r="140" spans="1:6" x14ac:dyDescent="0.45">
      <c r="A140" t="s">
        <v>116</v>
      </c>
      <c r="B140" t="s">
        <v>117</v>
      </c>
      <c r="C140">
        <v>57220043419</v>
      </c>
      <c r="D140">
        <v>57219394662</v>
      </c>
      <c r="E140">
        <v>78</v>
      </c>
      <c r="F140" t="s">
        <v>1197</v>
      </c>
    </row>
    <row r="141" spans="1:6" x14ac:dyDescent="0.45">
      <c r="A141" t="s">
        <v>116</v>
      </c>
      <c r="B141" t="s">
        <v>172</v>
      </c>
      <c r="C141">
        <v>57220043419</v>
      </c>
      <c r="D141">
        <v>59352990300</v>
      </c>
      <c r="E141">
        <v>90</v>
      </c>
      <c r="F141" t="s">
        <v>1197</v>
      </c>
    </row>
    <row r="142" spans="1:6" x14ac:dyDescent="0.45">
      <c r="A142" t="s">
        <v>116</v>
      </c>
      <c r="B142" t="s">
        <v>119</v>
      </c>
      <c r="C142">
        <v>57220043419</v>
      </c>
      <c r="D142">
        <v>55049017000</v>
      </c>
      <c r="E142">
        <v>78</v>
      </c>
      <c r="F142" t="s">
        <v>1197</v>
      </c>
    </row>
    <row r="143" spans="1:6" x14ac:dyDescent="0.45">
      <c r="A143" t="s">
        <v>116</v>
      </c>
      <c r="B143" t="s">
        <v>126</v>
      </c>
      <c r="C143">
        <v>57220043419</v>
      </c>
      <c r="D143">
        <v>57198649249</v>
      </c>
      <c r="E143">
        <v>78</v>
      </c>
      <c r="F143" t="s">
        <v>1197</v>
      </c>
    </row>
    <row r="144" spans="1:6" x14ac:dyDescent="0.45">
      <c r="A144" t="s">
        <v>116</v>
      </c>
      <c r="B144" t="s">
        <v>120</v>
      </c>
      <c r="C144">
        <v>57220043419</v>
      </c>
      <c r="D144">
        <v>57464181400</v>
      </c>
      <c r="E144">
        <v>75</v>
      </c>
      <c r="F144" t="s">
        <v>1197</v>
      </c>
    </row>
    <row r="145" spans="1:6" x14ac:dyDescent="0.45">
      <c r="A145" t="s">
        <v>116</v>
      </c>
      <c r="B145" t="s">
        <v>121</v>
      </c>
      <c r="C145">
        <v>57220043419</v>
      </c>
      <c r="D145">
        <v>59817205600</v>
      </c>
      <c r="E145">
        <v>80</v>
      </c>
      <c r="F145" t="s">
        <v>1197</v>
      </c>
    </row>
    <row r="146" spans="1:6" x14ac:dyDescent="0.45">
      <c r="A146" t="s">
        <v>116</v>
      </c>
      <c r="B146" t="s">
        <v>127</v>
      </c>
      <c r="C146">
        <v>57220043419</v>
      </c>
      <c r="D146">
        <v>59353414700</v>
      </c>
      <c r="E146">
        <v>80</v>
      </c>
      <c r="F146" t="s">
        <v>1197</v>
      </c>
    </row>
    <row r="147" spans="1:6" x14ac:dyDescent="0.45">
      <c r="A147" t="s">
        <v>173</v>
      </c>
      <c r="B147" t="s">
        <v>117</v>
      </c>
      <c r="C147">
        <v>58830295700</v>
      </c>
      <c r="D147">
        <v>57219394662</v>
      </c>
      <c r="E147">
        <v>90</v>
      </c>
      <c r="F147" t="s">
        <v>1196</v>
      </c>
    </row>
    <row r="148" spans="1:6" x14ac:dyDescent="0.45">
      <c r="A148" t="s">
        <v>173</v>
      </c>
      <c r="B148" t="s">
        <v>132</v>
      </c>
      <c r="C148">
        <v>58830295700</v>
      </c>
      <c r="D148">
        <v>58018476700</v>
      </c>
      <c r="E148">
        <v>76</v>
      </c>
      <c r="F148" t="s">
        <v>1197</v>
      </c>
    </row>
    <row r="149" spans="1:6" x14ac:dyDescent="0.45">
      <c r="A149" t="s">
        <v>97</v>
      </c>
      <c r="B149" t="s">
        <v>98</v>
      </c>
      <c r="C149">
        <v>57842429100</v>
      </c>
      <c r="D149">
        <v>57218701161</v>
      </c>
      <c r="E149">
        <v>78</v>
      </c>
      <c r="F149" t="s">
        <v>1197</v>
      </c>
    </row>
    <row r="150" spans="1:6" x14ac:dyDescent="0.45">
      <c r="A150" t="s">
        <v>125</v>
      </c>
      <c r="B150" t="s">
        <v>174</v>
      </c>
      <c r="C150">
        <v>57214459624</v>
      </c>
      <c r="D150">
        <v>57209849920</v>
      </c>
      <c r="E150">
        <v>82</v>
      </c>
      <c r="F150" t="s">
        <v>1197</v>
      </c>
    </row>
    <row r="151" spans="1:6" x14ac:dyDescent="0.45">
      <c r="A151" t="s">
        <v>125</v>
      </c>
      <c r="B151" t="s">
        <v>126</v>
      </c>
      <c r="C151">
        <v>57214459624</v>
      </c>
      <c r="D151">
        <v>57198649249</v>
      </c>
      <c r="E151">
        <v>80</v>
      </c>
      <c r="F151" t="s">
        <v>1197</v>
      </c>
    </row>
    <row r="152" spans="1:6" x14ac:dyDescent="0.45">
      <c r="A152" t="s">
        <v>175</v>
      </c>
      <c r="B152" t="s">
        <v>176</v>
      </c>
      <c r="C152">
        <v>57382729000</v>
      </c>
      <c r="D152">
        <v>57699420000</v>
      </c>
      <c r="E152">
        <v>75</v>
      </c>
      <c r="F152" t="s">
        <v>1197</v>
      </c>
    </row>
    <row r="153" spans="1:6" x14ac:dyDescent="0.45">
      <c r="A153" t="s">
        <v>93</v>
      </c>
      <c r="B153" t="s">
        <v>177</v>
      </c>
      <c r="C153">
        <v>56997016900</v>
      </c>
      <c r="D153">
        <v>57974985600</v>
      </c>
      <c r="E153">
        <v>76</v>
      </c>
      <c r="F153" t="s">
        <v>1197</v>
      </c>
    </row>
    <row r="154" spans="1:6" x14ac:dyDescent="0.45">
      <c r="A154" t="s">
        <v>93</v>
      </c>
      <c r="B154" t="s">
        <v>178</v>
      </c>
      <c r="C154">
        <v>56997016900</v>
      </c>
      <c r="D154">
        <v>57222103241</v>
      </c>
      <c r="E154">
        <v>83</v>
      </c>
      <c r="F154" t="s">
        <v>1197</v>
      </c>
    </row>
    <row r="155" spans="1:6" x14ac:dyDescent="0.45">
      <c r="A155" t="s">
        <v>179</v>
      </c>
      <c r="B155" t="s">
        <v>180</v>
      </c>
      <c r="C155">
        <v>7005366081</v>
      </c>
      <c r="D155">
        <v>57430332400</v>
      </c>
      <c r="E155">
        <v>77</v>
      </c>
      <c r="F155" t="s">
        <v>1197</v>
      </c>
    </row>
    <row r="156" spans="1:6" x14ac:dyDescent="0.45">
      <c r="A156" t="s">
        <v>171</v>
      </c>
      <c r="B156" t="s">
        <v>181</v>
      </c>
      <c r="C156">
        <v>57218999689</v>
      </c>
      <c r="D156">
        <v>57222864840</v>
      </c>
      <c r="E156">
        <v>80</v>
      </c>
      <c r="F156" t="s">
        <v>1197</v>
      </c>
    </row>
    <row r="157" spans="1:6" x14ac:dyDescent="0.45">
      <c r="A157" t="s">
        <v>171</v>
      </c>
      <c r="B157" t="s">
        <v>172</v>
      </c>
      <c r="C157">
        <v>57218999689</v>
      </c>
      <c r="D157">
        <v>59352990300</v>
      </c>
      <c r="E157">
        <v>78</v>
      </c>
      <c r="F157" t="s">
        <v>1197</v>
      </c>
    </row>
    <row r="158" spans="1:6" x14ac:dyDescent="0.45">
      <c r="A158" t="s">
        <v>182</v>
      </c>
      <c r="B158" t="s">
        <v>183</v>
      </c>
      <c r="C158">
        <v>55716068400</v>
      </c>
      <c r="D158">
        <v>57219506217</v>
      </c>
      <c r="E158">
        <v>76</v>
      </c>
      <c r="F158" t="s">
        <v>1197</v>
      </c>
    </row>
    <row r="159" spans="1:6" x14ac:dyDescent="0.45">
      <c r="A159" t="s">
        <v>177</v>
      </c>
      <c r="B159" t="s">
        <v>178</v>
      </c>
      <c r="C159">
        <v>57974985600</v>
      </c>
      <c r="D159">
        <v>57222103241</v>
      </c>
      <c r="E159">
        <v>86</v>
      </c>
      <c r="F159" t="s">
        <v>1197</v>
      </c>
    </row>
    <row r="160" spans="1:6" x14ac:dyDescent="0.45">
      <c r="A160" t="s">
        <v>184</v>
      </c>
      <c r="B160" t="s">
        <v>174</v>
      </c>
      <c r="C160">
        <v>57219740329</v>
      </c>
      <c r="D160">
        <v>57209849920</v>
      </c>
      <c r="E160">
        <v>78</v>
      </c>
      <c r="F160" t="s">
        <v>1197</v>
      </c>
    </row>
    <row r="161" spans="1:6" x14ac:dyDescent="0.45">
      <c r="A161" t="s">
        <v>184</v>
      </c>
      <c r="B161" t="s">
        <v>99</v>
      </c>
      <c r="C161">
        <v>57219740329</v>
      </c>
      <c r="D161">
        <v>57221774756</v>
      </c>
      <c r="E161">
        <v>76</v>
      </c>
      <c r="F161" t="s">
        <v>1197</v>
      </c>
    </row>
    <row r="162" spans="1:6" x14ac:dyDescent="0.45">
      <c r="A162" t="s">
        <v>184</v>
      </c>
      <c r="B162" t="s">
        <v>133</v>
      </c>
      <c r="C162">
        <v>57219740329</v>
      </c>
      <c r="D162">
        <v>58666893100</v>
      </c>
      <c r="E162">
        <v>75</v>
      </c>
      <c r="F162" t="s">
        <v>1197</v>
      </c>
    </row>
    <row r="163" spans="1:6" x14ac:dyDescent="0.45">
      <c r="A163" t="s">
        <v>184</v>
      </c>
      <c r="B163" t="s">
        <v>126</v>
      </c>
      <c r="C163">
        <v>57219740329</v>
      </c>
      <c r="D163">
        <v>57198649249</v>
      </c>
      <c r="E163">
        <v>76</v>
      </c>
      <c r="F163" t="s">
        <v>1197</v>
      </c>
    </row>
    <row r="164" spans="1:6" x14ac:dyDescent="0.45">
      <c r="A164" t="s">
        <v>185</v>
      </c>
      <c r="B164" t="s">
        <v>186</v>
      </c>
      <c r="C164">
        <v>57200793821</v>
      </c>
      <c r="D164">
        <v>56246965800</v>
      </c>
      <c r="E164">
        <v>80</v>
      </c>
      <c r="F164" t="s">
        <v>1197</v>
      </c>
    </row>
    <row r="165" spans="1:6" x14ac:dyDescent="0.45">
      <c r="A165" t="s">
        <v>187</v>
      </c>
      <c r="B165" t="s">
        <v>188</v>
      </c>
      <c r="C165">
        <v>59336849800</v>
      </c>
      <c r="D165">
        <v>59676745300</v>
      </c>
      <c r="E165">
        <v>80</v>
      </c>
      <c r="F165" t="s">
        <v>1196</v>
      </c>
    </row>
    <row r="166" spans="1:6" x14ac:dyDescent="0.45">
      <c r="A166" t="s">
        <v>111</v>
      </c>
      <c r="B166" t="s">
        <v>112</v>
      </c>
      <c r="C166">
        <v>57209555584</v>
      </c>
      <c r="D166">
        <v>59135252300</v>
      </c>
      <c r="E166">
        <v>89</v>
      </c>
      <c r="F166" t="s">
        <v>1197</v>
      </c>
    </row>
    <row r="167" spans="1:6" x14ac:dyDescent="0.45">
      <c r="A167" t="s">
        <v>117</v>
      </c>
      <c r="B167" t="s">
        <v>132</v>
      </c>
      <c r="C167">
        <v>57219394662</v>
      </c>
      <c r="D167">
        <v>58018476700</v>
      </c>
      <c r="E167">
        <v>84</v>
      </c>
      <c r="F167" t="s">
        <v>1197</v>
      </c>
    </row>
    <row r="168" spans="1:6" x14ac:dyDescent="0.45">
      <c r="A168" t="s">
        <v>117</v>
      </c>
      <c r="B168" t="s">
        <v>126</v>
      </c>
      <c r="C168">
        <v>57219394662</v>
      </c>
      <c r="D168">
        <v>57198649249</v>
      </c>
      <c r="E168">
        <v>78</v>
      </c>
      <c r="F168" t="s">
        <v>1197</v>
      </c>
    </row>
    <row r="169" spans="1:6" x14ac:dyDescent="0.45">
      <c r="A169" t="s">
        <v>117</v>
      </c>
      <c r="B169" t="s">
        <v>120</v>
      </c>
      <c r="C169">
        <v>57219394662</v>
      </c>
      <c r="D169">
        <v>57464181400</v>
      </c>
      <c r="E169">
        <v>75</v>
      </c>
      <c r="F169" t="s">
        <v>1197</v>
      </c>
    </row>
    <row r="170" spans="1:6" x14ac:dyDescent="0.45">
      <c r="A170" t="s">
        <v>91</v>
      </c>
      <c r="B170" t="s">
        <v>189</v>
      </c>
      <c r="C170">
        <v>58547165400</v>
      </c>
      <c r="D170">
        <v>57193766143</v>
      </c>
      <c r="E170">
        <v>75</v>
      </c>
      <c r="F170" t="s">
        <v>1197</v>
      </c>
    </row>
    <row r="171" spans="1:6" x14ac:dyDescent="0.45">
      <c r="A171" t="s">
        <v>190</v>
      </c>
      <c r="B171" t="s">
        <v>191</v>
      </c>
      <c r="C171">
        <v>57821779900</v>
      </c>
      <c r="D171">
        <v>59415748800</v>
      </c>
      <c r="E171">
        <v>94</v>
      </c>
      <c r="F171" t="s">
        <v>1196</v>
      </c>
    </row>
    <row r="172" spans="1:6" x14ac:dyDescent="0.45">
      <c r="A172" t="s">
        <v>192</v>
      </c>
      <c r="B172" t="s">
        <v>193</v>
      </c>
      <c r="C172">
        <v>57209470116</v>
      </c>
      <c r="D172">
        <v>59518222600</v>
      </c>
      <c r="E172">
        <v>81</v>
      </c>
      <c r="F172" t="s">
        <v>1197</v>
      </c>
    </row>
    <row r="173" spans="1:6" x14ac:dyDescent="0.45">
      <c r="A173" t="s">
        <v>194</v>
      </c>
      <c r="B173" t="s">
        <v>155</v>
      </c>
      <c r="C173">
        <v>57889650800</v>
      </c>
      <c r="D173">
        <v>59501786900</v>
      </c>
      <c r="E173">
        <v>78</v>
      </c>
      <c r="F173" t="s">
        <v>1197</v>
      </c>
    </row>
    <row r="174" spans="1:6" x14ac:dyDescent="0.45">
      <c r="A174" t="s">
        <v>195</v>
      </c>
      <c r="B174" t="s">
        <v>174</v>
      </c>
      <c r="C174">
        <v>57222654013</v>
      </c>
      <c r="D174">
        <v>57209849920</v>
      </c>
      <c r="E174">
        <v>82</v>
      </c>
      <c r="F174" t="s">
        <v>1197</v>
      </c>
    </row>
    <row r="175" spans="1:6" x14ac:dyDescent="0.45">
      <c r="A175" t="s">
        <v>166</v>
      </c>
      <c r="B175" t="s">
        <v>196</v>
      </c>
      <c r="C175">
        <v>57216440698</v>
      </c>
      <c r="D175">
        <v>58828197400</v>
      </c>
      <c r="E175">
        <v>80</v>
      </c>
      <c r="F175" t="s">
        <v>1197</v>
      </c>
    </row>
    <row r="176" spans="1:6" x14ac:dyDescent="0.45">
      <c r="A176" t="s">
        <v>174</v>
      </c>
      <c r="B176" t="s">
        <v>126</v>
      </c>
      <c r="C176">
        <v>57209849920</v>
      </c>
      <c r="D176">
        <v>57198649249</v>
      </c>
      <c r="E176">
        <v>80</v>
      </c>
      <c r="F176" t="s">
        <v>1197</v>
      </c>
    </row>
    <row r="177" spans="1:6" x14ac:dyDescent="0.45">
      <c r="A177" t="s">
        <v>174</v>
      </c>
      <c r="B177" t="s">
        <v>197</v>
      </c>
      <c r="C177">
        <v>57209849920</v>
      </c>
      <c r="D177">
        <v>57226542790</v>
      </c>
      <c r="E177">
        <v>80</v>
      </c>
      <c r="F177" t="s">
        <v>1197</v>
      </c>
    </row>
    <row r="178" spans="1:6" x14ac:dyDescent="0.45">
      <c r="A178" t="s">
        <v>142</v>
      </c>
      <c r="B178" t="s">
        <v>132</v>
      </c>
      <c r="C178">
        <v>57221630885</v>
      </c>
      <c r="D178">
        <v>58018476700</v>
      </c>
      <c r="E178">
        <v>76</v>
      </c>
      <c r="F178" t="s">
        <v>1197</v>
      </c>
    </row>
    <row r="179" spans="1:6" x14ac:dyDescent="0.45">
      <c r="A179" t="s">
        <v>142</v>
      </c>
      <c r="B179" t="s">
        <v>134</v>
      </c>
      <c r="C179">
        <v>57221630885</v>
      </c>
      <c r="D179">
        <v>57216638641</v>
      </c>
      <c r="E179">
        <v>84</v>
      </c>
      <c r="F179" t="s">
        <v>1197</v>
      </c>
    </row>
    <row r="180" spans="1:6" x14ac:dyDescent="0.45">
      <c r="A180" t="s">
        <v>155</v>
      </c>
      <c r="B180" t="s">
        <v>198</v>
      </c>
      <c r="C180">
        <v>59501786900</v>
      </c>
      <c r="D180">
        <v>7005809540</v>
      </c>
      <c r="E180">
        <v>78</v>
      </c>
      <c r="F180" t="s">
        <v>1197</v>
      </c>
    </row>
    <row r="181" spans="1:6" x14ac:dyDescent="0.45">
      <c r="A181" t="s">
        <v>186</v>
      </c>
      <c r="B181" t="s">
        <v>199</v>
      </c>
      <c r="C181">
        <v>56246965800</v>
      </c>
      <c r="D181">
        <v>55863189900</v>
      </c>
      <c r="E181">
        <v>78</v>
      </c>
      <c r="F181" t="s">
        <v>1197</v>
      </c>
    </row>
    <row r="182" spans="1:6" x14ac:dyDescent="0.45">
      <c r="A182" t="s">
        <v>186</v>
      </c>
      <c r="B182" t="s">
        <v>153</v>
      </c>
      <c r="C182">
        <v>56246965800</v>
      </c>
      <c r="D182">
        <v>55925334100</v>
      </c>
      <c r="E182">
        <v>76</v>
      </c>
      <c r="F182" t="s">
        <v>1197</v>
      </c>
    </row>
    <row r="183" spans="1:6" x14ac:dyDescent="0.45">
      <c r="A183" t="s">
        <v>200</v>
      </c>
      <c r="B183" t="s">
        <v>201</v>
      </c>
      <c r="C183">
        <v>59807760700</v>
      </c>
      <c r="D183">
        <v>7402666341</v>
      </c>
      <c r="E183">
        <v>92</v>
      </c>
      <c r="F183" t="s">
        <v>1196</v>
      </c>
    </row>
    <row r="184" spans="1:6" x14ac:dyDescent="0.45">
      <c r="A184" t="s">
        <v>202</v>
      </c>
      <c r="B184" t="s">
        <v>168</v>
      </c>
      <c r="C184">
        <v>58117051300</v>
      </c>
      <c r="D184">
        <v>59604801800</v>
      </c>
      <c r="E184">
        <v>77</v>
      </c>
      <c r="F184" t="s">
        <v>1197</v>
      </c>
    </row>
    <row r="185" spans="1:6" x14ac:dyDescent="0.45">
      <c r="A185" t="s">
        <v>203</v>
      </c>
      <c r="B185" t="s">
        <v>199</v>
      </c>
      <c r="C185">
        <v>58148311500</v>
      </c>
      <c r="D185">
        <v>55863189900</v>
      </c>
      <c r="E185">
        <v>76</v>
      </c>
      <c r="F185" t="s">
        <v>1197</v>
      </c>
    </row>
    <row r="186" spans="1:6" x14ac:dyDescent="0.45">
      <c r="A186" t="s">
        <v>203</v>
      </c>
      <c r="B186" t="s">
        <v>153</v>
      </c>
      <c r="C186">
        <v>58148311500</v>
      </c>
      <c r="D186">
        <v>55925334100</v>
      </c>
      <c r="E186">
        <v>79</v>
      </c>
      <c r="F186" t="s">
        <v>1197</v>
      </c>
    </row>
    <row r="187" spans="1:6" x14ac:dyDescent="0.45">
      <c r="A187" t="s">
        <v>198</v>
      </c>
      <c r="B187" t="s">
        <v>204</v>
      </c>
      <c r="C187">
        <v>7005809540</v>
      </c>
      <c r="D187">
        <v>59559800200</v>
      </c>
      <c r="E187">
        <v>75</v>
      </c>
      <c r="F187" t="s">
        <v>1197</v>
      </c>
    </row>
    <row r="188" spans="1:6" x14ac:dyDescent="0.45">
      <c r="A188" t="s">
        <v>132</v>
      </c>
      <c r="B188" t="s">
        <v>100</v>
      </c>
      <c r="C188">
        <v>58018476700</v>
      </c>
      <c r="D188">
        <v>58745556500</v>
      </c>
      <c r="E188">
        <v>75</v>
      </c>
      <c r="F188" t="s">
        <v>1196</v>
      </c>
    </row>
    <row r="189" spans="1:6" x14ac:dyDescent="0.45">
      <c r="A189" t="s">
        <v>205</v>
      </c>
      <c r="B189" t="s">
        <v>206</v>
      </c>
      <c r="C189">
        <v>57226734228</v>
      </c>
      <c r="D189">
        <v>58057749400</v>
      </c>
      <c r="E189">
        <v>76</v>
      </c>
      <c r="F189" t="s">
        <v>1197</v>
      </c>
    </row>
    <row r="190" spans="1:6" x14ac:dyDescent="0.45">
      <c r="A190" t="s">
        <v>98</v>
      </c>
      <c r="B190" t="s">
        <v>118</v>
      </c>
      <c r="C190">
        <v>57218701161</v>
      </c>
      <c r="D190">
        <v>59549734700</v>
      </c>
      <c r="E190">
        <v>78</v>
      </c>
      <c r="F190" t="s">
        <v>1197</v>
      </c>
    </row>
    <row r="191" spans="1:6" x14ac:dyDescent="0.45">
      <c r="A191" t="s">
        <v>98</v>
      </c>
      <c r="B191" t="s">
        <v>134</v>
      </c>
      <c r="C191">
        <v>57218701161</v>
      </c>
      <c r="D191">
        <v>57216638641</v>
      </c>
      <c r="E191">
        <v>82</v>
      </c>
      <c r="F191" t="s">
        <v>1197</v>
      </c>
    </row>
    <row r="192" spans="1:6" x14ac:dyDescent="0.45">
      <c r="A192" t="s">
        <v>99</v>
      </c>
      <c r="B192" t="s">
        <v>133</v>
      </c>
      <c r="C192">
        <v>57221774756</v>
      </c>
      <c r="D192">
        <v>58666893100</v>
      </c>
      <c r="E192">
        <v>76</v>
      </c>
      <c r="F192" t="s">
        <v>1197</v>
      </c>
    </row>
    <row r="193" spans="1:6" x14ac:dyDescent="0.45">
      <c r="A193" t="s">
        <v>99</v>
      </c>
      <c r="B193" t="s">
        <v>119</v>
      </c>
      <c r="C193">
        <v>57221774756</v>
      </c>
      <c r="D193">
        <v>55049017000</v>
      </c>
      <c r="E193">
        <v>78</v>
      </c>
      <c r="F193" t="s">
        <v>1197</v>
      </c>
    </row>
    <row r="194" spans="1:6" x14ac:dyDescent="0.45">
      <c r="A194" t="s">
        <v>99</v>
      </c>
      <c r="B194" t="s">
        <v>126</v>
      </c>
      <c r="C194">
        <v>57221774756</v>
      </c>
      <c r="D194">
        <v>57198649249</v>
      </c>
      <c r="E194">
        <v>78</v>
      </c>
      <c r="F194" t="s">
        <v>1197</v>
      </c>
    </row>
    <row r="195" spans="1:6" x14ac:dyDescent="0.45">
      <c r="A195" t="s">
        <v>207</v>
      </c>
      <c r="B195" t="s">
        <v>208</v>
      </c>
      <c r="C195">
        <v>58287914600</v>
      </c>
      <c r="D195">
        <v>58061917200</v>
      </c>
      <c r="E195">
        <v>95</v>
      </c>
      <c r="F195" t="s">
        <v>1196</v>
      </c>
    </row>
    <row r="196" spans="1:6" x14ac:dyDescent="0.45">
      <c r="A196" t="s">
        <v>147</v>
      </c>
      <c r="B196" t="s">
        <v>209</v>
      </c>
      <c r="C196">
        <v>57917651800</v>
      </c>
      <c r="D196">
        <v>40761007700</v>
      </c>
      <c r="E196">
        <v>76</v>
      </c>
      <c r="F196" t="s">
        <v>1197</v>
      </c>
    </row>
    <row r="197" spans="1:6" x14ac:dyDescent="0.45">
      <c r="A197" t="s">
        <v>147</v>
      </c>
      <c r="B197" t="s">
        <v>210</v>
      </c>
      <c r="C197">
        <v>57917651800</v>
      </c>
      <c r="D197">
        <v>57367161300</v>
      </c>
      <c r="E197">
        <v>81</v>
      </c>
      <c r="F197" t="s">
        <v>1197</v>
      </c>
    </row>
    <row r="198" spans="1:6" x14ac:dyDescent="0.45">
      <c r="A198" t="s">
        <v>130</v>
      </c>
      <c r="B198" t="s">
        <v>172</v>
      </c>
      <c r="C198">
        <v>55447267000</v>
      </c>
      <c r="D198">
        <v>59352990300</v>
      </c>
      <c r="E198">
        <v>76</v>
      </c>
      <c r="F198" t="s">
        <v>1197</v>
      </c>
    </row>
    <row r="199" spans="1:6" x14ac:dyDescent="0.45">
      <c r="A199" t="s">
        <v>130</v>
      </c>
      <c r="B199" t="s">
        <v>127</v>
      </c>
      <c r="C199">
        <v>55447267000</v>
      </c>
      <c r="D199">
        <v>59353414700</v>
      </c>
      <c r="E199">
        <v>76</v>
      </c>
      <c r="F199" t="s">
        <v>1197</v>
      </c>
    </row>
    <row r="200" spans="1:6" x14ac:dyDescent="0.45">
      <c r="A200" t="s">
        <v>118</v>
      </c>
      <c r="B200" t="s">
        <v>134</v>
      </c>
      <c r="C200">
        <v>59549734700</v>
      </c>
      <c r="D200">
        <v>57216638641</v>
      </c>
      <c r="E200">
        <v>82</v>
      </c>
      <c r="F200" t="s">
        <v>1197</v>
      </c>
    </row>
    <row r="201" spans="1:6" x14ac:dyDescent="0.45">
      <c r="A201" s="2" t="s">
        <v>118</v>
      </c>
      <c r="B201" s="2" t="s">
        <v>120</v>
      </c>
      <c r="C201" s="2">
        <v>59549734700</v>
      </c>
      <c r="D201" s="2">
        <v>57464181400</v>
      </c>
      <c r="E201" s="2">
        <v>88</v>
      </c>
      <c r="F201" t="s">
        <v>1197</v>
      </c>
    </row>
    <row r="202" spans="1:6" x14ac:dyDescent="0.45">
      <c r="A202" t="s">
        <v>211</v>
      </c>
      <c r="B202" t="s">
        <v>212</v>
      </c>
      <c r="C202">
        <v>58959896200</v>
      </c>
      <c r="D202">
        <v>59550547800</v>
      </c>
      <c r="E202">
        <v>76</v>
      </c>
      <c r="F202" t="s">
        <v>1197</v>
      </c>
    </row>
    <row r="203" spans="1:6" x14ac:dyDescent="0.45">
      <c r="A203" t="s">
        <v>133</v>
      </c>
      <c r="B203" t="s">
        <v>183</v>
      </c>
      <c r="C203">
        <v>58666893100</v>
      </c>
      <c r="D203">
        <v>57219506217</v>
      </c>
      <c r="E203">
        <v>82</v>
      </c>
      <c r="F203" t="s">
        <v>1197</v>
      </c>
    </row>
    <row r="204" spans="1:6" x14ac:dyDescent="0.45">
      <c r="A204" t="s">
        <v>213</v>
      </c>
      <c r="B204" t="s">
        <v>214</v>
      </c>
      <c r="C204">
        <v>57221444667</v>
      </c>
      <c r="D204">
        <v>57222558845</v>
      </c>
      <c r="E204">
        <v>79</v>
      </c>
      <c r="F204" t="s">
        <v>1197</v>
      </c>
    </row>
    <row r="205" spans="1:6" x14ac:dyDescent="0.45">
      <c r="A205" t="s">
        <v>204</v>
      </c>
      <c r="B205" t="s">
        <v>215</v>
      </c>
      <c r="C205">
        <v>59559800200</v>
      </c>
      <c r="D205">
        <v>57224812353</v>
      </c>
      <c r="E205">
        <v>80</v>
      </c>
      <c r="F205" t="s">
        <v>1197</v>
      </c>
    </row>
    <row r="206" spans="1:6" x14ac:dyDescent="0.45">
      <c r="A206" t="s">
        <v>119</v>
      </c>
      <c r="B206" t="s">
        <v>100</v>
      </c>
      <c r="C206">
        <v>55049017000</v>
      </c>
      <c r="D206">
        <v>58745556500</v>
      </c>
      <c r="E206">
        <v>80</v>
      </c>
      <c r="F206" t="s">
        <v>1196</v>
      </c>
    </row>
    <row r="207" spans="1:6" x14ac:dyDescent="0.45">
      <c r="A207" t="s">
        <v>119</v>
      </c>
      <c r="B207" t="s">
        <v>126</v>
      </c>
      <c r="C207">
        <v>55049017000</v>
      </c>
      <c r="D207">
        <v>57198649249</v>
      </c>
      <c r="E207">
        <v>78</v>
      </c>
      <c r="F207" t="s">
        <v>1197</v>
      </c>
    </row>
    <row r="208" spans="1:6" x14ac:dyDescent="0.45">
      <c r="A208" t="s">
        <v>119</v>
      </c>
      <c r="B208" t="s">
        <v>120</v>
      </c>
      <c r="C208">
        <v>55049017000</v>
      </c>
      <c r="D208">
        <v>57464181400</v>
      </c>
      <c r="E208">
        <v>75</v>
      </c>
      <c r="F208" t="s">
        <v>1197</v>
      </c>
    </row>
    <row r="209" spans="1:6" x14ac:dyDescent="0.45">
      <c r="A209" t="s">
        <v>119</v>
      </c>
      <c r="B209" t="s">
        <v>127</v>
      </c>
      <c r="C209">
        <v>55049017000</v>
      </c>
      <c r="D209">
        <v>59353414700</v>
      </c>
      <c r="E209">
        <v>80</v>
      </c>
      <c r="F209" t="s">
        <v>1197</v>
      </c>
    </row>
    <row r="210" spans="1:6" x14ac:dyDescent="0.45">
      <c r="A210" t="s">
        <v>206</v>
      </c>
      <c r="B210" t="s">
        <v>216</v>
      </c>
      <c r="C210">
        <v>58057749400</v>
      </c>
      <c r="D210">
        <v>6507907377</v>
      </c>
      <c r="E210">
        <v>78</v>
      </c>
      <c r="F210" t="s">
        <v>1197</v>
      </c>
    </row>
    <row r="211" spans="1:6" x14ac:dyDescent="0.45">
      <c r="A211" t="s">
        <v>217</v>
      </c>
      <c r="B211" t="s">
        <v>157</v>
      </c>
      <c r="C211">
        <v>58573541600</v>
      </c>
      <c r="D211">
        <v>57951745400</v>
      </c>
      <c r="E211">
        <v>81</v>
      </c>
      <c r="F211" t="s">
        <v>1197</v>
      </c>
    </row>
    <row r="212" spans="1:6" x14ac:dyDescent="0.45">
      <c r="A212" t="s">
        <v>100</v>
      </c>
      <c r="B212" t="s">
        <v>120</v>
      </c>
      <c r="C212">
        <v>58745556500</v>
      </c>
      <c r="D212">
        <v>57464181400</v>
      </c>
      <c r="E212">
        <v>77</v>
      </c>
      <c r="F212" t="s">
        <v>1197</v>
      </c>
    </row>
    <row r="213" spans="1:6" x14ac:dyDescent="0.45">
      <c r="A213" t="s">
        <v>218</v>
      </c>
      <c r="B213" t="s">
        <v>219</v>
      </c>
      <c r="C213">
        <v>57201730337</v>
      </c>
      <c r="D213">
        <v>57202912172</v>
      </c>
      <c r="E213">
        <v>93</v>
      </c>
      <c r="F213" t="s">
        <v>1196</v>
      </c>
    </row>
    <row r="214" spans="1:6" x14ac:dyDescent="0.45">
      <c r="A214" t="s">
        <v>220</v>
      </c>
      <c r="B214" t="s">
        <v>221</v>
      </c>
      <c r="C214">
        <v>57211702395</v>
      </c>
      <c r="D214">
        <v>57225927794</v>
      </c>
      <c r="E214">
        <v>83</v>
      </c>
      <c r="F214" t="s">
        <v>1197</v>
      </c>
    </row>
    <row r="215" spans="1:6" x14ac:dyDescent="0.45">
      <c r="A215" t="s">
        <v>222</v>
      </c>
      <c r="B215" t="s">
        <v>223</v>
      </c>
      <c r="C215">
        <v>7004268181</v>
      </c>
      <c r="D215">
        <v>56840385400</v>
      </c>
      <c r="E215">
        <v>93</v>
      </c>
      <c r="F215" t="s">
        <v>1196</v>
      </c>
    </row>
    <row r="216" spans="1:6" x14ac:dyDescent="0.45">
      <c r="A216" t="s">
        <v>224</v>
      </c>
      <c r="B216" t="s">
        <v>225</v>
      </c>
      <c r="C216">
        <v>7003539701</v>
      </c>
      <c r="D216">
        <v>37086223400</v>
      </c>
      <c r="E216">
        <v>76</v>
      </c>
      <c r="F216" t="s">
        <v>1197</v>
      </c>
    </row>
    <row r="217" spans="1:6" x14ac:dyDescent="0.45">
      <c r="A217" t="s">
        <v>226</v>
      </c>
      <c r="B217" t="s">
        <v>227</v>
      </c>
      <c r="C217">
        <v>55580787900</v>
      </c>
      <c r="D217">
        <v>57206727735</v>
      </c>
      <c r="E217">
        <v>80</v>
      </c>
      <c r="F217" t="s">
        <v>1197</v>
      </c>
    </row>
    <row r="218" spans="1:6" x14ac:dyDescent="0.45">
      <c r="A218" t="s">
        <v>228</v>
      </c>
      <c r="B218" t="s">
        <v>229</v>
      </c>
      <c r="C218">
        <v>55827058600</v>
      </c>
      <c r="D218">
        <v>59014166800</v>
      </c>
      <c r="E218">
        <v>78</v>
      </c>
      <c r="F218" t="s">
        <v>1197</v>
      </c>
    </row>
    <row r="219" spans="1:6" x14ac:dyDescent="0.45">
      <c r="A219" t="s">
        <v>230</v>
      </c>
      <c r="B219" t="s">
        <v>231</v>
      </c>
      <c r="C219">
        <v>59157783100</v>
      </c>
      <c r="D219">
        <v>59814698200</v>
      </c>
      <c r="E219">
        <v>92</v>
      </c>
      <c r="F219" t="s">
        <v>1196</v>
      </c>
    </row>
    <row r="220" spans="1:6" x14ac:dyDescent="0.45">
      <c r="A220" t="s">
        <v>232</v>
      </c>
      <c r="B220" t="s">
        <v>233</v>
      </c>
      <c r="C220">
        <v>57287468800</v>
      </c>
      <c r="D220">
        <v>57575566400</v>
      </c>
      <c r="E220">
        <v>92</v>
      </c>
      <c r="F220" t="s">
        <v>1196</v>
      </c>
    </row>
    <row r="221" spans="1:6" x14ac:dyDescent="0.45">
      <c r="A221" t="s">
        <v>234</v>
      </c>
      <c r="B221" t="s">
        <v>235</v>
      </c>
      <c r="C221">
        <v>57204286868</v>
      </c>
      <c r="D221">
        <v>57736347300</v>
      </c>
      <c r="E221">
        <v>80</v>
      </c>
      <c r="F221" t="s">
        <v>1197</v>
      </c>
    </row>
    <row r="222" spans="1:6" x14ac:dyDescent="0.45">
      <c r="A222" t="s">
        <v>236</v>
      </c>
      <c r="B222" t="s">
        <v>237</v>
      </c>
      <c r="C222">
        <v>57224893513</v>
      </c>
      <c r="D222">
        <v>57253151600</v>
      </c>
      <c r="E222">
        <v>80</v>
      </c>
      <c r="F222" t="s">
        <v>1197</v>
      </c>
    </row>
    <row r="223" spans="1:6" x14ac:dyDescent="0.45">
      <c r="A223" t="s">
        <v>238</v>
      </c>
      <c r="B223" t="s">
        <v>239</v>
      </c>
      <c r="C223">
        <v>58766124700</v>
      </c>
      <c r="D223">
        <v>57224440277</v>
      </c>
      <c r="E223">
        <v>78</v>
      </c>
      <c r="F223" t="s">
        <v>1197</v>
      </c>
    </row>
    <row r="224" spans="1:6" x14ac:dyDescent="0.45">
      <c r="A224" t="s">
        <v>240</v>
      </c>
      <c r="B224" t="s">
        <v>241</v>
      </c>
      <c r="C224">
        <v>57038732300</v>
      </c>
      <c r="D224">
        <v>59477185400</v>
      </c>
      <c r="E224">
        <v>76</v>
      </c>
      <c r="F224" t="s">
        <v>1197</v>
      </c>
    </row>
    <row r="225" spans="1:6" x14ac:dyDescent="0.45">
      <c r="A225" t="s">
        <v>242</v>
      </c>
      <c r="B225" t="s">
        <v>243</v>
      </c>
      <c r="C225">
        <v>57792002700</v>
      </c>
      <c r="D225">
        <v>59373208900</v>
      </c>
      <c r="E225">
        <v>97</v>
      </c>
      <c r="F225" t="s">
        <v>1196</v>
      </c>
    </row>
    <row r="226" spans="1:6" x14ac:dyDescent="0.45">
      <c r="A226" t="s">
        <v>244</v>
      </c>
      <c r="B226" t="s">
        <v>245</v>
      </c>
      <c r="C226">
        <v>57212346127</v>
      </c>
      <c r="D226">
        <v>57203331764</v>
      </c>
      <c r="E226">
        <v>90</v>
      </c>
      <c r="F226" t="s">
        <v>1197</v>
      </c>
    </row>
    <row r="227" spans="1:6" x14ac:dyDescent="0.45">
      <c r="A227" t="s">
        <v>246</v>
      </c>
      <c r="B227" t="s">
        <v>247</v>
      </c>
      <c r="C227">
        <v>57569297000</v>
      </c>
      <c r="D227">
        <v>57219443652</v>
      </c>
      <c r="E227">
        <v>76</v>
      </c>
      <c r="F227" t="s">
        <v>1197</v>
      </c>
    </row>
    <row r="228" spans="1:6" x14ac:dyDescent="0.45">
      <c r="A228" t="s">
        <v>248</v>
      </c>
      <c r="B228" t="s">
        <v>249</v>
      </c>
      <c r="C228">
        <v>57215934820</v>
      </c>
      <c r="D228">
        <v>57214111535</v>
      </c>
      <c r="E228">
        <v>97</v>
      </c>
      <c r="F228" t="s">
        <v>1196</v>
      </c>
    </row>
    <row r="229" spans="1:6" x14ac:dyDescent="0.45">
      <c r="A229" t="s">
        <v>250</v>
      </c>
      <c r="B229" t="s">
        <v>251</v>
      </c>
      <c r="C229">
        <v>59647175000</v>
      </c>
      <c r="D229">
        <v>57216222262</v>
      </c>
      <c r="E229">
        <v>93</v>
      </c>
      <c r="F229" t="s">
        <v>1196</v>
      </c>
    </row>
    <row r="230" spans="1:6" x14ac:dyDescent="0.45">
      <c r="A230" t="s">
        <v>252</v>
      </c>
      <c r="B230" t="s">
        <v>253</v>
      </c>
      <c r="C230">
        <v>57192101991</v>
      </c>
      <c r="D230">
        <v>18834587500</v>
      </c>
      <c r="E230">
        <v>75</v>
      </c>
      <c r="F230" t="s">
        <v>1197</v>
      </c>
    </row>
    <row r="231" spans="1:6" x14ac:dyDescent="0.45">
      <c r="A231" t="s">
        <v>254</v>
      </c>
      <c r="B231" t="s">
        <v>255</v>
      </c>
      <c r="C231">
        <v>55620693600</v>
      </c>
      <c r="D231">
        <v>57998385200</v>
      </c>
      <c r="E231">
        <v>96</v>
      </c>
      <c r="F231" t="s">
        <v>1196</v>
      </c>
    </row>
    <row r="232" spans="1:6" x14ac:dyDescent="0.45">
      <c r="A232" t="s">
        <v>253</v>
      </c>
      <c r="B232" t="s">
        <v>256</v>
      </c>
      <c r="C232">
        <v>18834587500</v>
      </c>
      <c r="D232">
        <v>41661225900</v>
      </c>
      <c r="E232">
        <v>76</v>
      </c>
      <c r="F232" t="s">
        <v>1197</v>
      </c>
    </row>
    <row r="233" spans="1:6" x14ac:dyDescent="0.45">
      <c r="A233" t="s">
        <v>257</v>
      </c>
      <c r="B233" t="s">
        <v>258</v>
      </c>
      <c r="C233">
        <v>57201733481</v>
      </c>
      <c r="D233">
        <v>59552623300</v>
      </c>
      <c r="E233">
        <v>76</v>
      </c>
      <c r="F233" t="s">
        <v>1197</v>
      </c>
    </row>
    <row r="234" spans="1:6" x14ac:dyDescent="0.45">
      <c r="A234" t="s">
        <v>259</v>
      </c>
      <c r="B234" t="s">
        <v>260</v>
      </c>
      <c r="C234">
        <v>56483186100</v>
      </c>
      <c r="D234">
        <v>57215828343</v>
      </c>
      <c r="E234">
        <v>83</v>
      </c>
      <c r="F234" t="s">
        <v>1196</v>
      </c>
    </row>
    <row r="235" spans="1:6" x14ac:dyDescent="0.45">
      <c r="A235" t="s">
        <v>261</v>
      </c>
      <c r="B235" t="s">
        <v>262</v>
      </c>
      <c r="C235">
        <v>56856315600</v>
      </c>
      <c r="D235">
        <v>56268773600</v>
      </c>
      <c r="E235">
        <v>92</v>
      </c>
      <c r="F235" t="s">
        <v>1197</v>
      </c>
    </row>
    <row r="236" spans="1:6" x14ac:dyDescent="0.45">
      <c r="A236" t="s">
        <v>263</v>
      </c>
      <c r="B236" t="s">
        <v>264</v>
      </c>
      <c r="C236">
        <v>56175617900</v>
      </c>
      <c r="D236">
        <v>57211241158</v>
      </c>
      <c r="E236">
        <v>76</v>
      </c>
      <c r="F236" t="s">
        <v>1197</v>
      </c>
    </row>
    <row r="237" spans="1:6" x14ac:dyDescent="0.45">
      <c r="A237" t="s">
        <v>265</v>
      </c>
      <c r="B237" t="s">
        <v>266</v>
      </c>
      <c r="C237">
        <v>57194874078</v>
      </c>
      <c r="D237">
        <v>58340549400</v>
      </c>
      <c r="E237">
        <v>81</v>
      </c>
      <c r="F237" t="s">
        <v>1197</v>
      </c>
    </row>
    <row r="238" spans="1:6" x14ac:dyDescent="0.45">
      <c r="A238" t="s">
        <v>267</v>
      </c>
      <c r="B238" t="s">
        <v>268</v>
      </c>
      <c r="C238">
        <v>57220106603</v>
      </c>
      <c r="D238">
        <v>57217134072</v>
      </c>
      <c r="E238">
        <v>92</v>
      </c>
      <c r="F238" t="s">
        <v>1197</v>
      </c>
    </row>
    <row r="239" spans="1:6" x14ac:dyDescent="0.45">
      <c r="A239" t="s">
        <v>269</v>
      </c>
      <c r="B239" t="s">
        <v>270</v>
      </c>
      <c r="C239">
        <v>58023063200</v>
      </c>
      <c r="D239">
        <v>56075691300</v>
      </c>
      <c r="E239">
        <v>75</v>
      </c>
      <c r="F239" t="s">
        <v>1197</v>
      </c>
    </row>
    <row r="240" spans="1:6" x14ac:dyDescent="0.45">
      <c r="A240" t="s">
        <v>271</v>
      </c>
      <c r="B240" t="s">
        <v>272</v>
      </c>
      <c r="C240">
        <v>57197861277</v>
      </c>
      <c r="D240">
        <v>7101669229</v>
      </c>
      <c r="E240">
        <v>77</v>
      </c>
      <c r="F240" t="s">
        <v>1197</v>
      </c>
    </row>
    <row r="241" spans="1:6" x14ac:dyDescent="0.45">
      <c r="A241" t="s">
        <v>271</v>
      </c>
      <c r="B241" t="s">
        <v>273</v>
      </c>
      <c r="C241">
        <v>57197861277</v>
      </c>
      <c r="D241">
        <v>58870650000</v>
      </c>
      <c r="E241">
        <v>76</v>
      </c>
      <c r="F241" t="s">
        <v>1197</v>
      </c>
    </row>
    <row r="242" spans="1:6" x14ac:dyDescent="0.45">
      <c r="A242" t="s">
        <v>274</v>
      </c>
      <c r="B242" t="s">
        <v>275</v>
      </c>
      <c r="C242">
        <v>57216914037</v>
      </c>
      <c r="D242">
        <v>57998535800</v>
      </c>
      <c r="E242">
        <v>75</v>
      </c>
      <c r="F242" t="s">
        <v>1197</v>
      </c>
    </row>
    <row r="243" spans="1:6" x14ac:dyDescent="0.45">
      <c r="A243" t="s">
        <v>276</v>
      </c>
      <c r="B243" t="s">
        <v>277</v>
      </c>
      <c r="C243">
        <v>58558920700</v>
      </c>
      <c r="D243">
        <v>57218855997</v>
      </c>
      <c r="E243">
        <v>87</v>
      </c>
      <c r="F243" t="s">
        <v>1196</v>
      </c>
    </row>
    <row r="244" spans="1:6" x14ac:dyDescent="0.45">
      <c r="A244" t="s">
        <v>278</v>
      </c>
      <c r="B244" t="s">
        <v>279</v>
      </c>
      <c r="C244">
        <v>58311653000</v>
      </c>
      <c r="D244">
        <v>59152182400</v>
      </c>
      <c r="E244">
        <v>76</v>
      </c>
      <c r="F244" t="s">
        <v>1197</v>
      </c>
    </row>
    <row r="245" spans="1:6" x14ac:dyDescent="0.45">
      <c r="A245" t="s">
        <v>280</v>
      </c>
      <c r="B245" t="s">
        <v>279</v>
      </c>
      <c r="C245">
        <v>57204292684</v>
      </c>
      <c r="D245">
        <v>59152182400</v>
      </c>
      <c r="E245">
        <v>82</v>
      </c>
      <c r="F245" t="s">
        <v>1197</v>
      </c>
    </row>
    <row r="246" spans="1:6" x14ac:dyDescent="0.45">
      <c r="A246" t="s">
        <v>275</v>
      </c>
      <c r="B246" t="s">
        <v>264</v>
      </c>
      <c r="C246">
        <v>57998535800</v>
      </c>
      <c r="D246">
        <v>57211241158</v>
      </c>
      <c r="E246">
        <v>86</v>
      </c>
      <c r="F246" t="s">
        <v>1197</v>
      </c>
    </row>
    <row r="247" spans="1:6" x14ac:dyDescent="0.45">
      <c r="A247" t="s">
        <v>281</v>
      </c>
      <c r="B247" t="s">
        <v>282</v>
      </c>
      <c r="C247">
        <v>57200176320</v>
      </c>
      <c r="D247">
        <v>58689678000</v>
      </c>
      <c r="E247">
        <v>92</v>
      </c>
      <c r="F247" t="s">
        <v>1196</v>
      </c>
    </row>
    <row r="248" spans="1:6" x14ac:dyDescent="0.45">
      <c r="A248" t="s">
        <v>283</v>
      </c>
      <c r="B248" t="s">
        <v>284</v>
      </c>
      <c r="C248">
        <v>58317255900</v>
      </c>
      <c r="D248">
        <v>58245716100</v>
      </c>
      <c r="E248">
        <v>79</v>
      </c>
      <c r="F248" t="s">
        <v>1197</v>
      </c>
    </row>
    <row r="249" spans="1:6" x14ac:dyDescent="0.45">
      <c r="A249" t="s">
        <v>285</v>
      </c>
      <c r="B249" t="s">
        <v>286</v>
      </c>
      <c r="C249">
        <v>57723250300</v>
      </c>
      <c r="D249">
        <v>59173501800</v>
      </c>
      <c r="E249">
        <v>93</v>
      </c>
      <c r="F249" t="s">
        <v>1196</v>
      </c>
    </row>
    <row r="250" spans="1:6" x14ac:dyDescent="0.45">
      <c r="A250" t="s">
        <v>287</v>
      </c>
      <c r="B250" t="s">
        <v>288</v>
      </c>
      <c r="C250">
        <v>55628294900</v>
      </c>
      <c r="D250">
        <v>57442070700</v>
      </c>
      <c r="E250">
        <v>76</v>
      </c>
      <c r="F250" t="s">
        <v>1197</v>
      </c>
    </row>
    <row r="251" spans="1:6" x14ac:dyDescent="0.45">
      <c r="A251" t="s">
        <v>288</v>
      </c>
      <c r="B251" t="s">
        <v>289</v>
      </c>
      <c r="C251">
        <v>57442070700</v>
      </c>
      <c r="D251">
        <v>57218126790</v>
      </c>
      <c r="E251">
        <v>78</v>
      </c>
      <c r="F251" t="s">
        <v>1197</v>
      </c>
    </row>
    <row r="252" spans="1:6" x14ac:dyDescent="0.45">
      <c r="A252" t="s">
        <v>290</v>
      </c>
      <c r="B252" t="s">
        <v>291</v>
      </c>
      <c r="C252">
        <v>57252120700</v>
      </c>
      <c r="D252">
        <v>57218113455</v>
      </c>
      <c r="E252">
        <v>79</v>
      </c>
      <c r="F252" t="s">
        <v>1197</v>
      </c>
    </row>
    <row r="253" spans="1:6" x14ac:dyDescent="0.45">
      <c r="A253" t="s">
        <v>292</v>
      </c>
      <c r="B253" t="s">
        <v>293</v>
      </c>
      <c r="C253">
        <v>24359010500</v>
      </c>
      <c r="D253">
        <v>57223164224</v>
      </c>
      <c r="E253">
        <v>90</v>
      </c>
      <c r="F253" t="s">
        <v>1196</v>
      </c>
    </row>
    <row r="254" spans="1:6" x14ac:dyDescent="0.45">
      <c r="A254" t="s">
        <v>294</v>
      </c>
      <c r="B254" t="s">
        <v>295</v>
      </c>
      <c r="C254">
        <v>57190345166</v>
      </c>
      <c r="D254">
        <v>57392372000</v>
      </c>
      <c r="E254">
        <v>80</v>
      </c>
      <c r="F254" t="s">
        <v>1197</v>
      </c>
    </row>
    <row r="255" spans="1:6" x14ac:dyDescent="0.45">
      <c r="A255" t="s">
        <v>296</v>
      </c>
      <c r="B255" t="s">
        <v>297</v>
      </c>
      <c r="C255">
        <v>55625662400</v>
      </c>
      <c r="D255">
        <v>57848348500</v>
      </c>
      <c r="E255">
        <v>76</v>
      </c>
      <c r="F255" t="s">
        <v>1197</v>
      </c>
    </row>
    <row r="256" spans="1:6" x14ac:dyDescent="0.45">
      <c r="A256" t="s">
        <v>298</v>
      </c>
      <c r="B256" t="s">
        <v>299</v>
      </c>
      <c r="C256">
        <v>6507645629</v>
      </c>
      <c r="D256">
        <v>58990528300</v>
      </c>
      <c r="E256">
        <v>91</v>
      </c>
      <c r="F256" t="s">
        <v>1196</v>
      </c>
    </row>
    <row r="257" spans="1:6" x14ac:dyDescent="0.45">
      <c r="A257" t="s">
        <v>300</v>
      </c>
      <c r="B257" t="s">
        <v>301</v>
      </c>
      <c r="C257">
        <v>57205404647</v>
      </c>
      <c r="D257">
        <v>57214796746</v>
      </c>
      <c r="E257">
        <v>79</v>
      </c>
      <c r="F257" t="s">
        <v>1196</v>
      </c>
    </row>
    <row r="258" spans="1:6" x14ac:dyDescent="0.45">
      <c r="A258" t="s">
        <v>302</v>
      </c>
      <c r="B258" t="s">
        <v>303</v>
      </c>
      <c r="C258">
        <v>26429468000</v>
      </c>
      <c r="D258">
        <v>56411977100</v>
      </c>
      <c r="E258">
        <v>82</v>
      </c>
      <c r="F258" t="s">
        <v>1197</v>
      </c>
    </row>
    <row r="259" spans="1:6" x14ac:dyDescent="0.45">
      <c r="A259" t="s">
        <v>302</v>
      </c>
      <c r="B259" t="s">
        <v>304</v>
      </c>
      <c r="C259">
        <v>26429468000</v>
      </c>
      <c r="D259">
        <v>55345450100</v>
      </c>
      <c r="E259">
        <v>81</v>
      </c>
      <c r="F259" t="s">
        <v>1197</v>
      </c>
    </row>
    <row r="260" spans="1:6" x14ac:dyDescent="0.45">
      <c r="A260" t="s">
        <v>305</v>
      </c>
      <c r="B260" t="s">
        <v>306</v>
      </c>
      <c r="C260">
        <v>56863643100</v>
      </c>
      <c r="D260">
        <v>36774470600</v>
      </c>
      <c r="E260">
        <v>77</v>
      </c>
      <c r="F260" t="s">
        <v>1197</v>
      </c>
    </row>
    <row r="261" spans="1:6" x14ac:dyDescent="0.45">
      <c r="A261" t="s">
        <v>307</v>
      </c>
      <c r="B261" t="s">
        <v>308</v>
      </c>
      <c r="C261">
        <v>57216797712</v>
      </c>
      <c r="D261">
        <v>10041709300</v>
      </c>
      <c r="E261">
        <v>80</v>
      </c>
      <c r="F261" t="s">
        <v>1197</v>
      </c>
    </row>
    <row r="262" spans="1:6" x14ac:dyDescent="0.45">
      <c r="A262" t="s">
        <v>309</v>
      </c>
      <c r="B262" t="s">
        <v>295</v>
      </c>
      <c r="C262">
        <v>57210636353</v>
      </c>
      <c r="D262">
        <v>57392372000</v>
      </c>
      <c r="E262">
        <v>86</v>
      </c>
      <c r="F262" t="s">
        <v>1197</v>
      </c>
    </row>
    <row r="263" spans="1:6" x14ac:dyDescent="0.45">
      <c r="A263" t="s">
        <v>310</v>
      </c>
      <c r="B263" t="s">
        <v>311</v>
      </c>
      <c r="C263">
        <v>57200762040</v>
      </c>
      <c r="D263">
        <v>58870402100</v>
      </c>
      <c r="E263">
        <v>79</v>
      </c>
      <c r="F263" t="s">
        <v>1197</v>
      </c>
    </row>
    <row r="264" spans="1:6" x14ac:dyDescent="0.45">
      <c r="A264" t="s">
        <v>312</v>
      </c>
      <c r="B264" t="s">
        <v>313</v>
      </c>
      <c r="C264">
        <v>57203476310</v>
      </c>
      <c r="D264">
        <v>57211079732</v>
      </c>
      <c r="E264">
        <v>76</v>
      </c>
      <c r="F264" t="s">
        <v>1197</v>
      </c>
    </row>
    <row r="265" spans="1:6" x14ac:dyDescent="0.45">
      <c r="A265" t="s">
        <v>314</v>
      </c>
      <c r="B265" t="s">
        <v>315</v>
      </c>
      <c r="C265">
        <v>57213334854</v>
      </c>
      <c r="D265">
        <v>58680264800</v>
      </c>
      <c r="E265">
        <v>82</v>
      </c>
      <c r="F265" t="s">
        <v>1196</v>
      </c>
    </row>
    <row r="266" spans="1:6" x14ac:dyDescent="0.45">
      <c r="A266" t="s">
        <v>316</v>
      </c>
      <c r="B266" t="s">
        <v>317</v>
      </c>
      <c r="C266">
        <v>56582435700</v>
      </c>
      <c r="D266">
        <v>57948030800</v>
      </c>
      <c r="E266">
        <v>90</v>
      </c>
      <c r="F266" t="s">
        <v>1196</v>
      </c>
    </row>
    <row r="267" spans="1:6" x14ac:dyDescent="0.45">
      <c r="A267" t="s">
        <v>318</v>
      </c>
      <c r="B267" t="s">
        <v>319</v>
      </c>
      <c r="C267">
        <v>58676962100</v>
      </c>
      <c r="D267">
        <v>57997869400</v>
      </c>
      <c r="E267">
        <v>97</v>
      </c>
      <c r="F267" t="s">
        <v>1196</v>
      </c>
    </row>
    <row r="268" spans="1:6" x14ac:dyDescent="0.45">
      <c r="A268" t="s">
        <v>320</v>
      </c>
      <c r="B268" t="s">
        <v>321</v>
      </c>
      <c r="C268">
        <v>57192694715</v>
      </c>
      <c r="D268">
        <v>57216374639</v>
      </c>
      <c r="E268">
        <v>80</v>
      </c>
      <c r="F268" t="s">
        <v>1197</v>
      </c>
    </row>
    <row r="269" spans="1:6" x14ac:dyDescent="0.45">
      <c r="A269" t="s">
        <v>322</v>
      </c>
      <c r="B269" t="s">
        <v>323</v>
      </c>
      <c r="C269">
        <v>57204042344</v>
      </c>
      <c r="D269">
        <v>57219516992</v>
      </c>
      <c r="E269">
        <v>75</v>
      </c>
      <c r="F269" t="s">
        <v>1197</v>
      </c>
    </row>
    <row r="270" spans="1:6" x14ac:dyDescent="0.45">
      <c r="A270" t="s">
        <v>324</v>
      </c>
      <c r="B270" t="s">
        <v>325</v>
      </c>
      <c r="C270">
        <v>57224194040</v>
      </c>
      <c r="D270">
        <v>57470611400</v>
      </c>
      <c r="E270">
        <v>80</v>
      </c>
      <c r="F270" t="s">
        <v>1197</v>
      </c>
    </row>
    <row r="271" spans="1:6" x14ac:dyDescent="0.45">
      <c r="A271" t="s">
        <v>326</v>
      </c>
      <c r="B271" t="s">
        <v>327</v>
      </c>
      <c r="C271">
        <v>57219839063</v>
      </c>
      <c r="D271">
        <v>57221636348</v>
      </c>
      <c r="E271">
        <v>80</v>
      </c>
      <c r="F271" t="s">
        <v>1197</v>
      </c>
    </row>
    <row r="272" spans="1:6" x14ac:dyDescent="0.45">
      <c r="A272" t="s">
        <v>328</v>
      </c>
      <c r="B272" t="s">
        <v>329</v>
      </c>
      <c r="C272">
        <v>55360826200</v>
      </c>
      <c r="D272">
        <v>58763648600</v>
      </c>
      <c r="E272">
        <v>80</v>
      </c>
      <c r="F272" t="s">
        <v>1197</v>
      </c>
    </row>
    <row r="273" spans="1:6" x14ac:dyDescent="0.45">
      <c r="A273" t="s">
        <v>330</v>
      </c>
      <c r="B273" t="s">
        <v>331</v>
      </c>
      <c r="C273">
        <v>57820547400</v>
      </c>
      <c r="D273">
        <v>59538381800</v>
      </c>
      <c r="E273">
        <v>77</v>
      </c>
      <c r="F273" t="s">
        <v>1197</v>
      </c>
    </row>
    <row r="274" spans="1:6" x14ac:dyDescent="0.45">
      <c r="A274" t="s">
        <v>332</v>
      </c>
      <c r="B274" t="s">
        <v>333</v>
      </c>
      <c r="C274">
        <v>55608174800</v>
      </c>
      <c r="D274">
        <v>55200805200</v>
      </c>
      <c r="E274">
        <v>76</v>
      </c>
      <c r="F274" t="s">
        <v>1197</v>
      </c>
    </row>
    <row r="275" spans="1:6" x14ac:dyDescent="0.45">
      <c r="A275" t="s">
        <v>334</v>
      </c>
      <c r="B275" t="s">
        <v>335</v>
      </c>
      <c r="C275">
        <v>57220890035</v>
      </c>
      <c r="D275">
        <v>59029455600</v>
      </c>
      <c r="E275">
        <v>92</v>
      </c>
      <c r="F275" t="s">
        <v>1196</v>
      </c>
    </row>
    <row r="276" spans="1:6" x14ac:dyDescent="0.45">
      <c r="A276" t="s">
        <v>333</v>
      </c>
      <c r="B276" t="s">
        <v>336</v>
      </c>
      <c r="C276">
        <v>55200805200</v>
      </c>
      <c r="D276">
        <v>57211956428</v>
      </c>
      <c r="E276">
        <v>77</v>
      </c>
      <c r="F276" t="s">
        <v>1197</v>
      </c>
    </row>
    <row r="277" spans="1:6" x14ac:dyDescent="0.45">
      <c r="A277" t="s">
        <v>337</v>
      </c>
      <c r="B277" t="s">
        <v>338</v>
      </c>
      <c r="C277">
        <v>58927559400</v>
      </c>
      <c r="D277">
        <v>23060200600</v>
      </c>
      <c r="E277">
        <v>75</v>
      </c>
      <c r="F277" t="s">
        <v>1197</v>
      </c>
    </row>
    <row r="278" spans="1:6" x14ac:dyDescent="0.45">
      <c r="A278" t="s">
        <v>339</v>
      </c>
      <c r="B278" t="s">
        <v>340</v>
      </c>
      <c r="C278">
        <v>7202601274</v>
      </c>
      <c r="D278">
        <v>57202744897</v>
      </c>
      <c r="E278">
        <v>75</v>
      </c>
      <c r="F278" t="s">
        <v>1197</v>
      </c>
    </row>
    <row r="279" spans="1:6" x14ac:dyDescent="0.45">
      <c r="A279" t="s">
        <v>341</v>
      </c>
      <c r="B279" t="s">
        <v>342</v>
      </c>
      <c r="C279">
        <v>7402085535</v>
      </c>
      <c r="D279">
        <v>7201804367</v>
      </c>
      <c r="E279">
        <v>77</v>
      </c>
      <c r="F279" t="s">
        <v>1197</v>
      </c>
    </row>
    <row r="280" spans="1:6" x14ac:dyDescent="0.45">
      <c r="A280" t="s">
        <v>343</v>
      </c>
      <c r="B280" t="s">
        <v>344</v>
      </c>
      <c r="C280">
        <v>57201225750</v>
      </c>
      <c r="D280">
        <v>55332947200</v>
      </c>
      <c r="E280">
        <v>92</v>
      </c>
      <c r="F280" t="s">
        <v>1196</v>
      </c>
    </row>
    <row r="281" spans="1:6" x14ac:dyDescent="0.45">
      <c r="A281" t="s">
        <v>345</v>
      </c>
      <c r="B281" t="s">
        <v>346</v>
      </c>
      <c r="C281">
        <v>20433459500</v>
      </c>
      <c r="D281">
        <v>57204281290</v>
      </c>
      <c r="E281">
        <v>94</v>
      </c>
      <c r="F281" t="s">
        <v>1196</v>
      </c>
    </row>
    <row r="282" spans="1:6" x14ac:dyDescent="0.45">
      <c r="A282" t="s">
        <v>347</v>
      </c>
      <c r="B282" t="s">
        <v>348</v>
      </c>
      <c r="C282">
        <v>35501028000</v>
      </c>
      <c r="D282">
        <v>59837956400</v>
      </c>
      <c r="E282">
        <v>81</v>
      </c>
      <c r="F282" t="s">
        <v>1196</v>
      </c>
    </row>
    <row r="283" spans="1:6" x14ac:dyDescent="0.45">
      <c r="A283" t="s">
        <v>349</v>
      </c>
      <c r="B283" t="s">
        <v>350</v>
      </c>
      <c r="C283">
        <v>55684330400</v>
      </c>
      <c r="D283">
        <v>35423942300</v>
      </c>
      <c r="E283">
        <v>75</v>
      </c>
      <c r="F283" t="s">
        <v>1197</v>
      </c>
    </row>
    <row r="284" spans="1:6" x14ac:dyDescent="0.45">
      <c r="A284" t="s">
        <v>349</v>
      </c>
      <c r="B284" t="s">
        <v>351</v>
      </c>
      <c r="C284">
        <v>55684330400</v>
      </c>
      <c r="D284">
        <v>57217859478</v>
      </c>
      <c r="E284">
        <v>79</v>
      </c>
      <c r="F284" t="s">
        <v>1197</v>
      </c>
    </row>
    <row r="285" spans="1:6" x14ac:dyDescent="0.45">
      <c r="A285" t="s">
        <v>352</v>
      </c>
      <c r="B285" t="s">
        <v>353</v>
      </c>
      <c r="C285">
        <v>57233901800</v>
      </c>
      <c r="D285">
        <v>57219619193</v>
      </c>
      <c r="E285">
        <v>80</v>
      </c>
      <c r="F285" t="s">
        <v>1197</v>
      </c>
    </row>
    <row r="286" spans="1:6" x14ac:dyDescent="0.45">
      <c r="A286" t="s">
        <v>352</v>
      </c>
      <c r="B286" t="s">
        <v>354</v>
      </c>
      <c r="C286">
        <v>57233901800</v>
      </c>
      <c r="D286">
        <v>57192586510</v>
      </c>
      <c r="E286">
        <v>85</v>
      </c>
      <c r="F286" t="s">
        <v>1197</v>
      </c>
    </row>
    <row r="287" spans="1:6" x14ac:dyDescent="0.45">
      <c r="A287" t="s">
        <v>352</v>
      </c>
      <c r="B287" t="s">
        <v>355</v>
      </c>
      <c r="C287">
        <v>57233901800</v>
      </c>
      <c r="D287">
        <v>57703648800</v>
      </c>
      <c r="E287">
        <v>75</v>
      </c>
      <c r="F287" t="s">
        <v>1197</v>
      </c>
    </row>
    <row r="288" spans="1:6" x14ac:dyDescent="0.45">
      <c r="A288" t="s">
        <v>356</v>
      </c>
      <c r="B288" t="s">
        <v>357</v>
      </c>
      <c r="C288">
        <v>6701635677</v>
      </c>
      <c r="D288">
        <v>55600040700</v>
      </c>
      <c r="E288">
        <v>80</v>
      </c>
      <c r="F288" t="s">
        <v>1197</v>
      </c>
    </row>
    <row r="289" spans="1:6" x14ac:dyDescent="0.45">
      <c r="A289" t="s">
        <v>358</v>
      </c>
      <c r="B289" t="s">
        <v>359</v>
      </c>
      <c r="C289">
        <v>14043637100</v>
      </c>
      <c r="D289">
        <v>57462288200</v>
      </c>
      <c r="E289">
        <v>76</v>
      </c>
      <c r="F289" t="s">
        <v>1197</v>
      </c>
    </row>
    <row r="290" spans="1:6" x14ac:dyDescent="0.45">
      <c r="A290" t="s">
        <v>360</v>
      </c>
      <c r="B290" t="s">
        <v>361</v>
      </c>
      <c r="C290">
        <v>56501775400</v>
      </c>
      <c r="D290">
        <v>57556668400</v>
      </c>
      <c r="E290">
        <v>75</v>
      </c>
      <c r="F290" t="s">
        <v>1197</v>
      </c>
    </row>
    <row r="291" spans="1:6" x14ac:dyDescent="0.45">
      <c r="A291" t="s">
        <v>362</v>
      </c>
      <c r="B291" t="s">
        <v>363</v>
      </c>
      <c r="C291">
        <v>57159375700</v>
      </c>
      <c r="D291">
        <v>57221477230</v>
      </c>
      <c r="E291">
        <v>79</v>
      </c>
      <c r="F291" t="s">
        <v>1197</v>
      </c>
    </row>
    <row r="292" spans="1:6" x14ac:dyDescent="0.45">
      <c r="A292" t="s">
        <v>364</v>
      </c>
      <c r="B292" t="s">
        <v>365</v>
      </c>
      <c r="C292">
        <v>56494322900</v>
      </c>
      <c r="D292">
        <v>57383002000</v>
      </c>
      <c r="E292">
        <v>77</v>
      </c>
      <c r="F292" t="s">
        <v>1197</v>
      </c>
    </row>
    <row r="293" spans="1:6" x14ac:dyDescent="0.45">
      <c r="A293" t="s">
        <v>366</v>
      </c>
      <c r="B293" t="s">
        <v>367</v>
      </c>
      <c r="C293">
        <v>57193001730</v>
      </c>
      <c r="D293">
        <v>57200498135</v>
      </c>
      <c r="E293">
        <v>75</v>
      </c>
      <c r="F293" t="s">
        <v>1197</v>
      </c>
    </row>
    <row r="294" spans="1:6" x14ac:dyDescent="0.45">
      <c r="A294" t="s">
        <v>367</v>
      </c>
      <c r="B294" t="s">
        <v>368</v>
      </c>
      <c r="C294">
        <v>57200498135</v>
      </c>
      <c r="D294">
        <v>55536530700</v>
      </c>
      <c r="E294">
        <v>78</v>
      </c>
      <c r="F294" t="s">
        <v>1197</v>
      </c>
    </row>
    <row r="295" spans="1:6" x14ac:dyDescent="0.45">
      <c r="A295" t="s">
        <v>369</v>
      </c>
      <c r="B295" t="s">
        <v>370</v>
      </c>
      <c r="C295">
        <v>30467616500</v>
      </c>
      <c r="D295">
        <v>58100944300</v>
      </c>
      <c r="E295">
        <v>80</v>
      </c>
      <c r="F295" t="s">
        <v>1197</v>
      </c>
    </row>
    <row r="296" spans="1:6" x14ac:dyDescent="0.45">
      <c r="A296" t="s">
        <v>371</v>
      </c>
      <c r="B296" t="s">
        <v>372</v>
      </c>
      <c r="C296">
        <v>55257940600</v>
      </c>
      <c r="D296">
        <v>59098924300</v>
      </c>
      <c r="E296">
        <v>76</v>
      </c>
      <c r="F296" t="s">
        <v>1197</v>
      </c>
    </row>
    <row r="297" spans="1:6" x14ac:dyDescent="0.45">
      <c r="A297" t="s">
        <v>373</v>
      </c>
      <c r="B297" t="s">
        <v>374</v>
      </c>
      <c r="C297">
        <v>55647123900</v>
      </c>
      <c r="D297">
        <v>56593910600</v>
      </c>
      <c r="E297">
        <v>78</v>
      </c>
      <c r="F297" t="s">
        <v>1197</v>
      </c>
    </row>
    <row r="298" spans="1:6" x14ac:dyDescent="0.45">
      <c r="A298" t="s">
        <v>375</v>
      </c>
      <c r="B298" t="s">
        <v>376</v>
      </c>
      <c r="C298">
        <v>57217693682</v>
      </c>
      <c r="D298">
        <v>57217055832</v>
      </c>
      <c r="E298">
        <v>92</v>
      </c>
      <c r="F298" t="s">
        <v>1196</v>
      </c>
    </row>
    <row r="299" spans="1:6" x14ac:dyDescent="0.45">
      <c r="A299" t="s">
        <v>377</v>
      </c>
      <c r="B299" t="s">
        <v>378</v>
      </c>
      <c r="C299">
        <v>57216633401</v>
      </c>
      <c r="D299">
        <v>57203973831</v>
      </c>
      <c r="E299">
        <v>79</v>
      </c>
      <c r="F299" t="s">
        <v>1197</v>
      </c>
    </row>
    <row r="300" spans="1:6" x14ac:dyDescent="0.45">
      <c r="A300" t="s">
        <v>379</v>
      </c>
      <c r="B300" t="s">
        <v>380</v>
      </c>
      <c r="C300">
        <v>36967993300</v>
      </c>
      <c r="D300">
        <v>59162910000</v>
      </c>
      <c r="E300">
        <v>75</v>
      </c>
      <c r="F300" t="s">
        <v>1197</v>
      </c>
    </row>
    <row r="301" spans="1:6" x14ac:dyDescent="0.45">
      <c r="A301" s="2" t="s">
        <v>381</v>
      </c>
      <c r="B301" s="2" t="s">
        <v>382</v>
      </c>
      <c r="C301" s="2">
        <v>57209772964</v>
      </c>
      <c r="D301" s="2">
        <v>57205374299</v>
      </c>
      <c r="E301" s="2">
        <v>80</v>
      </c>
      <c r="F301" t="s">
        <v>1197</v>
      </c>
    </row>
    <row r="302" spans="1:6" x14ac:dyDescent="0.45">
      <c r="A302" t="s">
        <v>383</v>
      </c>
      <c r="B302" t="s">
        <v>384</v>
      </c>
      <c r="C302">
        <v>57219241387</v>
      </c>
      <c r="D302">
        <v>57453661700</v>
      </c>
      <c r="E302">
        <v>82</v>
      </c>
      <c r="F302" t="s">
        <v>1197</v>
      </c>
    </row>
    <row r="303" spans="1:6" x14ac:dyDescent="0.45">
      <c r="A303" t="s">
        <v>385</v>
      </c>
      <c r="B303" t="s">
        <v>386</v>
      </c>
      <c r="C303">
        <v>57206426930</v>
      </c>
      <c r="D303">
        <v>57212408054</v>
      </c>
      <c r="E303">
        <v>86</v>
      </c>
      <c r="F303" t="s">
        <v>1197</v>
      </c>
    </row>
    <row r="304" spans="1:6" x14ac:dyDescent="0.45">
      <c r="A304" t="s">
        <v>385</v>
      </c>
      <c r="B304" t="s">
        <v>387</v>
      </c>
      <c r="C304">
        <v>57206426930</v>
      </c>
      <c r="D304">
        <v>57218667819</v>
      </c>
      <c r="E304">
        <v>85</v>
      </c>
      <c r="F304" t="s">
        <v>1197</v>
      </c>
    </row>
    <row r="305" spans="1:6" x14ac:dyDescent="0.45">
      <c r="A305" t="s">
        <v>368</v>
      </c>
      <c r="B305" t="s">
        <v>388</v>
      </c>
      <c r="C305">
        <v>55536530700</v>
      </c>
      <c r="D305">
        <v>57217191150</v>
      </c>
      <c r="E305">
        <v>76</v>
      </c>
      <c r="F305" t="s">
        <v>1197</v>
      </c>
    </row>
    <row r="306" spans="1:6" x14ac:dyDescent="0.45">
      <c r="A306" t="s">
        <v>389</v>
      </c>
      <c r="B306" t="s">
        <v>390</v>
      </c>
      <c r="C306">
        <v>59161285900</v>
      </c>
      <c r="D306">
        <v>59207795900</v>
      </c>
      <c r="E306">
        <v>77</v>
      </c>
      <c r="F306" t="s">
        <v>1197</v>
      </c>
    </row>
    <row r="307" spans="1:6" x14ac:dyDescent="0.45">
      <c r="A307" t="s">
        <v>389</v>
      </c>
      <c r="B307" t="s">
        <v>391</v>
      </c>
      <c r="C307">
        <v>59161285900</v>
      </c>
      <c r="D307">
        <v>34979903200</v>
      </c>
      <c r="E307">
        <v>90</v>
      </c>
      <c r="F307" t="s">
        <v>1197</v>
      </c>
    </row>
    <row r="308" spans="1:6" x14ac:dyDescent="0.45">
      <c r="A308" t="s">
        <v>392</v>
      </c>
      <c r="B308" t="s">
        <v>393</v>
      </c>
      <c r="C308">
        <v>58179313500</v>
      </c>
      <c r="D308">
        <v>57219935356</v>
      </c>
      <c r="E308">
        <v>77</v>
      </c>
      <c r="F308" t="s">
        <v>1197</v>
      </c>
    </row>
    <row r="309" spans="1:6" x14ac:dyDescent="0.45">
      <c r="A309" t="s">
        <v>394</v>
      </c>
      <c r="B309" t="s">
        <v>395</v>
      </c>
      <c r="C309">
        <v>58763964800</v>
      </c>
      <c r="D309">
        <v>57569131000</v>
      </c>
      <c r="E309">
        <v>77</v>
      </c>
      <c r="F309" t="s">
        <v>1197</v>
      </c>
    </row>
    <row r="310" spans="1:6" x14ac:dyDescent="0.45">
      <c r="A310" t="s">
        <v>396</v>
      </c>
      <c r="B310" t="s">
        <v>397</v>
      </c>
      <c r="C310">
        <v>57204668288</v>
      </c>
      <c r="D310">
        <v>58983074700</v>
      </c>
      <c r="E310">
        <v>78</v>
      </c>
      <c r="F310" t="s">
        <v>1197</v>
      </c>
    </row>
    <row r="311" spans="1:6" x14ac:dyDescent="0.45">
      <c r="A311" t="s">
        <v>398</v>
      </c>
      <c r="B311" t="s">
        <v>390</v>
      </c>
      <c r="C311">
        <v>57213789275</v>
      </c>
      <c r="D311">
        <v>59207795900</v>
      </c>
      <c r="E311">
        <v>79</v>
      </c>
      <c r="F311" t="s">
        <v>1197</v>
      </c>
    </row>
    <row r="312" spans="1:6" x14ac:dyDescent="0.45">
      <c r="A312" t="s">
        <v>390</v>
      </c>
      <c r="B312" t="s">
        <v>391</v>
      </c>
      <c r="C312">
        <v>59207795900</v>
      </c>
      <c r="D312">
        <v>34979903200</v>
      </c>
      <c r="E312">
        <v>90</v>
      </c>
      <c r="F312" t="s">
        <v>1196</v>
      </c>
    </row>
    <row r="313" spans="1:6" x14ac:dyDescent="0.45">
      <c r="A313" t="s">
        <v>399</v>
      </c>
      <c r="B313" t="s">
        <v>400</v>
      </c>
      <c r="C313">
        <v>57208184515</v>
      </c>
      <c r="D313">
        <v>59803235800</v>
      </c>
      <c r="E313">
        <v>90</v>
      </c>
      <c r="F313" t="s">
        <v>1197</v>
      </c>
    </row>
    <row r="314" spans="1:6" x14ac:dyDescent="0.45">
      <c r="A314" t="s">
        <v>401</v>
      </c>
      <c r="B314" t="s">
        <v>402</v>
      </c>
      <c r="C314">
        <v>7201973561</v>
      </c>
      <c r="D314">
        <v>59794341400</v>
      </c>
      <c r="E314">
        <v>96</v>
      </c>
      <c r="F314" t="s">
        <v>1196</v>
      </c>
    </row>
    <row r="315" spans="1:6" x14ac:dyDescent="0.45">
      <c r="A315" t="s">
        <v>403</v>
      </c>
      <c r="B315" t="s">
        <v>404</v>
      </c>
      <c r="C315">
        <v>16233683000</v>
      </c>
      <c r="D315">
        <v>15019507800</v>
      </c>
      <c r="E315">
        <v>80</v>
      </c>
      <c r="F315" t="s">
        <v>1197</v>
      </c>
    </row>
    <row r="316" spans="1:6" x14ac:dyDescent="0.45">
      <c r="A316" t="s">
        <v>405</v>
      </c>
      <c r="B316" t="s">
        <v>406</v>
      </c>
      <c r="C316">
        <v>56909712300</v>
      </c>
      <c r="D316">
        <v>8646659300</v>
      </c>
      <c r="E316">
        <v>76</v>
      </c>
      <c r="F316" t="s">
        <v>1197</v>
      </c>
    </row>
    <row r="317" spans="1:6" x14ac:dyDescent="0.45">
      <c r="A317" t="s">
        <v>407</v>
      </c>
      <c r="B317" t="s">
        <v>404</v>
      </c>
      <c r="C317">
        <v>57215883528</v>
      </c>
      <c r="D317">
        <v>15019507800</v>
      </c>
      <c r="E317">
        <v>77</v>
      </c>
      <c r="F317" t="s">
        <v>1197</v>
      </c>
    </row>
    <row r="318" spans="1:6" x14ac:dyDescent="0.45">
      <c r="A318" t="s">
        <v>408</v>
      </c>
      <c r="B318" t="s">
        <v>409</v>
      </c>
      <c r="C318">
        <v>57216799270</v>
      </c>
      <c r="D318">
        <v>57164603900</v>
      </c>
      <c r="E318">
        <v>76</v>
      </c>
      <c r="F318" t="s">
        <v>1197</v>
      </c>
    </row>
    <row r="319" spans="1:6" x14ac:dyDescent="0.45">
      <c r="A319" t="s">
        <v>410</v>
      </c>
      <c r="B319" t="s">
        <v>411</v>
      </c>
      <c r="C319">
        <v>57211405320</v>
      </c>
      <c r="D319">
        <v>57220933225</v>
      </c>
      <c r="E319">
        <v>94</v>
      </c>
      <c r="F319" t="s">
        <v>1196</v>
      </c>
    </row>
    <row r="320" spans="1:6" x14ac:dyDescent="0.45">
      <c r="A320" t="s">
        <v>412</v>
      </c>
      <c r="B320" t="s">
        <v>413</v>
      </c>
      <c r="C320">
        <v>57204726143</v>
      </c>
      <c r="D320">
        <v>57222014423</v>
      </c>
      <c r="E320">
        <v>80</v>
      </c>
      <c r="F320" t="s">
        <v>1197</v>
      </c>
    </row>
    <row r="321" spans="1:6" x14ac:dyDescent="0.45">
      <c r="A321" t="s">
        <v>414</v>
      </c>
      <c r="B321" t="s">
        <v>415</v>
      </c>
      <c r="C321">
        <v>57211955754</v>
      </c>
      <c r="D321">
        <v>57224160661</v>
      </c>
      <c r="E321">
        <v>82</v>
      </c>
      <c r="F321" t="s">
        <v>1197</v>
      </c>
    </row>
    <row r="322" spans="1:6" x14ac:dyDescent="0.45">
      <c r="A322" t="s">
        <v>416</v>
      </c>
      <c r="B322" t="s">
        <v>413</v>
      </c>
      <c r="C322">
        <v>58564688700</v>
      </c>
      <c r="D322">
        <v>57222014423</v>
      </c>
      <c r="E322">
        <v>78</v>
      </c>
      <c r="F322" t="s">
        <v>1197</v>
      </c>
    </row>
    <row r="323" spans="1:6" x14ac:dyDescent="0.45">
      <c r="A323" t="s">
        <v>417</v>
      </c>
      <c r="B323" t="s">
        <v>418</v>
      </c>
      <c r="C323">
        <v>56319280200</v>
      </c>
      <c r="D323">
        <v>56587645600</v>
      </c>
      <c r="E323">
        <v>78</v>
      </c>
      <c r="F323" t="s">
        <v>1197</v>
      </c>
    </row>
    <row r="324" spans="1:6" x14ac:dyDescent="0.45">
      <c r="A324" t="s">
        <v>419</v>
      </c>
      <c r="B324" t="s">
        <v>420</v>
      </c>
      <c r="C324">
        <v>6701569164</v>
      </c>
      <c r="D324">
        <v>59475179000</v>
      </c>
      <c r="E324">
        <v>94</v>
      </c>
      <c r="F324" t="s">
        <v>1196</v>
      </c>
    </row>
    <row r="325" spans="1:6" x14ac:dyDescent="0.45">
      <c r="A325" t="s">
        <v>421</v>
      </c>
      <c r="B325" t="s">
        <v>422</v>
      </c>
      <c r="C325">
        <v>57203870786</v>
      </c>
      <c r="D325">
        <v>58078867300</v>
      </c>
      <c r="E325">
        <v>86</v>
      </c>
      <c r="F325" t="s">
        <v>1197</v>
      </c>
    </row>
    <row r="326" spans="1:6" x14ac:dyDescent="0.45">
      <c r="A326" t="s">
        <v>423</v>
      </c>
      <c r="B326" t="s">
        <v>424</v>
      </c>
      <c r="C326">
        <v>57204906651</v>
      </c>
      <c r="D326">
        <v>59345453700</v>
      </c>
      <c r="E326">
        <v>82</v>
      </c>
      <c r="F326" t="s">
        <v>1197</v>
      </c>
    </row>
    <row r="327" spans="1:6" x14ac:dyDescent="0.45">
      <c r="A327" t="s">
        <v>425</v>
      </c>
      <c r="B327" t="s">
        <v>426</v>
      </c>
      <c r="C327">
        <v>8988690800</v>
      </c>
      <c r="D327">
        <v>57222218140</v>
      </c>
      <c r="E327">
        <v>75</v>
      </c>
      <c r="F327" t="s">
        <v>1197</v>
      </c>
    </row>
    <row r="328" spans="1:6" x14ac:dyDescent="0.45">
      <c r="A328" t="s">
        <v>427</v>
      </c>
      <c r="B328" t="s">
        <v>428</v>
      </c>
      <c r="C328">
        <v>12752290400</v>
      </c>
      <c r="D328">
        <v>57203221971</v>
      </c>
      <c r="E328">
        <v>79</v>
      </c>
      <c r="F328" t="s">
        <v>1197</v>
      </c>
    </row>
    <row r="329" spans="1:6" x14ac:dyDescent="0.45">
      <c r="A329" t="s">
        <v>429</v>
      </c>
      <c r="B329" t="s">
        <v>430</v>
      </c>
      <c r="C329">
        <v>57196575920</v>
      </c>
      <c r="D329">
        <v>57210460028</v>
      </c>
      <c r="E329">
        <v>76</v>
      </c>
      <c r="F329" t="s">
        <v>1197</v>
      </c>
    </row>
    <row r="330" spans="1:6" x14ac:dyDescent="0.45">
      <c r="A330" t="s">
        <v>431</v>
      </c>
      <c r="B330" t="s">
        <v>432</v>
      </c>
      <c r="C330">
        <v>55202285800</v>
      </c>
      <c r="D330">
        <v>55603882200</v>
      </c>
      <c r="E330">
        <v>85</v>
      </c>
      <c r="F330" t="s">
        <v>1197</v>
      </c>
    </row>
    <row r="331" spans="1:6" x14ac:dyDescent="0.45">
      <c r="A331" t="s">
        <v>433</v>
      </c>
      <c r="B331" t="s">
        <v>434</v>
      </c>
      <c r="C331">
        <v>56926780000</v>
      </c>
      <c r="D331">
        <v>57426838800</v>
      </c>
      <c r="E331">
        <v>77</v>
      </c>
      <c r="F331" t="s">
        <v>1197</v>
      </c>
    </row>
    <row r="332" spans="1:6" x14ac:dyDescent="0.45">
      <c r="A332" t="s">
        <v>435</v>
      </c>
      <c r="B332" t="s">
        <v>436</v>
      </c>
      <c r="C332">
        <v>58589358400</v>
      </c>
      <c r="D332">
        <v>57195586827</v>
      </c>
      <c r="E332">
        <v>79</v>
      </c>
      <c r="F332" t="s">
        <v>1197</v>
      </c>
    </row>
    <row r="333" spans="1:6" x14ac:dyDescent="0.45">
      <c r="A333" t="s">
        <v>437</v>
      </c>
      <c r="B333" t="s">
        <v>438</v>
      </c>
      <c r="C333">
        <v>57207876087</v>
      </c>
      <c r="D333">
        <v>58588589500</v>
      </c>
      <c r="E333">
        <v>80</v>
      </c>
      <c r="F333" t="s">
        <v>1197</v>
      </c>
    </row>
    <row r="334" spans="1:6" x14ac:dyDescent="0.45">
      <c r="A334" t="s">
        <v>437</v>
      </c>
      <c r="B334" t="s">
        <v>439</v>
      </c>
      <c r="C334">
        <v>57207876087</v>
      </c>
      <c r="D334">
        <v>58602148800</v>
      </c>
      <c r="E334">
        <v>78</v>
      </c>
      <c r="F334" t="s">
        <v>1197</v>
      </c>
    </row>
    <row r="335" spans="1:6" x14ac:dyDescent="0.45">
      <c r="A335" t="s">
        <v>440</v>
      </c>
      <c r="B335" t="s">
        <v>441</v>
      </c>
      <c r="C335">
        <v>57198491843</v>
      </c>
      <c r="D335">
        <v>57211871654</v>
      </c>
      <c r="E335">
        <v>78</v>
      </c>
      <c r="F335" t="s">
        <v>1197</v>
      </c>
    </row>
    <row r="336" spans="1:6" x14ac:dyDescent="0.45">
      <c r="A336" t="s">
        <v>440</v>
      </c>
      <c r="B336" t="s">
        <v>442</v>
      </c>
      <c r="C336">
        <v>57198491843</v>
      </c>
      <c r="D336">
        <v>56491905000</v>
      </c>
      <c r="E336">
        <v>75</v>
      </c>
      <c r="F336" t="s">
        <v>1197</v>
      </c>
    </row>
    <row r="337" spans="1:6" x14ac:dyDescent="0.45">
      <c r="A337" t="s">
        <v>440</v>
      </c>
      <c r="B337" t="s">
        <v>443</v>
      </c>
      <c r="C337">
        <v>57198491843</v>
      </c>
      <c r="D337">
        <v>58860015500</v>
      </c>
      <c r="E337">
        <v>78</v>
      </c>
      <c r="F337" t="s">
        <v>1197</v>
      </c>
    </row>
    <row r="338" spans="1:6" x14ac:dyDescent="0.45">
      <c r="A338" t="s">
        <v>444</v>
      </c>
      <c r="B338" t="s">
        <v>445</v>
      </c>
      <c r="C338">
        <v>25960969700</v>
      </c>
      <c r="D338">
        <v>57209465439</v>
      </c>
      <c r="E338">
        <v>81</v>
      </c>
      <c r="F338" t="s">
        <v>1196</v>
      </c>
    </row>
    <row r="339" spans="1:6" x14ac:dyDescent="0.45">
      <c r="A339" t="s">
        <v>446</v>
      </c>
      <c r="B339" t="s">
        <v>447</v>
      </c>
      <c r="C339">
        <v>57205207510</v>
      </c>
      <c r="D339">
        <v>57214770459</v>
      </c>
      <c r="E339">
        <v>86</v>
      </c>
      <c r="F339" t="s">
        <v>1197</v>
      </c>
    </row>
    <row r="340" spans="1:6" x14ac:dyDescent="0.45">
      <c r="A340" t="s">
        <v>438</v>
      </c>
      <c r="B340" t="s">
        <v>448</v>
      </c>
      <c r="C340">
        <v>58588589500</v>
      </c>
      <c r="D340">
        <v>56448087600</v>
      </c>
      <c r="E340">
        <v>85</v>
      </c>
      <c r="F340" t="s">
        <v>1197</v>
      </c>
    </row>
    <row r="341" spans="1:6" x14ac:dyDescent="0.45">
      <c r="A341" t="s">
        <v>438</v>
      </c>
      <c r="B341" t="s">
        <v>449</v>
      </c>
      <c r="C341">
        <v>58588589500</v>
      </c>
      <c r="D341">
        <v>59232268700</v>
      </c>
      <c r="E341">
        <v>79</v>
      </c>
      <c r="F341" t="s">
        <v>1197</v>
      </c>
    </row>
    <row r="342" spans="1:6" x14ac:dyDescent="0.45">
      <c r="A342" t="s">
        <v>438</v>
      </c>
      <c r="B342" t="s">
        <v>439</v>
      </c>
      <c r="C342">
        <v>58588589500</v>
      </c>
      <c r="D342">
        <v>58602148800</v>
      </c>
      <c r="E342">
        <v>83</v>
      </c>
      <c r="F342" t="s">
        <v>1197</v>
      </c>
    </row>
    <row r="343" spans="1:6" x14ac:dyDescent="0.45">
      <c r="A343" t="s">
        <v>450</v>
      </c>
      <c r="B343" t="s">
        <v>451</v>
      </c>
      <c r="C343">
        <v>55241221300</v>
      </c>
      <c r="D343">
        <v>59305897300</v>
      </c>
      <c r="E343">
        <v>81</v>
      </c>
      <c r="F343" t="s">
        <v>1197</v>
      </c>
    </row>
    <row r="344" spans="1:6" x14ac:dyDescent="0.45">
      <c r="A344" t="s">
        <v>441</v>
      </c>
      <c r="B344" t="s">
        <v>443</v>
      </c>
      <c r="C344">
        <v>57211871654</v>
      </c>
      <c r="D344">
        <v>58860015500</v>
      </c>
      <c r="E344">
        <v>82</v>
      </c>
      <c r="F344" t="s">
        <v>1197</v>
      </c>
    </row>
    <row r="345" spans="1:6" x14ac:dyDescent="0.45">
      <c r="A345" t="s">
        <v>441</v>
      </c>
      <c r="B345" t="s">
        <v>452</v>
      </c>
      <c r="C345">
        <v>57211871654</v>
      </c>
      <c r="D345">
        <v>57221141737</v>
      </c>
      <c r="E345">
        <v>86</v>
      </c>
      <c r="F345" t="s">
        <v>1197</v>
      </c>
    </row>
    <row r="346" spans="1:6" x14ac:dyDescent="0.45">
      <c r="A346" t="s">
        <v>441</v>
      </c>
      <c r="B346" t="s">
        <v>453</v>
      </c>
      <c r="C346">
        <v>57211871654</v>
      </c>
      <c r="D346">
        <v>57817056000</v>
      </c>
      <c r="E346">
        <v>76</v>
      </c>
      <c r="F346" t="s">
        <v>1197</v>
      </c>
    </row>
    <row r="347" spans="1:6" x14ac:dyDescent="0.45">
      <c r="A347" t="s">
        <v>454</v>
      </c>
      <c r="B347" t="s">
        <v>455</v>
      </c>
      <c r="C347">
        <v>57208245572</v>
      </c>
      <c r="D347">
        <v>57225302202</v>
      </c>
      <c r="E347">
        <v>77</v>
      </c>
      <c r="F347" t="s">
        <v>1197</v>
      </c>
    </row>
    <row r="348" spans="1:6" x14ac:dyDescent="0.45">
      <c r="A348" t="s">
        <v>454</v>
      </c>
      <c r="B348" t="s">
        <v>456</v>
      </c>
      <c r="C348">
        <v>57208245572</v>
      </c>
      <c r="D348">
        <v>57845157300</v>
      </c>
      <c r="E348">
        <v>75</v>
      </c>
      <c r="F348" t="s">
        <v>1197</v>
      </c>
    </row>
    <row r="349" spans="1:6" x14ac:dyDescent="0.45">
      <c r="A349" t="s">
        <v>455</v>
      </c>
      <c r="B349" t="s">
        <v>456</v>
      </c>
      <c r="C349">
        <v>57225302202</v>
      </c>
      <c r="D349">
        <v>57845157300</v>
      </c>
      <c r="E349">
        <v>75</v>
      </c>
      <c r="F349" t="s">
        <v>1197</v>
      </c>
    </row>
    <row r="350" spans="1:6" x14ac:dyDescent="0.45">
      <c r="A350" t="s">
        <v>457</v>
      </c>
      <c r="B350" t="s">
        <v>458</v>
      </c>
      <c r="C350">
        <v>7202842613</v>
      </c>
      <c r="D350">
        <v>59673935300</v>
      </c>
      <c r="E350">
        <v>78</v>
      </c>
      <c r="F350" t="s">
        <v>1197</v>
      </c>
    </row>
    <row r="351" spans="1:6" x14ac:dyDescent="0.45">
      <c r="A351" t="s">
        <v>443</v>
      </c>
      <c r="B351" t="s">
        <v>452</v>
      </c>
      <c r="C351">
        <v>58860015500</v>
      </c>
      <c r="D351">
        <v>57221141737</v>
      </c>
      <c r="E351">
        <v>76</v>
      </c>
      <c r="F351" t="s">
        <v>1197</v>
      </c>
    </row>
    <row r="352" spans="1:6" x14ac:dyDescent="0.45">
      <c r="A352" t="s">
        <v>459</v>
      </c>
      <c r="B352" t="s">
        <v>460</v>
      </c>
      <c r="C352">
        <v>8596306300</v>
      </c>
      <c r="D352">
        <v>57200560173</v>
      </c>
      <c r="E352">
        <v>83</v>
      </c>
      <c r="F352" t="s">
        <v>1197</v>
      </c>
    </row>
    <row r="353" spans="1:6" x14ac:dyDescent="0.45">
      <c r="A353" t="s">
        <v>447</v>
      </c>
      <c r="B353" t="s">
        <v>461</v>
      </c>
      <c r="C353">
        <v>57214770459</v>
      </c>
      <c r="D353">
        <v>58727504600</v>
      </c>
      <c r="E353">
        <v>78</v>
      </c>
      <c r="F353" t="s">
        <v>1197</v>
      </c>
    </row>
    <row r="354" spans="1:6" x14ac:dyDescent="0.45">
      <c r="A354" t="s">
        <v>462</v>
      </c>
      <c r="B354" t="s">
        <v>463</v>
      </c>
      <c r="C354">
        <v>57437134400</v>
      </c>
      <c r="D354">
        <v>57205515460</v>
      </c>
      <c r="E354">
        <v>78</v>
      </c>
      <c r="F354" t="s">
        <v>1197</v>
      </c>
    </row>
    <row r="355" spans="1:6" x14ac:dyDescent="0.45">
      <c r="A355" t="s">
        <v>464</v>
      </c>
      <c r="B355" t="s">
        <v>465</v>
      </c>
      <c r="C355">
        <v>56102570600</v>
      </c>
      <c r="D355">
        <v>57224748486</v>
      </c>
      <c r="E355">
        <v>83</v>
      </c>
      <c r="F355" t="s">
        <v>1196</v>
      </c>
    </row>
    <row r="356" spans="1:6" x14ac:dyDescent="0.45">
      <c r="A356" t="s">
        <v>466</v>
      </c>
      <c r="B356" t="s">
        <v>430</v>
      </c>
      <c r="C356">
        <v>57202588460</v>
      </c>
      <c r="D356">
        <v>57210460028</v>
      </c>
      <c r="E356">
        <v>78</v>
      </c>
      <c r="F356" t="s">
        <v>1197</v>
      </c>
    </row>
    <row r="357" spans="1:6" x14ac:dyDescent="0.45">
      <c r="A357" t="s">
        <v>466</v>
      </c>
      <c r="B357" t="s">
        <v>467</v>
      </c>
      <c r="C357">
        <v>57202588460</v>
      </c>
      <c r="D357">
        <v>59315845200</v>
      </c>
      <c r="E357">
        <v>92</v>
      </c>
      <c r="F357" t="s">
        <v>1196</v>
      </c>
    </row>
    <row r="358" spans="1:6" x14ac:dyDescent="0.45">
      <c r="A358" t="s">
        <v>468</v>
      </c>
      <c r="B358" t="s">
        <v>469</v>
      </c>
      <c r="C358">
        <v>58274752000</v>
      </c>
      <c r="D358">
        <v>58161314200</v>
      </c>
      <c r="E358">
        <v>83</v>
      </c>
      <c r="F358" t="s">
        <v>1197</v>
      </c>
    </row>
    <row r="359" spans="1:6" x14ac:dyDescent="0.45">
      <c r="A359" t="s">
        <v>468</v>
      </c>
      <c r="B359" t="s">
        <v>470</v>
      </c>
      <c r="C359">
        <v>58274752000</v>
      </c>
      <c r="D359">
        <v>57741078900</v>
      </c>
      <c r="E359">
        <v>75</v>
      </c>
      <c r="F359" t="s">
        <v>1197</v>
      </c>
    </row>
    <row r="360" spans="1:6" x14ac:dyDescent="0.45">
      <c r="A360" t="s">
        <v>448</v>
      </c>
      <c r="B360" t="s">
        <v>439</v>
      </c>
      <c r="C360">
        <v>56448087600</v>
      </c>
      <c r="D360">
        <v>58602148800</v>
      </c>
      <c r="E360">
        <v>75</v>
      </c>
      <c r="F360" t="s">
        <v>1197</v>
      </c>
    </row>
    <row r="361" spans="1:6" x14ac:dyDescent="0.45">
      <c r="A361" t="s">
        <v>471</v>
      </c>
      <c r="B361" t="s">
        <v>458</v>
      </c>
      <c r="C361">
        <v>57192095652</v>
      </c>
      <c r="D361">
        <v>59673935300</v>
      </c>
      <c r="E361">
        <v>80</v>
      </c>
      <c r="F361" t="s">
        <v>1197</v>
      </c>
    </row>
    <row r="362" spans="1:6" x14ac:dyDescent="0.45">
      <c r="A362" t="s">
        <v>469</v>
      </c>
      <c r="B362" t="s">
        <v>472</v>
      </c>
      <c r="C362">
        <v>58161314200</v>
      </c>
      <c r="D362">
        <v>58854567800</v>
      </c>
      <c r="E362">
        <v>83</v>
      </c>
      <c r="F362" t="s">
        <v>1197</v>
      </c>
    </row>
    <row r="363" spans="1:6" x14ac:dyDescent="0.45">
      <c r="A363" t="s">
        <v>473</v>
      </c>
      <c r="B363" t="s">
        <v>474</v>
      </c>
      <c r="C363">
        <v>57212571216</v>
      </c>
      <c r="D363">
        <v>57197841951</v>
      </c>
      <c r="E363">
        <v>95</v>
      </c>
      <c r="F363" t="s">
        <v>1196</v>
      </c>
    </row>
    <row r="364" spans="1:6" x14ac:dyDescent="0.45">
      <c r="A364" t="s">
        <v>475</v>
      </c>
      <c r="B364" t="s">
        <v>476</v>
      </c>
      <c r="C364">
        <v>59185018600</v>
      </c>
      <c r="D364">
        <v>57352587200</v>
      </c>
      <c r="E364">
        <v>85</v>
      </c>
      <c r="F364" t="s">
        <v>1197</v>
      </c>
    </row>
    <row r="365" spans="1:6" x14ac:dyDescent="0.45">
      <c r="A365" t="s">
        <v>477</v>
      </c>
      <c r="B365" t="s">
        <v>478</v>
      </c>
      <c r="C365">
        <v>57203603824</v>
      </c>
      <c r="D365">
        <v>57209116896</v>
      </c>
      <c r="E365">
        <v>85</v>
      </c>
      <c r="F365" t="s">
        <v>1197</v>
      </c>
    </row>
    <row r="366" spans="1:6" x14ac:dyDescent="0.45">
      <c r="A366" t="s">
        <v>479</v>
      </c>
      <c r="B366" t="s">
        <v>449</v>
      </c>
      <c r="C366">
        <v>59662498500</v>
      </c>
      <c r="D366">
        <v>59232268700</v>
      </c>
      <c r="E366">
        <v>76</v>
      </c>
      <c r="F366" t="s">
        <v>1197</v>
      </c>
    </row>
    <row r="367" spans="1:6" x14ac:dyDescent="0.45">
      <c r="A367" t="s">
        <v>480</v>
      </c>
      <c r="B367" t="s">
        <v>481</v>
      </c>
      <c r="C367">
        <v>57193493997</v>
      </c>
      <c r="D367">
        <v>57296745700</v>
      </c>
      <c r="E367">
        <v>76</v>
      </c>
      <c r="F367" t="s">
        <v>1197</v>
      </c>
    </row>
    <row r="368" spans="1:6" x14ac:dyDescent="0.45">
      <c r="A368" t="s">
        <v>482</v>
      </c>
      <c r="B368" t="s">
        <v>483</v>
      </c>
      <c r="C368">
        <v>58742408500</v>
      </c>
      <c r="D368">
        <v>57220006337</v>
      </c>
      <c r="E368">
        <v>79</v>
      </c>
      <c r="F368" t="s">
        <v>1197</v>
      </c>
    </row>
    <row r="369" spans="1:6" x14ac:dyDescent="0.45">
      <c r="A369" t="s">
        <v>484</v>
      </c>
      <c r="B369" t="s">
        <v>485</v>
      </c>
      <c r="C369">
        <v>57199736172</v>
      </c>
      <c r="D369">
        <v>59147557700</v>
      </c>
      <c r="E369">
        <v>78</v>
      </c>
      <c r="F369" t="s">
        <v>1197</v>
      </c>
    </row>
    <row r="370" spans="1:6" x14ac:dyDescent="0.45">
      <c r="A370" t="s">
        <v>486</v>
      </c>
      <c r="B370" t="s">
        <v>481</v>
      </c>
      <c r="C370">
        <v>57517251500</v>
      </c>
      <c r="D370">
        <v>57296745700</v>
      </c>
      <c r="E370">
        <v>75</v>
      </c>
      <c r="F370" t="s">
        <v>1197</v>
      </c>
    </row>
    <row r="371" spans="1:6" x14ac:dyDescent="0.45">
      <c r="A371" t="s">
        <v>487</v>
      </c>
      <c r="B371" t="s">
        <v>451</v>
      </c>
      <c r="C371">
        <v>57555413300</v>
      </c>
      <c r="D371">
        <v>59305897300</v>
      </c>
      <c r="E371">
        <v>87</v>
      </c>
      <c r="F371" t="s">
        <v>1196</v>
      </c>
    </row>
    <row r="372" spans="1:6" x14ac:dyDescent="0.45">
      <c r="A372" t="s">
        <v>487</v>
      </c>
      <c r="B372" t="s">
        <v>449</v>
      </c>
      <c r="C372">
        <v>57555413300</v>
      </c>
      <c r="D372">
        <v>59232268700</v>
      </c>
      <c r="E372">
        <v>75</v>
      </c>
      <c r="F372" t="s">
        <v>1197</v>
      </c>
    </row>
    <row r="373" spans="1:6" x14ac:dyDescent="0.45">
      <c r="A373" t="s">
        <v>449</v>
      </c>
      <c r="B373" t="s">
        <v>439</v>
      </c>
      <c r="C373">
        <v>59232268700</v>
      </c>
      <c r="D373">
        <v>58602148800</v>
      </c>
      <c r="E373">
        <v>77</v>
      </c>
      <c r="F373" t="s">
        <v>1197</v>
      </c>
    </row>
    <row r="374" spans="1:6" x14ac:dyDescent="0.45">
      <c r="A374" t="s">
        <v>488</v>
      </c>
      <c r="B374" t="s">
        <v>489</v>
      </c>
      <c r="C374">
        <v>57214883229</v>
      </c>
      <c r="D374">
        <v>56575966800</v>
      </c>
      <c r="E374">
        <v>92</v>
      </c>
      <c r="F374" t="s">
        <v>1196</v>
      </c>
    </row>
    <row r="375" spans="1:6" x14ac:dyDescent="0.45">
      <c r="A375" t="s">
        <v>490</v>
      </c>
      <c r="B375" t="s">
        <v>491</v>
      </c>
      <c r="C375">
        <v>58603818900</v>
      </c>
      <c r="D375">
        <v>57210262931</v>
      </c>
      <c r="E375">
        <v>76</v>
      </c>
      <c r="F375" t="s">
        <v>1197</v>
      </c>
    </row>
    <row r="376" spans="1:6" x14ac:dyDescent="0.45">
      <c r="A376" t="s">
        <v>490</v>
      </c>
      <c r="B376" t="s">
        <v>492</v>
      </c>
      <c r="C376">
        <v>58603818900</v>
      </c>
      <c r="D376">
        <v>59061428700</v>
      </c>
      <c r="E376">
        <v>77</v>
      </c>
      <c r="F376" t="s">
        <v>1197</v>
      </c>
    </row>
    <row r="377" spans="1:6" x14ac:dyDescent="0.45">
      <c r="A377" t="s">
        <v>490</v>
      </c>
      <c r="B377" t="s">
        <v>493</v>
      </c>
      <c r="C377">
        <v>58603818900</v>
      </c>
      <c r="D377">
        <v>59487044600</v>
      </c>
      <c r="E377">
        <v>87</v>
      </c>
      <c r="F377" t="s">
        <v>1197</v>
      </c>
    </row>
    <row r="378" spans="1:6" x14ac:dyDescent="0.45">
      <c r="A378" t="s">
        <v>490</v>
      </c>
      <c r="B378" t="s">
        <v>494</v>
      </c>
      <c r="C378">
        <v>58603818900</v>
      </c>
      <c r="D378">
        <v>57225184392</v>
      </c>
      <c r="E378">
        <v>76</v>
      </c>
      <c r="F378" t="s">
        <v>1197</v>
      </c>
    </row>
    <row r="379" spans="1:6" x14ac:dyDescent="0.45">
      <c r="A379" t="s">
        <v>495</v>
      </c>
      <c r="B379" t="s">
        <v>492</v>
      </c>
      <c r="C379">
        <v>8969748600</v>
      </c>
      <c r="D379">
        <v>59061428700</v>
      </c>
      <c r="E379">
        <v>82</v>
      </c>
      <c r="F379" t="s">
        <v>1196</v>
      </c>
    </row>
    <row r="380" spans="1:6" x14ac:dyDescent="0.45">
      <c r="A380" t="s">
        <v>495</v>
      </c>
      <c r="B380" t="s">
        <v>496</v>
      </c>
      <c r="C380">
        <v>8969748600</v>
      </c>
      <c r="D380">
        <v>59732151800</v>
      </c>
      <c r="E380">
        <v>86</v>
      </c>
      <c r="F380" t="s">
        <v>1196</v>
      </c>
    </row>
    <row r="381" spans="1:6" x14ac:dyDescent="0.45">
      <c r="A381" t="s">
        <v>497</v>
      </c>
      <c r="B381" t="s">
        <v>498</v>
      </c>
      <c r="C381">
        <v>58100818300</v>
      </c>
      <c r="D381">
        <v>44461638200</v>
      </c>
      <c r="E381">
        <v>97</v>
      </c>
      <c r="F381" t="s">
        <v>1196</v>
      </c>
    </row>
    <row r="382" spans="1:6" x14ac:dyDescent="0.45">
      <c r="A382" t="s">
        <v>499</v>
      </c>
      <c r="B382" t="s">
        <v>500</v>
      </c>
      <c r="C382">
        <v>24802395600</v>
      </c>
      <c r="D382">
        <v>59625075700</v>
      </c>
      <c r="E382">
        <v>76</v>
      </c>
      <c r="F382" t="s">
        <v>1197</v>
      </c>
    </row>
    <row r="383" spans="1:6" x14ac:dyDescent="0.45">
      <c r="A383" t="s">
        <v>501</v>
      </c>
      <c r="B383" t="s">
        <v>502</v>
      </c>
      <c r="C383">
        <v>55540777300</v>
      </c>
      <c r="D383">
        <v>57207257893</v>
      </c>
      <c r="E383">
        <v>76</v>
      </c>
      <c r="F383" t="s">
        <v>1197</v>
      </c>
    </row>
    <row r="384" spans="1:6" x14ac:dyDescent="0.45">
      <c r="A384" t="s">
        <v>501</v>
      </c>
      <c r="B384" t="s">
        <v>503</v>
      </c>
      <c r="C384">
        <v>55540777300</v>
      </c>
      <c r="D384">
        <v>58669083900</v>
      </c>
      <c r="E384">
        <v>90</v>
      </c>
      <c r="F384" t="s">
        <v>1197</v>
      </c>
    </row>
    <row r="385" spans="1:6" x14ac:dyDescent="0.45">
      <c r="A385" t="s">
        <v>504</v>
      </c>
      <c r="B385" t="s">
        <v>505</v>
      </c>
      <c r="C385">
        <v>57208500706</v>
      </c>
      <c r="D385">
        <v>57191371558</v>
      </c>
      <c r="E385">
        <v>75</v>
      </c>
      <c r="F385" t="s">
        <v>1197</v>
      </c>
    </row>
    <row r="386" spans="1:6" x14ac:dyDescent="0.45">
      <c r="A386" t="s">
        <v>504</v>
      </c>
      <c r="B386" t="s">
        <v>506</v>
      </c>
      <c r="C386">
        <v>57208500706</v>
      </c>
      <c r="D386">
        <v>57419438300</v>
      </c>
      <c r="E386">
        <v>93</v>
      </c>
      <c r="F386" t="s">
        <v>1197</v>
      </c>
    </row>
    <row r="387" spans="1:6" x14ac:dyDescent="0.45">
      <c r="A387" t="s">
        <v>504</v>
      </c>
      <c r="B387" t="s">
        <v>507</v>
      </c>
      <c r="C387">
        <v>57208500706</v>
      </c>
      <c r="D387">
        <v>58930944200</v>
      </c>
      <c r="E387">
        <v>94</v>
      </c>
      <c r="F387" t="s">
        <v>1196</v>
      </c>
    </row>
    <row r="388" spans="1:6" x14ac:dyDescent="0.45">
      <c r="A388" t="s">
        <v>504</v>
      </c>
      <c r="B388" t="s">
        <v>508</v>
      </c>
      <c r="C388">
        <v>57208500706</v>
      </c>
      <c r="D388">
        <v>57192301448</v>
      </c>
      <c r="E388">
        <v>75</v>
      </c>
      <c r="F388" t="s">
        <v>1197</v>
      </c>
    </row>
    <row r="389" spans="1:6" x14ac:dyDescent="0.45">
      <c r="A389" t="s">
        <v>504</v>
      </c>
      <c r="B389" t="s">
        <v>509</v>
      </c>
      <c r="C389">
        <v>57208500706</v>
      </c>
      <c r="D389">
        <v>59152165700</v>
      </c>
      <c r="E389">
        <v>80</v>
      </c>
      <c r="F389" t="s">
        <v>1197</v>
      </c>
    </row>
    <row r="390" spans="1:6" x14ac:dyDescent="0.45">
      <c r="A390" t="s">
        <v>510</v>
      </c>
      <c r="B390" t="s">
        <v>511</v>
      </c>
      <c r="C390">
        <v>55638723000</v>
      </c>
      <c r="D390">
        <v>59806039000</v>
      </c>
      <c r="E390">
        <v>77</v>
      </c>
      <c r="F390" t="s">
        <v>1196</v>
      </c>
    </row>
    <row r="391" spans="1:6" x14ac:dyDescent="0.45">
      <c r="A391" t="s">
        <v>512</v>
      </c>
      <c r="B391" t="s">
        <v>513</v>
      </c>
      <c r="C391">
        <v>55477263200</v>
      </c>
      <c r="D391">
        <v>59661104900</v>
      </c>
      <c r="E391">
        <v>93</v>
      </c>
      <c r="F391" t="s">
        <v>1196</v>
      </c>
    </row>
    <row r="392" spans="1:6" x14ac:dyDescent="0.45">
      <c r="A392" t="s">
        <v>514</v>
      </c>
      <c r="B392" t="s">
        <v>515</v>
      </c>
      <c r="C392">
        <v>36644393200</v>
      </c>
      <c r="D392">
        <v>59645048800</v>
      </c>
      <c r="E392">
        <v>75</v>
      </c>
      <c r="F392" t="s">
        <v>1197</v>
      </c>
    </row>
    <row r="393" spans="1:6" x14ac:dyDescent="0.45">
      <c r="A393" t="s">
        <v>516</v>
      </c>
      <c r="B393" t="s">
        <v>517</v>
      </c>
      <c r="C393">
        <v>36921090100</v>
      </c>
      <c r="D393">
        <v>59710754100</v>
      </c>
      <c r="E393">
        <v>75</v>
      </c>
      <c r="F393" t="s">
        <v>1197</v>
      </c>
    </row>
    <row r="394" spans="1:6" x14ac:dyDescent="0.45">
      <c r="A394" t="s">
        <v>518</v>
      </c>
      <c r="B394" t="s">
        <v>519</v>
      </c>
      <c r="C394">
        <v>55798658400</v>
      </c>
      <c r="D394">
        <v>56413233700</v>
      </c>
      <c r="E394">
        <v>80</v>
      </c>
      <c r="F394" t="s">
        <v>1197</v>
      </c>
    </row>
    <row r="395" spans="1:6" x14ac:dyDescent="0.45">
      <c r="A395" t="s">
        <v>518</v>
      </c>
      <c r="B395" t="s">
        <v>493</v>
      </c>
      <c r="C395">
        <v>55798658400</v>
      </c>
      <c r="D395">
        <v>59487044600</v>
      </c>
      <c r="E395">
        <v>78</v>
      </c>
      <c r="F395" t="s">
        <v>1197</v>
      </c>
    </row>
    <row r="396" spans="1:6" x14ac:dyDescent="0.45">
      <c r="A396" t="s">
        <v>520</v>
      </c>
      <c r="B396" t="s">
        <v>521</v>
      </c>
      <c r="C396">
        <v>56531436200</v>
      </c>
      <c r="D396">
        <v>57711932900</v>
      </c>
      <c r="E396">
        <v>80</v>
      </c>
      <c r="F396" t="s">
        <v>1197</v>
      </c>
    </row>
    <row r="397" spans="1:6" x14ac:dyDescent="0.45">
      <c r="A397" t="s">
        <v>502</v>
      </c>
      <c r="B397" t="s">
        <v>503</v>
      </c>
      <c r="C397">
        <v>57207257893</v>
      </c>
      <c r="D397">
        <v>58669083900</v>
      </c>
      <c r="E397">
        <v>86</v>
      </c>
      <c r="F397" t="s">
        <v>1197</v>
      </c>
    </row>
    <row r="398" spans="1:6" x14ac:dyDescent="0.45">
      <c r="A398" t="s">
        <v>502</v>
      </c>
      <c r="B398" t="s">
        <v>522</v>
      </c>
      <c r="C398">
        <v>57207257893</v>
      </c>
      <c r="D398">
        <v>59205003400</v>
      </c>
      <c r="E398">
        <v>75</v>
      </c>
      <c r="F398" t="s">
        <v>1197</v>
      </c>
    </row>
    <row r="399" spans="1:6" x14ac:dyDescent="0.45">
      <c r="A399" t="s">
        <v>523</v>
      </c>
      <c r="B399" t="s">
        <v>524</v>
      </c>
      <c r="C399">
        <v>56599407500</v>
      </c>
      <c r="D399">
        <v>57204160662</v>
      </c>
      <c r="E399">
        <v>76</v>
      </c>
      <c r="F399" t="s">
        <v>1197</v>
      </c>
    </row>
    <row r="400" spans="1:6" x14ac:dyDescent="0.45">
      <c r="A400" t="s">
        <v>525</v>
      </c>
      <c r="B400" t="s">
        <v>526</v>
      </c>
      <c r="C400">
        <v>55574212275</v>
      </c>
      <c r="D400">
        <v>59357212900</v>
      </c>
      <c r="E400">
        <v>81</v>
      </c>
      <c r="F400" t="s">
        <v>1197</v>
      </c>
    </row>
    <row r="401" spans="1:6" x14ac:dyDescent="0.45">
      <c r="A401" s="2" t="s">
        <v>525</v>
      </c>
      <c r="B401" s="2" t="s">
        <v>527</v>
      </c>
      <c r="C401" s="2">
        <v>55574212275</v>
      </c>
      <c r="D401" s="2">
        <v>57207946091</v>
      </c>
      <c r="E401" s="2">
        <v>83</v>
      </c>
      <c r="F401" t="s">
        <v>1197</v>
      </c>
    </row>
    <row r="402" spans="1:6" x14ac:dyDescent="0.45">
      <c r="A402" t="s">
        <v>528</v>
      </c>
      <c r="B402" t="s">
        <v>529</v>
      </c>
      <c r="C402">
        <v>7004445683</v>
      </c>
      <c r="D402">
        <v>57226790697</v>
      </c>
      <c r="E402">
        <v>80</v>
      </c>
      <c r="F402" t="s">
        <v>1197</v>
      </c>
    </row>
    <row r="403" spans="1:6" x14ac:dyDescent="0.45">
      <c r="A403" t="s">
        <v>530</v>
      </c>
      <c r="B403" t="s">
        <v>531</v>
      </c>
      <c r="C403">
        <v>57211406075</v>
      </c>
      <c r="D403">
        <v>58436524800</v>
      </c>
      <c r="E403">
        <v>75</v>
      </c>
      <c r="F403" t="s">
        <v>1197</v>
      </c>
    </row>
    <row r="404" spans="1:6" x14ac:dyDescent="0.45">
      <c r="A404" t="s">
        <v>532</v>
      </c>
      <c r="B404" t="s">
        <v>533</v>
      </c>
      <c r="C404">
        <v>55904182200</v>
      </c>
      <c r="D404">
        <v>59516564600</v>
      </c>
      <c r="E404">
        <v>94</v>
      </c>
      <c r="F404" t="s">
        <v>1196</v>
      </c>
    </row>
    <row r="405" spans="1:6" x14ac:dyDescent="0.45">
      <c r="A405" t="s">
        <v>534</v>
      </c>
      <c r="B405" t="s">
        <v>535</v>
      </c>
      <c r="C405">
        <v>57215578322</v>
      </c>
      <c r="D405">
        <v>7501443732</v>
      </c>
      <c r="E405">
        <v>80</v>
      </c>
      <c r="F405" t="s">
        <v>1197</v>
      </c>
    </row>
    <row r="406" spans="1:6" x14ac:dyDescent="0.45">
      <c r="A406" t="s">
        <v>536</v>
      </c>
      <c r="B406" t="s">
        <v>509</v>
      </c>
      <c r="C406">
        <v>57218798436</v>
      </c>
      <c r="D406">
        <v>59152165700</v>
      </c>
      <c r="E406">
        <v>75</v>
      </c>
      <c r="F406" t="s">
        <v>1197</v>
      </c>
    </row>
    <row r="407" spans="1:6" x14ac:dyDescent="0.45">
      <c r="A407" t="s">
        <v>491</v>
      </c>
      <c r="B407" t="s">
        <v>537</v>
      </c>
      <c r="C407">
        <v>57210262931</v>
      </c>
      <c r="D407">
        <v>57205694562</v>
      </c>
      <c r="E407">
        <v>84</v>
      </c>
      <c r="F407" t="s">
        <v>1197</v>
      </c>
    </row>
    <row r="408" spans="1:6" x14ac:dyDescent="0.45">
      <c r="A408" t="s">
        <v>491</v>
      </c>
      <c r="B408" t="s">
        <v>493</v>
      </c>
      <c r="C408">
        <v>57210262931</v>
      </c>
      <c r="D408">
        <v>59487044600</v>
      </c>
      <c r="E408">
        <v>80</v>
      </c>
      <c r="F408" t="s">
        <v>1197</v>
      </c>
    </row>
    <row r="409" spans="1:6" x14ac:dyDescent="0.45">
      <c r="A409" t="s">
        <v>491</v>
      </c>
      <c r="B409" t="s">
        <v>531</v>
      </c>
      <c r="C409">
        <v>57210262931</v>
      </c>
      <c r="D409">
        <v>58436524800</v>
      </c>
      <c r="E409">
        <v>75</v>
      </c>
      <c r="F409" t="s">
        <v>1197</v>
      </c>
    </row>
    <row r="410" spans="1:6" x14ac:dyDescent="0.45">
      <c r="A410" t="s">
        <v>491</v>
      </c>
      <c r="B410" t="s">
        <v>538</v>
      </c>
      <c r="C410">
        <v>57210262931</v>
      </c>
      <c r="D410">
        <v>57216939987</v>
      </c>
      <c r="E410">
        <v>75</v>
      </c>
      <c r="F410" t="s">
        <v>1197</v>
      </c>
    </row>
    <row r="411" spans="1:6" x14ac:dyDescent="0.45">
      <c r="A411" t="s">
        <v>524</v>
      </c>
      <c r="B411" t="s">
        <v>508</v>
      </c>
      <c r="C411">
        <v>57204160662</v>
      </c>
      <c r="D411">
        <v>57192301448</v>
      </c>
      <c r="E411">
        <v>78</v>
      </c>
      <c r="F411" t="s">
        <v>1197</v>
      </c>
    </row>
    <row r="412" spans="1:6" x14ac:dyDescent="0.45">
      <c r="A412" t="s">
        <v>539</v>
      </c>
      <c r="B412" t="s">
        <v>493</v>
      </c>
      <c r="C412">
        <v>57205368212</v>
      </c>
      <c r="D412">
        <v>59487044600</v>
      </c>
      <c r="E412">
        <v>76</v>
      </c>
      <c r="F412" t="s">
        <v>1197</v>
      </c>
    </row>
    <row r="413" spans="1:6" x14ac:dyDescent="0.45">
      <c r="A413" t="s">
        <v>540</v>
      </c>
      <c r="B413" t="s">
        <v>541</v>
      </c>
      <c r="C413">
        <v>55315987100</v>
      </c>
      <c r="D413">
        <v>57189987947</v>
      </c>
      <c r="E413">
        <v>75</v>
      </c>
      <c r="F413" t="s">
        <v>1197</v>
      </c>
    </row>
    <row r="414" spans="1:6" x14ac:dyDescent="0.45">
      <c r="A414" t="s">
        <v>519</v>
      </c>
      <c r="B414" t="s">
        <v>542</v>
      </c>
      <c r="C414">
        <v>56413233700</v>
      </c>
      <c r="D414">
        <v>59424708200</v>
      </c>
      <c r="E414">
        <v>78</v>
      </c>
      <c r="F414" t="s">
        <v>1197</v>
      </c>
    </row>
    <row r="415" spans="1:6" x14ac:dyDescent="0.45">
      <c r="A415" t="s">
        <v>519</v>
      </c>
      <c r="B415" t="s">
        <v>537</v>
      </c>
      <c r="C415">
        <v>56413233700</v>
      </c>
      <c r="D415">
        <v>57205694562</v>
      </c>
      <c r="E415">
        <v>78</v>
      </c>
      <c r="F415" t="s">
        <v>1197</v>
      </c>
    </row>
    <row r="416" spans="1:6" x14ac:dyDescent="0.45">
      <c r="A416" t="s">
        <v>519</v>
      </c>
      <c r="B416" t="s">
        <v>508</v>
      </c>
      <c r="C416">
        <v>56413233700</v>
      </c>
      <c r="D416">
        <v>57192301448</v>
      </c>
      <c r="E416">
        <v>75</v>
      </c>
      <c r="F416" t="s">
        <v>1197</v>
      </c>
    </row>
    <row r="417" spans="1:6" x14ac:dyDescent="0.45">
      <c r="A417" t="s">
        <v>519</v>
      </c>
      <c r="B417" t="s">
        <v>538</v>
      </c>
      <c r="C417">
        <v>56413233700</v>
      </c>
      <c r="D417">
        <v>57216939987</v>
      </c>
      <c r="E417">
        <v>80</v>
      </c>
      <c r="F417" t="s">
        <v>1197</v>
      </c>
    </row>
    <row r="418" spans="1:6" x14ac:dyDescent="0.45">
      <c r="A418" t="s">
        <v>505</v>
      </c>
      <c r="B418" t="s">
        <v>506</v>
      </c>
      <c r="C418">
        <v>57191371558</v>
      </c>
      <c r="D418">
        <v>57419438300</v>
      </c>
      <c r="E418">
        <v>80</v>
      </c>
      <c r="F418" t="s">
        <v>1197</v>
      </c>
    </row>
    <row r="419" spans="1:6" x14ac:dyDescent="0.45">
      <c r="A419" t="s">
        <v>505</v>
      </c>
      <c r="B419" t="s">
        <v>543</v>
      </c>
      <c r="C419">
        <v>57191371558</v>
      </c>
      <c r="D419">
        <v>57212311896</v>
      </c>
      <c r="E419">
        <v>89</v>
      </c>
      <c r="F419" t="s">
        <v>1197</v>
      </c>
    </row>
    <row r="420" spans="1:6" x14ac:dyDescent="0.45">
      <c r="A420" t="s">
        <v>505</v>
      </c>
      <c r="B420" t="s">
        <v>508</v>
      </c>
      <c r="C420">
        <v>57191371558</v>
      </c>
      <c r="D420">
        <v>57192301448</v>
      </c>
      <c r="E420">
        <v>88</v>
      </c>
      <c r="F420" t="s">
        <v>1197</v>
      </c>
    </row>
    <row r="421" spans="1:6" x14ac:dyDescent="0.45">
      <c r="A421" t="s">
        <v>544</v>
      </c>
      <c r="B421" t="s">
        <v>545</v>
      </c>
      <c r="C421">
        <v>39762111800</v>
      </c>
      <c r="D421">
        <v>57206734156</v>
      </c>
      <c r="E421">
        <v>78</v>
      </c>
      <c r="F421" t="s">
        <v>1197</v>
      </c>
    </row>
    <row r="422" spans="1:6" x14ac:dyDescent="0.45">
      <c r="A422" t="s">
        <v>544</v>
      </c>
      <c r="B422" t="s">
        <v>546</v>
      </c>
      <c r="C422">
        <v>39762111800</v>
      </c>
      <c r="D422">
        <v>58374461300</v>
      </c>
      <c r="E422">
        <v>75</v>
      </c>
      <c r="F422" t="s">
        <v>1197</v>
      </c>
    </row>
    <row r="423" spans="1:6" x14ac:dyDescent="0.45">
      <c r="A423" t="s">
        <v>544</v>
      </c>
      <c r="B423" t="s">
        <v>547</v>
      </c>
      <c r="C423">
        <v>39762111800</v>
      </c>
      <c r="D423">
        <v>57252778500</v>
      </c>
      <c r="E423">
        <v>78</v>
      </c>
      <c r="F423" t="s">
        <v>1197</v>
      </c>
    </row>
    <row r="424" spans="1:6" x14ac:dyDescent="0.45">
      <c r="A424" t="s">
        <v>545</v>
      </c>
      <c r="B424" t="s">
        <v>548</v>
      </c>
      <c r="C424">
        <v>57206734156</v>
      </c>
      <c r="D424">
        <v>58376421300</v>
      </c>
      <c r="E424">
        <v>78</v>
      </c>
      <c r="F424" t="s">
        <v>1197</v>
      </c>
    </row>
    <row r="425" spans="1:6" x14ac:dyDescent="0.45">
      <c r="A425" t="s">
        <v>545</v>
      </c>
      <c r="B425" t="s">
        <v>549</v>
      </c>
      <c r="C425">
        <v>57206734156</v>
      </c>
      <c r="D425">
        <v>55147369200</v>
      </c>
      <c r="E425">
        <v>75</v>
      </c>
      <c r="F425" t="s">
        <v>1197</v>
      </c>
    </row>
    <row r="426" spans="1:6" x14ac:dyDescent="0.45">
      <c r="A426" t="s">
        <v>550</v>
      </c>
      <c r="B426" t="s">
        <v>551</v>
      </c>
      <c r="C426">
        <v>57190020420</v>
      </c>
      <c r="D426">
        <v>56468726400</v>
      </c>
      <c r="E426">
        <v>77</v>
      </c>
      <c r="F426" t="s">
        <v>1197</v>
      </c>
    </row>
    <row r="427" spans="1:6" x14ac:dyDescent="0.45">
      <c r="A427" t="s">
        <v>552</v>
      </c>
      <c r="B427" t="s">
        <v>553</v>
      </c>
      <c r="C427">
        <v>57204467338</v>
      </c>
      <c r="D427">
        <v>57220551288</v>
      </c>
      <c r="E427">
        <v>76</v>
      </c>
      <c r="F427" t="s">
        <v>1197</v>
      </c>
    </row>
    <row r="428" spans="1:6" x14ac:dyDescent="0.45">
      <c r="A428" t="s">
        <v>552</v>
      </c>
      <c r="B428" t="s">
        <v>554</v>
      </c>
      <c r="C428">
        <v>57204467338</v>
      </c>
      <c r="D428">
        <v>58744569600</v>
      </c>
      <c r="E428">
        <v>76</v>
      </c>
      <c r="F428" t="s">
        <v>1197</v>
      </c>
    </row>
    <row r="429" spans="1:6" x14ac:dyDescent="0.45">
      <c r="A429" t="s">
        <v>555</v>
      </c>
      <c r="B429" t="s">
        <v>556</v>
      </c>
      <c r="C429">
        <v>56555456900</v>
      </c>
      <c r="D429">
        <v>57209238379</v>
      </c>
      <c r="E429">
        <v>80</v>
      </c>
      <c r="F429" t="s">
        <v>1197</v>
      </c>
    </row>
    <row r="430" spans="1:6" x14ac:dyDescent="0.45">
      <c r="A430" t="s">
        <v>541</v>
      </c>
      <c r="B430" t="s">
        <v>557</v>
      </c>
      <c r="C430">
        <v>57189987947</v>
      </c>
      <c r="D430">
        <v>58555571700</v>
      </c>
      <c r="E430">
        <v>75</v>
      </c>
      <c r="F430" t="s">
        <v>1197</v>
      </c>
    </row>
    <row r="431" spans="1:6" x14ac:dyDescent="0.45">
      <c r="A431" t="s">
        <v>541</v>
      </c>
      <c r="B431" t="s">
        <v>542</v>
      </c>
      <c r="C431">
        <v>57189987947</v>
      </c>
      <c r="D431">
        <v>59424708200</v>
      </c>
      <c r="E431">
        <v>75</v>
      </c>
      <c r="F431" t="s">
        <v>1197</v>
      </c>
    </row>
    <row r="432" spans="1:6" x14ac:dyDescent="0.45">
      <c r="A432" t="s">
        <v>541</v>
      </c>
      <c r="B432" t="s">
        <v>558</v>
      </c>
      <c r="C432">
        <v>57189987947</v>
      </c>
      <c r="D432">
        <v>59248899100</v>
      </c>
      <c r="E432">
        <v>75</v>
      </c>
      <c r="F432" t="s">
        <v>1197</v>
      </c>
    </row>
    <row r="433" spans="1:6" x14ac:dyDescent="0.45">
      <c r="A433" t="s">
        <v>541</v>
      </c>
      <c r="B433" t="s">
        <v>559</v>
      </c>
      <c r="C433">
        <v>57189987947</v>
      </c>
      <c r="D433">
        <v>57218939828</v>
      </c>
      <c r="E433">
        <v>86</v>
      </c>
      <c r="F433" t="s">
        <v>1197</v>
      </c>
    </row>
    <row r="434" spans="1:6" x14ac:dyDescent="0.45">
      <c r="A434" t="s">
        <v>541</v>
      </c>
      <c r="B434" t="s">
        <v>554</v>
      </c>
      <c r="C434">
        <v>57189987947</v>
      </c>
      <c r="D434">
        <v>58744569600</v>
      </c>
      <c r="E434">
        <v>80</v>
      </c>
      <c r="F434" t="s">
        <v>1197</v>
      </c>
    </row>
    <row r="435" spans="1:6" x14ac:dyDescent="0.45">
      <c r="A435" t="s">
        <v>541</v>
      </c>
      <c r="B435" t="s">
        <v>531</v>
      </c>
      <c r="C435">
        <v>57189987947</v>
      </c>
      <c r="D435">
        <v>58436524800</v>
      </c>
      <c r="E435">
        <v>77</v>
      </c>
      <c r="F435" t="s">
        <v>1197</v>
      </c>
    </row>
    <row r="436" spans="1:6" x14ac:dyDescent="0.45">
      <c r="A436" t="s">
        <v>541</v>
      </c>
      <c r="B436" t="s">
        <v>538</v>
      </c>
      <c r="C436">
        <v>57189987947</v>
      </c>
      <c r="D436">
        <v>57216939987</v>
      </c>
      <c r="E436">
        <v>77</v>
      </c>
      <c r="F436" t="s">
        <v>1197</v>
      </c>
    </row>
    <row r="437" spans="1:6" x14ac:dyDescent="0.45">
      <c r="A437" t="s">
        <v>560</v>
      </c>
      <c r="B437" t="s">
        <v>561</v>
      </c>
      <c r="C437">
        <v>57217039511</v>
      </c>
      <c r="D437">
        <v>57364393000</v>
      </c>
      <c r="E437">
        <v>86</v>
      </c>
      <c r="F437" t="s">
        <v>1197</v>
      </c>
    </row>
    <row r="438" spans="1:6" x14ac:dyDescent="0.45">
      <c r="A438" t="s">
        <v>560</v>
      </c>
      <c r="B438" t="s">
        <v>562</v>
      </c>
      <c r="C438">
        <v>57217039511</v>
      </c>
      <c r="D438">
        <v>57211233276</v>
      </c>
      <c r="E438">
        <v>77</v>
      </c>
      <c r="F438" t="s">
        <v>1197</v>
      </c>
    </row>
    <row r="439" spans="1:6" x14ac:dyDescent="0.45">
      <c r="A439" t="s">
        <v>563</v>
      </c>
      <c r="B439" t="s">
        <v>564</v>
      </c>
      <c r="C439">
        <v>59785163100</v>
      </c>
      <c r="D439">
        <v>56306779600</v>
      </c>
      <c r="E439">
        <v>84</v>
      </c>
      <c r="F439" t="s">
        <v>1197</v>
      </c>
    </row>
    <row r="440" spans="1:6" x14ac:dyDescent="0.45">
      <c r="A440" t="s">
        <v>563</v>
      </c>
      <c r="B440" t="s">
        <v>565</v>
      </c>
      <c r="C440">
        <v>59785163100</v>
      </c>
      <c r="D440">
        <v>58550253900</v>
      </c>
      <c r="E440">
        <v>78</v>
      </c>
      <c r="F440" t="s">
        <v>1197</v>
      </c>
    </row>
    <row r="441" spans="1:6" x14ac:dyDescent="0.45">
      <c r="A441" t="s">
        <v>563</v>
      </c>
      <c r="B441" t="s">
        <v>531</v>
      </c>
      <c r="C441">
        <v>59785163100</v>
      </c>
      <c r="D441">
        <v>58436524800</v>
      </c>
      <c r="E441">
        <v>75</v>
      </c>
      <c r="F441" t="s">
        <v>1197</v>
      </c>
    </row>
    <row r="442" spans="1:6" x14ac:dyDescent="0.45">
      <c r="A442" t="s">
        <v>566</v>
      </c>
      <c r="B442" t="s">
        <v>567</v>
      </c>
      <c r="C442">
        <v>56537319300</v>
      </c>
      <c r="D442">
        <v>49863888400</v>
      </c>
      <c r="E442">
        <v>75</v>
      </c>
      <c r="F442" t="s">
        <v>1197</v>
      </c>
    </row>
    <row r="443" spans="1:6" x14ac:dyDescent="0.45">
      <c r="A443" t="s">
        <v>568</v>
      </c>
      <c r="B443" t="s">
        <v>569</v>
      </c>
      <c r="C443">
        <v>57831947600</v>
      </c>
      <c r="D443">
        <v>59114291700</v>
      </c>
      <c r="E443">
        <v>84</v>
      </c>
      <c r="F443" t="s">
        <v>1196</v>
      </c>
    </row>
    <row r="444" spans="1:6" x14ac:dyDescent="0.45">
      <c r="A444" t="s">
        <v>570</v>
      </c>
      <c r="B444" t="s">
        <v>571</v>
      </c>
      <c r="C444">
        <v>56803251500</v>
      </c>
      <c r="D444">
        <v>58292542600</v>
      </c>
      <c r="E444">
        <v>82</v>
      </c>
      <c r="F444" t="s">
        <v>1197</v>
      </c>
    </row>
    <row r="445" spans="1:6" x14ac:dyDescent="0.45">
      <c r="A445" t="s">
        <v>492</v>
      </c>
      <c r="B445" t="s">
        <v>537</v>
      </c>
      <c r="C445">
        <v>59061428700</v>
      </c>
      <c r="D445">
        <v>57205694562</v>
      </c>
      <c r="E445">
        <v>75</v>
      </c>
      <c r="F445" t="s">
        <v>1197</v>
      </c>
    </row>
    <row r="446" spans="1:6" x14ac:dyDescent="0.45">
      <c r="A446" t="s">
        <v>492</v>
      </c>
      <c r="B446" t="s">
        <v>496</v>
      </c>
      <c r="C446">
        <v>59061428700</v>
      </c>
      <c r="D446">
        <v>59732151800</v>
      </c>
      <c r="E446">
        <v>90</v>
      </c>
      <c r="F446" t="s">
        <v>1196</v>
      </c>
    </row>
    <row r="447" spans="1:6" x14ac:dyDescent="0.45">
      <c r="A447" t="s">
        <v>572</v>
      </c>
      <c r="B447" t="s">
        <v>573</v>
      </c>
      <c r="C447">
        <v>57520479400</v>
      </c>
      <c r="D447">
        <v>57980252100</v>
      </c>
      <c r="E447">
        <v>80</v>
      </c>
      <c r="F447" t="s">
        <v>1197</v>
      </c>
    </row>
    <row r="448" spans="1:6" x14ac:dyDescent="0.45">
      <c r="A448" t="s">
        <v>572</v>
      </c>
      <c r="B448" t="s">
        <v>574</v>
      </c>
      <c r="C448">
        <v>57520479400</v>
      </c>
      <c r="D448">
        <v>57216867749</v>
      </c>
      <c r="E448">
        <v>78</v>
      </c>
      <c r="F448" t="s">
        <v>1197</v>
      </c>
    </row>
    <row r="449" spans="1:6" x14ac:dyDescent="0.45">
      <c r="A449" t="s">
        <v>557</v>
      </c>
      <c r="B449" t="s">
        <v>531</v>
      </c>
      <c r="C449">
        <v>58555571700</v>
      </c>
      <c r="D449">
        <v>58436524800</v>
      </c>
      <c r="E449">
        <v>82</v>
      </c>
      <c r="F449" t="s">
        <v>1197</v>
      </c>
    </row>
    <row r="450" spans="1:6" x14ac:dyDescent="0.45">
      <c r="A450" t="s">
        <v>557</v>
      </c>
      <c r="B450" t="s">
        <v>575</v>
      </c>
      <c r="C450">
        <v>58555571700</v>
      </c>
      <c r="D450">
        <v>57204916659</v>
      </c>
      <c r="E450">
        <v>82</v>
      </c>
      <c r="F450" t="s">
        <v>1197</v>
      </c>
    </row>
    <row r="451" spans="1:6" x14ac:dyDescent="0.45">
      <c r="A451" t="s">
        <v>557</v>
      </c>
      <c r="B451" t="s">
        <v>538</v>
      </c>
      <c r="C451">
        <v>58555571700</v>
      </c>
      <c r="D451">
        <v>57216939987</v>
      </c>
      <c r="E451">
        <v>82</v>
      </c>
      <c r="F451" t="s">
        <v>1197</v>
      </c>
    </row>
    <row r="452" spans="1:6" x14ac:dyDescent="0.45">
      <c r="A452" t="s">
        <v>576</v>
      </c>
      <c r="B452" t="s">
        <v>577</v>
      </c>
      <c r="C452">
        <v>55924615100</v>
      </c>
      <c r="D452">
        <v>57222084312</v>
      </c>
      <c r="E452">
        <v>76</v>
      </c>
      <c r="F452" t="s">
        <v>1197</v>
      </c>
    </row>
    <row r="453" spans="1:6" x14ac:dyDescent="0.45">
      <c r="A453" t="s">
        <v>578</v>
      </c>
      <c r="B453" t="s">
        <v>565</v>
      </c>
      <c r="C453">
        <v>57205377655</v>
      </c>
      <c r="D453">
        <v>58550253900</v>
      </c>
      <c r="E453">
        <v>78</v>
      </c>
      <c r="F453" t="s">
        <v>1197</v>
      </c>
    </row>
    <row r="454" spans="1:6" x14ac:dyDescent="0.45">
      <c r="A454" t="s">
        <v>578</v>
      </c>
      <c r="B454" t="s">
        <v>531</v>
      </c>
      <c r="C454">
        <v>57205377655</v>
      </c>
      <c r="D454">
        <v>58436524800</v>
      </c>
      <c r="E454">
        <v>75</v>
      </c>
      <c r="F454" t="s">
        <v>1197</v>
      </c>
    </row>
    <row r="455" spans="1:6" x14ac:dyDescent="0.45">
      <c r="A455" t="s">
        <v>564</v>
      </c>
      <c r="B455" t="s">
        <v>579</v>
      </c>
      <c r="C455">
        <v>56306779600</v>
      </c>
      <c r="D455">
        <v>57204556952</v>
      </c>
      <c r="E455">
        <v>76</v>
      </c>
      <c r="F455" t="s">
        <v>1197</v>
      </c>
    </row>
    <row r="456" spans="1:6" x14ac:dyDescent="0.45">
      <c r="A456" t="s">
        <v>564</v>
      </c>
      <c r="B456" t="s">
        <v>580</v>
      </c>
      <c r="C456">
        <v>56306779600</v>
      </c>
      <c r="D456">
        <v>57225920605</v>
      </c>
      <c r="E456">
        <v>84</v>
      </c>
      <c r="F456" t="s">
        <v>1197</v>
      </c>
    </row>
    <row r="457" spans="1:6" x14ac:dyDescent="0.45">
      <c r="A457" t="s">
        <v>564</v>
      </c>
      <c r="B457" t="s">
        <v>559</v>
      </c>
      <c r="C457">
        <v>56306779600</v>
      </c>
      <c r="D457">
        <v>57218939828</v>
      </c>
      <c r="E457">
        <v>78</v>
      </c>
      <c r="F457" t="s">
        <v>1197</v>
      </c>
    </row>
    <row r="458" spans="1:6" x14ac:dyDescent="0.45">
      <c r="A458" t="s">
        <v>581</v>
      </c>
      <c r="B458" t="s">
        <v>582</v>
      </c>
      <c r="C458">
        <v>57211756552</v>
      </c>
      <c r="D458">
        <v>57192068082</v>
      </c>
      <c r="E458">
        <v>75</v>
      </c>
      <c r="F458" t="s">
        <v>1197</v>
      </c>
    </row>
    <row r="459" spans="1:6" x14ac:dyDescent="0.45">
      <c r="A459" t="s">
        <v>581</v>
      </c>
      <c r="B459" t="s">
        <v>583</v>
      </c>
      <c r="C459">
        <v>57211756552</v>
      </c>
      <c r="D459">
        <v>57323476000</v>
      </c>
      <c r="E459">
        <v>88</v>
      </c>
      <c r="F459" t="s">
        <v>1197</v>
      </c>
    </row>
    <row r="460" spans="1:6" x14ac:dyDescent="0.45">
      <c r="A460" t="s">
        <v>506</v>
      </c>
      <c r="B460" t="s">
        <v>507</v>
      </c>
      <c r="C460">
        <v>57419438300</v>
      </c>
      <c r="D460">
        <v>58930944200</v>
      </c>
      <c r="E460">
        <v>88</v>
      </c>
      <c r="F460" t="s">
        <v>1197</v>
      </c>
    </row>
    <row r="461" spans="1:6" x14ac:dyDescent="0.45">
      <c r="A461" t="s">
        <v>506</v>
      </c>
      <c r="B461" t="s">
        <v>508</v>
      </c>
      <c r="C461">
        <v>57419438300</v>
      </c>
      <c r="D461">
        <v>57192301448</v>
      </c>
      <c r="E461">
        <v>80</v>
      </c>
      <c r="F461" t="s">
        <v>1197</v>
      </c>
    </row>
    <row r="462" spans="1:6" x14ac:dyDescent="0.45">
      <c r="A462" t="s">
        <v>584</v>
      </c>
      <c r="B462" t="s">
        <v>585</v>
      </c>
      <c r="C462">
        <v>57218566585</v>
      </c>
      <c r="D462">
        <v>57226157890</v>
      </c>
      <c r="E462">
        <v>78</v>
      </c>
      <c r="F462" t="s">
        <v>1197</v>
      </c>
    </row>
    <row r="463" spans="1:6" x14ac:dyDescent="0.45">
      <c r="A463" t="s">
        <v>584</v>
      </c>
      <c r="B463" t="s">
        <v>531</v>
      </c>
      <c r="C463">
        <v>57218566585</v>
      </c>
      <c r="D463">
        <v>58436524800</v>
      </c>
      <c r="E463">
        <v>88</v>
      </c>
      <c r="F463" t="s">
        <v>1197</v>
      </c>
    </row>
    <row r="464" spans="1:6" x14ac:dyDescent="0.45">
      <c r="A464" t="s">
        <v>584</v>
      </c>
      <c r="B464" t="s">
        <v>538</v>
      </c>
      <c r="C464">
        <v>57218566585</v>
      </c>
      <c r="D464">
        <v>57216939987</v>
      </c>
      <c r="E464">
        <v>75</v>
      </c>
      <c r="F464" t="s">
        <v>1197</v>
      </c>
    </row>
    <row r="465" spans="1:6" x14ac:dyDescent="0.45">
      <c r="A465" t="s">
        <v>586</v>
      </c>
      <c r="B465" t="s">
        <v>587</v>
      </c>
      <c r="C465">
        <v>57211024100</v>
      </c>
      <c r="D465">
        <v>58933178400</v>
      </c>
      <c r="E465">
        <v>78</v>
      </c>
      <c r="F465" t="s">
        <v>1197</v>
      </c>
    </row>
    <row r="466" spans="1:6" x14ac:dyDescent="0.45">
      <c r="A466" t="s">
        <v>565</v>
      </c>
      <c r="B466" t="s">
        <v>588</v>
      </c>
      <c r="C466">
        <v>58550253900</v>
      </c>
      <c r="D466">
        <v>58733839400</v>
      </c>
      <c r="E466">
        <v>78</v>
      </c>
      <c r="F466" t="s">
        <v>1197</v>
      </c>
    </row>
    <row r="467" spans="1:6" x14ac:dyDescent="0.45">
      <c r="A467" t="s">
        <v>565</v>
      </c>
      <c r="B467" t="s">
        <v>589</v>
      </c>
      <c r="C467">
        <v>58550253900</v>
      </c>
      <c r="D467">
        <v>57219524354</v>
      </c>
      <c r="E467">
        <v>78</v>
      </c>
      <c r="F467" t="s">
        <v>1197</v>
      </c>
    </row>
    <row r="468" spans="1:6" x14ac:dyDescent="0.45">
      <c r="A468" t="s">
        <v>565</v>
      </c>
      <c r="B468" t="s">
        <v>531</v>
      </c>
      <c r="C468">
        <v>58550253900</v>
      </c>
      <c r="D468">
        <v>58436524800</v>
      </c>
      <c r="E468">
        <v>75</v>
      </c>
      <c r="F468" t="s">
        <v>1197</v>
      </c>
    </row>
    <row r="469" spans="1:6" x14ac:dyDescent="0.45">
      <c r="A469" t="s">
        <v>582</v>
      </c>
      <c r="B469" t="s">
        <v>590</v>
      </c>
      <c r="C469">
        <v>57192068082</v>
      </c>
      <c r="D469">
        <v>57224091825</v>
      </c>
      <c r="E469">
        <v>75</v>
      </c>
      <c r="F469" t="s">
        <v>1197</v>
      </c>
    </row>
    <row r="470" spans="1:6" x14ac:dyDescent="0.45">
      <c r="A470" t="s">
        <v>591</v>
      </c>
      <c r="B470" t="s">
        <v>592</v>
      </c>
      <c r="C470">
        <v>57205388984</v>
      </c>
      <c r="D470">
        <v>59127174700</v>
      </c>
      <c r="E470">
        <v>80</v>
      </c>
      <c r="F470" t="s">
        <v>1197</v>
      </c>
    </row>
    <row r="471" spans="1:6" x14ac:dyDescent="0.45">
      <c r="A471" t="s">
        <v>593</v>
      </c>
      <c r="B471" t="s">
        <v>594</v>
      </c>
      <c r="C471">
        <v>57224822134</v>
      </c>
      <c r="D471">
        <v>58148715300</v>
      </c>
      <c r="E471">
        <v>76</v>
      </c>
      <c r="F471" t="s">
        <v>1197</v>
      </c>
    </row>
    <row r="472" spans="1:6" x14ac:dyDescent="0.45">
      <c r="A472" t="s">
        <v>579</v>
      </c>
      <c r="B472" t="s">
        <v>580</v>
      </c>
      <c r="C472">
        <v>57204556952</v>
      </c>
      <c r="D472">
        <v>57225920605</v>
      </c>
      <c r="E472">
        <v>80</v>
      </c>
      <c r="F472" t="s">
        <v>1197</v>
      </c>
    </row>
    <row r="473" spans="1:6" x14ac:dyDescent="0.45">
      <c r="A473" t="s">
        <v>579</v>
      </c>
      <c r="B473" t="s">
        <v>595</v>
      </c>
      <c r="C473">
        <v>57204556952</v>
      </c>
      <c r="D473">
        <v>57193577134</v>
      </c>
      <c r="E473">
        <v>76</v>
      </c>
      <c r="F473" t="s">
        <v>1197</v>
      </c>
    </row>
    <row r="474" spans="1:6" x14ac:dyDescent="0.45">
      <c r="A474" t="s">
        <v>583</v>
      </c>
      <c r="B474" t="s">
        <v>567</v>
      </c>
      <c r="C474">
        <v>57323476000</v>
      </c>
      <c r="D474">
        <v>49863888400</v>
      </c>
      <c r="E474">
        <v>75</v>
      </c>
      <c r="F474" t="s">
        <v>1197</v>
      </c>
    </row>
    <row r="475" spans="1:6" x14ac:dyDescent="0.45">
      <c r="A475" t="s">
        <v>596</v>
      </c>
      <c r="B475" t="s">
        <v>515</v>
      </c>
      <c r="C475">
        <v>57203855079</v>
      </c>
      <c r="D475">
        <v>59645048800</v>
      </c>
      <c r="E475">
        <v>75</v>
      </c>
      <c r="F475" t="s">
        <v>1197</v>
      </c>
    </row>
    <row r="476" spans="1:6" x14ac:dyDescent="0.45">
      <c r="A476" t="s">
        <v>596</v>
      </c>
      <c r="B476" t="s">
        <v>517</v>
      </c>
      <c r="C476">
        <v>57203855079</v>
      </c>
      <c r="D476">
        <v>59710754100</v>
      </c>
      <c r="E476">
        <v>82</v>
      </c>
      <c r="F476" t="s">
        <v>1197</v>
      </c>
    </row>
    <row r="477" spans="1:6" x14ac:dyDescent="0.45">
      <c r="A477" t="s">
        <v>597</v>
      </c>
      <c r="B477" t="s">
        <v>598</v>
      </c>
      <c r="C477">
        <v>55716885000</v>
      </c>
      <c r="D477">
        <v>57219825843</v>
      </c>
      <c r="E477">
        <v>78</v>
      </c>
      <c r="F477" t="s">
        <v>1197</v>
      </c>
    </row>
    <row r="478" spans="1:6" x14ac:dyDescent="0.45">
      <c r="A478" t="s">
        <v>597</v>
      </c>
      <c r="B478" t="s">
        <v>599</v>
      </c>
      <c r="C478">
        <v>55716885000</v>
      </c>
      <c r="D478">
        <v>58539820000</v>
      </c>
      <c r="E478">
        <v>78</v>
      </c>
      <c r="F478" t="s">
        <v>1197</v>
      </c>
    </row>
    <row r="479" spans="1:6" x14ac:dyDescent="0.45">
      <c r="A479" t="s">
        <v>542</v>
      </c>
      <c r="B479" t="s">
        <v>600</v>
      </c>
      <c r="C479">
        <v>59424708200</v>
      </c>
      <c r="D479">
        <v>55981047600</v>
      </c>
      <c r="E479">
        <v>76</v>
      </c>
      <c r="F479" t="s">
        <v>1197</v>
      </c>
    </row>
    <row r="480" spans="1:6" x14ac:dyDescent="0.45">
      <c r="A480" t="s">
        <v>542</v>
      </c>
      <c r="B480" t="s">
        <v>559</v>
      </c>
      <c r="C480">
        <v>59424708200</v>
      </c>
      <c r="D480">
        <v>57218939828</v>
      </c>
      <c r="E480">
        <v>78</v>
      </c>
      <c r="F480" t="s">
        <v>1197</v>
      </c>
    </row>
    <row r="481" spans="1:6" x14ac:dyDescent="0.45">
      <c r="A481" t="s">
        <v>601</v>
      </c>
      <c r="B481" t="s">
        <v>561</v>
      </c>
      <c r="C481">
        <v>57974743200</v>
      </c>
      <c r="D481">
        <v>57364393000</v>
      </c>
      <c r="E481">
        <v>78</v>
      </c>
      <c r="F481" t="s">
        <v>1196</v>
      </c>
    </row>
    <row r="482" spans="1:6" x14ac:dyDescent="0.45">
      <c r="A482" t="s">
        <v>600</v>
      </c>
      <c r="B482" t="s">
        <v>554</v>
      </c>
      <c r="C482">
        <v>55981047600</v>
      </c>
      <c r="D482">
        <v>58744569600</v>
      </c>
      <c r="E482">
        <v>80</v>
      </c>
      <c r="F482" t="s">
        <v>1197</v>
      </c>
    </row>
    <row r="483" spans="1:6" x14ac:dyDescent="0.45">
      <c r="A483" t="s">
        <v>602</v>
      </c>
      <c r="B483" t="s">
        <v>603</v>
      </c>
      <c r="C483">
        <v>6603359570</v>
      </c>
      <c r="D483">
        <v>56529642000</v>
      </c>
      <c r="E483">
        <v>90</v>
      </c>
      <c r="F483" t="s">
        <v>1196</v>
      </c>
    </row>
    <row r="484" spans="1:6" x14ac:dyDescent="0.45">
      <c r="A484" t="s">
        <v>604</v>
      </c>
      <c r="B484" t="s">
        <v>605</v>
      </c>
      <c r="C484">
        <v>57218533490</v>
      </c>
      <c r="D484">
        <v>59774208600</v>
      </c>
      <c r="E484">
        <v>83</v>
      </c>
      <c r="F484" t="s">
        <v>1197</v>
      </c>
    </row>
    <row r="485" spans="1:6" x14ac:dyDescent="0.45">
      <c r="A485" t="s">
        <v>537</v>
      </c>
      <c r="B485" t="s">
        <v>493</v>
      </c>
      <c r="C485">
        <v>57205694562</v>
      </c>
      <c r="D485">
        <v>59487044600</v>
      </c>
      <c r="E485">
        <v>76</v>
      </c>
      <c r="F485" t="s">
        <v>1197</v>
      </c>
    </row>
    <row r="486" spans="1:6" x14ac:dyDescent="0.45">
      <c r="A486" t="s">
        <v>606</v>
      </c>
      <c r="B486" t="s">
        <v>607</v>
      </c>
      <c r="C486">
        <v>58481182500</v>
      </c>
      <c r="D486">
        <v>57856271800</v>
      </c>
      <c r="E486">
        <v>82</v>
      </c>
      <c r="F486" t="s">
        <v>1197</v>
      </c>
    </row>
    <row r="487" spans="1:6" x14ac:dyDescent="0.45">
      <c r="A487" t="s">
        <v>546</v>
      </c>
      <c r="B487" t="s">
        <v>608</v>
      </c>
      <c r="C487">
        <v>58374461300</v>
      </c>
      <c r="D487">
        <v>57212311772</v>
      </c>
      <c r="E487">
        <v>80</v>
      </c>
      <c r="F487" t="s">
        <v>1197</v>
      </c>
    </row>
    <row r="488" spans="1:6" x14ac:dyDescent="0.45">
      <c r="A488" t="s">
        <v>609</v>
      </c>
      <c r="B488" t="s">
        <v>610</v>
      </c>
      <c r="C488">
        <v>55924372600</v>
      </c>
      <c r="D488">
        <v>58546087400</v>
      </c>
      <c r="E488">
        <v>82</v>
      </c>
      <c r="F488" t="s">
        <v>1197</v>
      </c>
    </row>
    <row r="489" spans="1:6" x14ac:dyDescent="0.45">
      <c r="A489" t="s">
        <v>588</v>
      </c>
      <c r="B489" t="s">
        <v>589</v>
      </c>
      <c r="C489">
        <v>58733839400</v>
      </c>
      <c r="D489">
        <v>57219524354</v>
      </c>
      <c r="E489">
        <v>78</v>
      </c>
      <c r="F489" t="s">
        <v>1197</v>
      </c>
    </row>
    <row r="490" spans="1:6" x14ac:dyDescent="0.45">
      <c r="A490" t="s">
        <v>611</v>
      </c>
      <c r="B490" t="s">
        <v>612</v>
      </c>
      <c r="C490">
        <v>56844687000</v>
      </c>
      <c r="D490">
        <v>57203837005</v>
      </c>
      <c r="E490">
        <v>76</v>
      </c>
      <c r="F490" t="s">
        <v>1197</v>
      </c>
    </row>
    <row r="491" spans="1:6" x14ac:dyDescent="0.45">
      <c r="A491" t="s">
        <v>613</v>
      </c>
      <c r="B491" t="s">
        <v>614</v>
      </c>
      <c r="C491">
        <v>57975299900</v>
      </c>
      <c r="D491">
        <v>57190268668</v>
      </c>
      <c r="E491">
        <v>75</v>
      </c>
      <c r="F491" t="s">
        <v>1197</v>
      </c>
    </row>
    <row r="492" spans="1:6" x14ac:dyDescent="0.45">
      <c r="A492" t="s">
        <v>615</v>
      </c>
      <c r="B492" t="s">
        <v>610</v>
      </c>
      <c r="C492">
        <v>58184442400</v>
      </c>
      <c r="D492">
        <v>58546087400</v>
      </c>
      <c r="E492">
        <v>75</v>
      </c>
      <c r="F492" t="s">
        <v>1197</v>
      </c>
    </row>
    <row r="493" spans="1:6" x14ac:dyDescent="0.45">
      <c r="A493" t="s">
        <v>615</v>
      </c>
      <c r="B493" t="s">
        <v>531</v>
      </c>
      <c r="C493">
        <v>58184442400</v>
      </c>
      <c r="D493">
        <v>58436524800</v>
      </c>
      <c r="E493">
        <v>75</v>
      </c>
      <c r="F493" t="s">
        <v>1197</v>
      </c>
    </row>
    <row r="494" spans="1:6" x14ac:dyDescent="0.45">
      <c r="A494" t="s">
        <v>616</v>
      </c>
      <c r="B494" t="s">
        <v>612</v>
      </c>
      <c r="C494">
        <v>57203169041</v>
      </c>
      <c r="D494">
        <v>57203837005</v>
      </c>
      <c r="E494">
        <v>75</v>
      </c>
      <c r="F494" t="s">
        <v>1197</v>
      </c>
    </row>
    <row r="495" spans="1:6" x14ac:dyDescent="0.45">
      <c r="A495" t="s">
        <v>616</v>
      </c>
      <c r="B495" t="s">
        <v>531</v>
      </c>
      <c r="C495">
        <v>57203169041</v>
      </c>
      <c r="D495">
        <v>58436524800</v>
      </c>
      <c r="E495">
        <v>80</v>
      </c>
      <c r="F495" t="s">
        <v>1197</v>
      </c>
    </row>
    <row r="496" spans="1:6" x14ac:dyDescent="0.45">
      <c r="A496" t="s">
        <v>556</v>
      </c>
      <c r="B496" t="s">
        <v>617</v>
      </c>
      <c r="C496">
        <v>57209238379</v>
      </c>
      <c r="D496">
        <v>57225094561</v>
      </c>
      <c r="E496">
        <v>75</v>
      </c>
      <c r="F496" t="s">
        <v>1197</v>
      </c>
    </row>
    <row r="497" spans="1:6" x14ac:dyDescent="0.45">
      <c r="A497" t="s">
        <v>556</v>
      </c>
      <c r="B497" t="s">
        <v>618</v>
      </c>
      <c r="C497">
        <v>57209238379</v>
      </c>
      <c r="D497">
        <v>57222253228</v>
      </c>
      <c r="E497">
        <v>75</v>
      </c>
      <c r="F497" t="s">
        <v>1197</v>
      </c>
    </row>
    <row r="498" spans="1:6" x14ac:dyDescent="0.45">
      <c r="A498" t="s">
        <v>595</v>
      </c>
      <c r="B498" t="s">
        <v>619</v>
      </c>
      <c r="C498">
        <v>57193577134</v>
      </c>
      <c r="D498">
        <v>57220205925</v>
      </c>
      <c r="E498">
        <v>76</v>
      </c>
      <c r="F498" t="s">
        <v>1197</v>
      </c>
    </row>
    <row r="499" spans="1:6" x14ac:dyDescent="0.45">
      <c r="A499" t="s">
        <v>595</v>
      </c>
      <c r="B499" t="s">
        <v>620</v>
      </c>
      <c r="C499">
        <v>57193577134</v>
      </c>
      <c r="D499">
        <v>58318064600</v>
      </c>
      <c r="E499">
        <v>82</v>
      </c>
      <c r="F499" t="s">
        <v>1197</v>
      </c>
    </row>
    <row r="500" spans="1:6" x14ac:dyDescent="0.45">
      <c r="A500" t="s">
        <v>573</v>
      </c>
      <c r="B500" t="s">
        <v>574</v>
      </c>
      <c r="C500">
        <v>57980252100</v>
      </c>
      <c r="D500">
        <v>57216867749</v>
      </c>
      <c r="E500">
        <v>86</v>
      </c>
      <c r="F500" t="s">
        <v>1197</v>
      </c>
    </row>
    <row r="501" spans="1:6" x14ac:dyDescent="0.45">
      <c r="A501" s="2" t="s">
        <v>573</v>
      </c>
      <c r="B501" s="2" t="s">
        <v>569</v>
      </c>
      <c r="C501" s="2">
        <v>57980252100</v>
      </c>
      <c r="D501" s="2">
        <v>59114291700</v>
      </c>
      <c r="E501" s="2">
        <v>80</v>
      </c>
      <c r="F501" t="s">
        <v>1197</v>
      </c>
    </row>
    <row r="502" spans="1:6" x14ac:dyDescent="0.45">
      <c r="A502" t="s">
        <v>621</v>
      </c>
      <c r="B502" t="s">
        <v>529</v>
      </c>
      <c r="C502">
        <v>57888134600</v>
      </c>
      <c r="D502">
        <v>57226790697</v>
      </c>
      <c r="E502">
        <v>82</v>
      </c>
      <c r="F502" t="s">
        <v>1197</v>
      </c>
    </row>
    <row r="503" spans="1:6" x14ac:dyDescent="0.45">
      <c r="A503" t="s">
        <v>574</v>
      </c>
      <c r="B503" t="s">
        <v>622</v>
      </c>
      <c r="C503">
        <v>57216867749</v>
      </c>
      <c r="D503">
        <v>59105333300</v>
      </c>
      <c r="E503">
        <v>78</v>
      </c>
      <c r="F503" t="s">
        <v>1197</v>
      </c>
    </row>
    <row r="504" spans="1:6" x14ac:dyDescent="0.45">
      <c r="A504" t="s">
        <v>623</v>
      </c>
      <c r="B504" t="s">
        <v>624</v>
      </c>
      <c r="C504">
        <v>57197841332</v>
      </c>
      <c r="D504">
        <v>58701988800</v>
      </c>
      <c r="E504">
        <v>86</v>
      </c>
      <c r="F504" t="s">
        <v>1197</v>
      </c>
    </row>
    <row r="505" spans="1:6" x14ac:dyDescent="0.45">
      <c r="A505" t="s">
        <v>590</v>
      </c>
      <c r="B505" t="s">
        <v>625</v>
      </c>
      <c r="C505">
        <v>57224091825</v>
      </c>
      <c r="D505">
        <v>59390171200</v>
      </c>
      <c r="E505">
        <v>82</v>
      </c>
      <c r="F505" t="s">
        <v>1197</v>
      </c>
    </row>
    <row r="506" spans="1:6" x14ac:dyDescent="0.45">
      <c r="A506" t="s">
        <v>590</v>
      </c>
      <c r="B506" t="s">
        <v>626</v>
      </c>
      <c r="C506">
        <v>57224091825</v>
      </c>
      <c r="D506">
        <v>58262011500</v>
      </c>
      <c r="E506">
        <v>75</v>
      </c>
      <c r="F506" t="s">
        <v>1197</v>
      </c>
    </row>
    <row r="507" spans="1:6" x14ac:dyDescent="0.45">
      <c r="A507" t="s">
        <v>543</v>
      </c>
      <c r="B507" t="s">
        <v>508</v>
      </c>
      <c r="C507">
        <v>57212311896</v>
      </c>
      <c r="D507">
        <v>57192301448</v>
      </c>
      <c r="E507">
        <v>78</v>
      </c>
      <c r="F507" t="s">
        <v>1197</v>
      </c>
    </row>
    <row r="508" spans="1:6" x14ac:dyDescent="0.45">
      <c r="A508" t="s">
        <v>494</v>
      </c>
      <c r="B508" t="s">
        <v>585</v>
      </c>
      <c r="C508">
        <v>57225184392</v>
      </c>
      <c r="D508">
        <v>57226157890</v>
      </c>
      <c r="E508">
        <v>78</v>
      </c>
      <c r="F508" t="s">
        <v>1197</v>
      </c>
    </row>
    <row r="509" spans="1:6" x14ac:dyDescent="0.45">
      <c r="A509" t="s">
        <v>494</v>
      </c>
      <c r="B509" t="s">
        <v>531</v>
      </c>
      <c r="C509">
        <v>57225184392</v>
      </c>
      <c r="D509">
        <v>58436524800</v>
      </c>
      <c r="E509">
        <v>75</v>
      </c>
      <c r="F509" t="s">
        <v>1197</v>
      </c>
    </row>
    <row r="510" spans="1:6" x14ac:dyDescent="0.45">
      <c r="A510" t="s">
        <v>507</v>
      </c>
      <c r="B510" t="s">
        <v>509</v>
      </c>
      <c r="C510">
        <v>58930944200</v>
      </c>
      <c r="D510">
        <v>59152165700</v>
      </c>
      <c r="E510">
        <v>76</v>
      </c>
      <c r="F510" t="s">
        <v>1197</v>
      </c>
    </row>
    <row r="511" spans="1:6" x14ac:dyDescent="0.45">
      <c r="A511" t="s">
        <v>627</v>
      </c>
      <c r="B511" t="s">
        <v>598</v>
      </c>
      <c r="C511">
        <v>57213395060</v>
      </c>
      <c r="D511">
        <v>57219825843</v>
      </c>
      <c r="E511">
        <v>89</v>
      </c>
      <c r="F511" t="s">
        <v>1197</v>
      </c>
    </row>
    <row r="512" spans="1:6" x14ac:dyDescent="0.45">
      <c r="A512" t="s">
        <v>628</v>
      </c>
      <c r="B512" t="s">
        <v>629</v>
      </c>
      <c r="C512">
        <v>57828636300</v>
      </c>
      <c r="D512">
        <v>59707386400</v>
      </c>
      <c r="E512">
        <v>75</v>
      </c>
      <c r="F512" t="s">
        <v>1197</v>
      </c>
    </row>
    <row r="513" spans="1:6" x14ac:dyDescent="0.45">
      <c r="A513" t="s">
        <v>630</v>
      </c>
      <c r="B513" t="s">
        <v>631</v>
      </c>
      <c r="C513">
        <v>58966633800</v>
      </c>
      <c r="D513">
        <v>57218687658</v>
      </c>
      <c r="E513">
        <v>76</v>
      </c>
      <c r="F513" t="s">
        <v>1197</v>
      </c>
    </row>
    <row r="514" spans="1:6" x14ac:dyDescent="0.45">
      <c r="A514" t="s">
        <v>553</v>
      </c>
      <c r="B514" t="s">
        <v>554</v>
      </c>
      <c r="C514">
        <v>57220551288</v>
      </c>
      <c r="D514">
        <v>58744569600</v>
      </c>
      <c r="E514">
        <v>78</v>
      </c>
      <c r="F514" t="s">
        <v>1197</v>
      </c>
    </row>
    <row r="515" spans="1:6" x14ac:dyDescent="0.45">
      <c r="A515" t="s">
        <v>553</v>
      </c>
      <c r="B515" t="s">
        <v>589</v>
      </c>
      <c r="C515">
        <v>57220551288</v>
      </c>
      <c r="D515">
        <v>57219524354</v>
      </c>
      <c r="E515">
        <v>78</v>
      </c>
      <c r="F515" t="s">
        <v>1197</v>
      </c>
    </row>
    <row r="516" spans="1:6" x14ac:dyDescent="0.45">
      <c r="A516" t="s">
        <v>585</v>
      </c>
      <c r="B516" t="s">
        <v>610</v>
      </c>
      <c r="C516">
        <v>57226157890</v>
      </c>
      <c r="D516">
        <v>58546087400</v>
      </c>
      <c r="E516">
        <v>75</v>
      </c>
      <c r="F516" t="s">
        <v>1197</v>
      </c>
    </row>
    <row r="517" spans="1:6" x14ac:dyDescent="0.45">
      <c r="A517" t="s">
        <v>585</v>
      </c>
      <c r="B517" t="s">
        <v>531</v>
      </c>
      <c r="C517">
        <v>57226157890</v>
      </c>
      <c r="D517">
        <v>58436524800</v>
      </c>
      <c r="E517">
        <v>88</v>
      </c>
      <c r="F517" t="s">
        <v>1197</v>
      </c>
    </row>
    <row r="518" spans="1:6" x14ac:dyDescent="0.45">
      <c r="A518" t="s">
        <v>585</v>
      </c>
      <c r="B518" t="s">
        <v>538</v>
      </c>
      <c r="C518">
        <v>57226157890</v>
      </c>
      <c r="D518">
        <v>57216939987</v>
      </c>
      <c r="E518">
        <v>75</v>
      </c>
      <c r="F518" t="s">
        <v>1197</v>
      </c>
    </row>
    <row r="519" spans="1:6" x14ac:dyDescent="0.45">
      <c r="A519" t="s">
        <v>632</v>
      </c>
      <c r="B519" t="s">
        <v>526</v>
      </c>
      <c r="C519">
        <v>57221698253</v>
      </c>
      <c r="D519">
        <v>59357212900</v>
      </c>
      <c r="E519">
        <v>75</v>
      </c>
      <c r="F519" t="s">
        <v>1197</v>
      </c>
    </row>
    <row r="520" spans="1:6" x14ac:dyDescent="0.45">
      <c r="A520" t="s">
        <v>632</v>
      </c>
      <c r="B520" t="s">
        <v>527</v>
      </c>
      <c r="C520">
        <v>57221698253</v>
      </c>
      <c r="D520">
        <v>57207946091</v>
      </c>
      <c r="E520">
        <v>86</v>
      </c>
      <c r="F520" t="s">
        <v>1197</v>
      </c>
    </row>
    <row r="521" spans="1:6" x14ac:dyDescent="0.45">
      <c r="A521" t="s">
        <v>508</v>
      </c>
      <c r="B521" t="s">
        <v>561</v>
      </c>
      <c r="C521">
        <v>57192301448</v>
      </c>
      <c r="D521">
        <v>57364393000</v>
      </c>
      <c r="E521">
        <v>80</v>
      </c>
      <c r="F521" t="s">
        <v>1197</v>
      </c>
    </row>
    <row r="522" spans="1:6" x14ac:dyDescent="0.45">
      <c r="A522" t="s">
        <v>554</v>
      </c>
      <c r="B522" t="s">
        <v>531</v>
      </c>
      <c r="C522">
        <v>58744569600</v>
      </c>
      <c r="D522">
        <v>58436524800</v>
      </c>
      <c r="E522">
        <v>75</v>
      </c>
      <c r="F522" t="s">
        <v>1197</v>
      </c>
    </row>
    <row r="523" spans="1:6" x14ac:dyDescent="0.45">
      <c r="A523" t="s">
        <v>589</v>
      </c>
      <c r="B523" t="s">
        <v>531</v>
      </c>
      <c r="C523">
        <v>57219524354</v>
      </c>
      <c r="D523">
        <v>58436524800</v>
      </c>
      <c r="E523">
        <v>75</v>
      </c>
      <c r="F523" t="s">
        <v>1197</v>
      </c>
    </row>
    <row r="524" spans="1:6" x14ac:dyDescent="0.45">
      <c r="A524" t="s">
        <v>531</v>
      </c>
      <c r="B524" t="s">
        <v>538</v>
      </c>
      <c r="C524">
        <v>58436524800</v>
      </c>
      <c r="D524">
        <v>57216939987</v>
      </c>
      <c r="E524">
        <v>86</v>
      </c>
      <c r="F524" t="s">
        <v>1197</v>
      </c>
    </row>
    <row r="525" spans="1:6" x14ac:dyDescent="0.45">
      <c r="A525" t="s">
        <v>633</v>
      </c>
      <c r="B525" t="s">
        <v>561</v>
      </c>
      <c r="C525">
        <v>59535375500</v>
      </c>
      <c r="D525">
        <v>57364393000</v>
      </c>
      <c r="E525">
        <v>77</v>
      </c>
      <c r="F525" t="s">
        <v>1197</v>
      </c>
    </row>
    <row r="526" spans="1:6" x14ac:dyDescent="0.45">
      <c r="A526" t="s">
        <v>561</v>
      </c>
      <c r="B526" t="s">
        <v>634</v>
      </c>
      <c r="C526">
        <v>57364393000</v>
      </c>
      <c r="D526">
        <v>57199453570</v>
      </c>
      <c r="E526">
        <v>83</v>
      </c>
      <c r="F526" t="s">
        <v>1197</v>
      </c>
    </row>
    <row r="527" spans="1:6" x14ac:dyDescent="0.45">
      <c r="A527" t="s">
        <v>526</v>
      </c>
      <c r="B527" t="s">
        <v>527</v>
      </c>
      <c r="C527">
        <v>59357212900</v>
      </c>
      <c r="D527">
        <v>57207946091</v>
      </c>
      <c r="E527">
        <v>88</v>
      </c>
      <c r="F527" t="s">
        <v>1197</v>
      </c>
    </row>
    <row r="528" spans="1:6" x14ac:dyDescent="0.45">
      <c r="A528" t="s">
        <v>635</v>
      </c>
      <c r="B528" t="s">
        <v>636</v>
      </c>
      <c r="C528">
        <v>55992234300</v>
      </c>
      <c r="D528">
        <v>59203928900</v>
      </c>
      <c r="E528">
        <v>89</v>
      </c>
      <c r="F528" t="s">
        <v>1196</v>
      </c>
    </row>
    <row r="529" spans="1:6" x14ac:dyDescent="0.45">
      <c r="A529" t="s">
        <v>637</v>
      </c>
      <c r="B529" t="s">
        <v>638</v>
      </c>
      <c r="C529">
        <v>7404234326</v>
      </c>
      <c r="D529">
        <v>56697869300</v>
      </c>
      <c r="E529">
        <v>76</v>
      </c>
      <c r="F529" t="s">
        <v>1197</v>
      </c>
    </row>
    <row r="530" spans="1:6" x14ac:dyDescent="0.45">
      <c r="A530" t="s">
        <v>639</v>
      </c>
      <c r="B530" t="s">
        <v>640</v>
      </c>
      <c r="C530">
        <v>7404470908</v>
      </c>
      <c r="D530">
        <v>7404470812</v>
      </c>
      <c r="E530">
        <v>80</v>
      </c>
      <c r="F530" t="s">
        <v>1197</v>
      </c>
    </row>
    <row r="531" spans="1:6" x14ac:dyDescent="0.45">
      <c r="A531" t="s">
        <v>641</v>
      </c>
      <c r="B531" t="s">
        <v>642</v>
      </c>
      <c r="C531">
        <v>15750967800</v>
      </c>
      <c r="D531">
        <v>56659815100</v>
      </c>
      <c r="E531">
        <v>97</v>
      </c>
      <c r="F531" t="s">
        <v>1196</v>
      </c>
    </row>
    <row r="532" spans="1:6" x14ac:dyDescent="0.45">
      <c r="A532" t="s">
        <v>643</v>
      </c>
      <c r="B532" t="s">
        <v>644</v>
      </c>
      <c r="C532">
        <v>57195053174</v>
      </c>
      <c r="D532">
        <v>59476001700</v>
      </c>
      <c r="E532">
        <v>80</v>
      </c>
      <c r="F532" t="s">
        <v>1197</v>
      </c>
    </row>
    <row r="533" spans="1:6" x14ac:dyDescent="0.45">
      <c r="A533" t="s">
        <v>645</v>
      </c>
      <c r="B533" t="s">
        <v>646</v>
      </c>
      <c r="C533">
        <v>23989040200</v>
      </c>
      <c r="D533">
        <v>6701750605</v>
      </c>
      <c r="E533">
        <v>81</v>
      </c>
      <c r="F533" t="s">
        <v>1197</v>
      </c>
    </row>
    <row r="534" spans="1:6" x14ac:dyDescent="0.45">
      <c r="A534" t="s">
        <v>647</v>
      </c>
      <c r="B534" t="s">
        <v>648</v>
      </c>
      <c r="C534">
        <v>55902950100</v>
      </c>
      <c r="D534">
        <v>57195625963</v>
      </c>
      <c r="E534">
        <v>78</v>
      </c>
      <c r="F534" t="s">
        <v>1197</v>
      </c>
    </row>
    <row r="535" spans="1:6" x14ac:dyDescent="0.45">
      <c r="A535" t="s">
        <v>649</v>
      </c>
      <c r="B535" t="s">
        <v>650</v>
      </c>
      <c r="C535">
        <v>57201983231</v>
      </c>
      <c r="D535">
        <v>59336031200</v>
      </c>
      <c r="E535">
        <v>81</v>
      </c>
      <c r="F535" t="s">
        <v>1196</v>
      </c>
    </row>
    <row r="536" spans="1:6" x14ac:dyDescent="0.45">
      <c r="A536" t="s">
        <v>651</v>
      </c>
      <c r="B536" t="s">
        <v>652</v>
      </c>
      <c r="C536">
        <v>6603685013</v>
      </c>
      <c r="D536">
        <v>58067988900</v>
      </c>
      <c r="E536">
        <v>77</v>
      </c>
      <c r="F536" t="s">
        <v>1197</v>
      </c>
    </row>
    <row r="537" spans="1:6" x14ac:dyDescent="0.45">
      <c r="A537" t="s">
        <v>653</v>
      </c>
      <c r="B537" t="s">
        <v>654</v>
      </c>
      <c r="C537">
        <v>55372959900</v>
      </c>
      <c r="D537">
        <v>56819857900</v>
      </c>
      <c r="E537">
        <v>76</v>
      </c>
      <c r="F537" t="s">
        <v>1197</v>
      </c>
    </row>
    <row r="538" spans="1:6" x14ac:dyDescent="0.45">
      <c r="A538" t="s">
        <v>655</v>
      </c>
      <c r="B538" t="s">
        <v>656</v>
      </c>
      <c r="C538">
        <v>7003683801</v>
      </c>
      <c r="D538">
        <v>55782570100</v>
      </c>
      <c r="E538">
        <v>77</v>
      </c>
      <c r="F538" t="s">
        <v>1197</v>
      </c>
    </row>
    <row r="539" spans="1:6" x14ac:dyDescent="0.45">
      <c r="A539" t="s">
        <v>657</v>
      </c>
      <c r="B539" t="s">
        <v>658</v>
      </c>
      <c r="C539">
        <v>57211081438</v>
      </c>
      <c r="D539">
        <v>58958691400</v>
      </c>
      <c r="E539">
        <v>80</v>
      </c>
      <c r="F539" t="s">
        <v>1197</v>
      </c>
    </row>
    <row r="540" spans="1:6" x14ac:dyDescent="0.45">
      <c r="A540" t="s">
        <v>657</v>
      </c>
      <c r="B540" t="s">
        <v>659</v>
      </c>
      <c r="C540">
        <v>57211081438</v>
      </c>
      <c r="D540">
        <v>59126397000</v>
      </c>
      <c r="E540">
        <v>80</v>
      </c>
      <c r="F540" t="s">
        <v>1197</v>
      </c>
    </row>
    <row r="541" spans="1:6" x14ac:dyDescent="0.45">
      <c r="A541" t="s">
        <v>660</v>
      </c>
      <c r="B541" t="s">
        <v>661</v>
      </c>
      <c r="C541">
        <v>57202284106</v>
      </c>
      <c r="D541">
        <v>56659726600</v>
      </c>
      <c r="E541">
        <v>81</v>
      </c>
      <c r="F541" t="s">
        <v>1197</v>
      </c>
    </row>
    <row r="542" spans="1:6" x14ac:dyDescent="0.45">
      <c r="A542" t="s">
        <v>662</v>
      </c>
      <c r="B542" t="s">
        <v>663</v>
      </c>
      <c r="C542">
        <v>57188759610</v>
      </c>
      <c r="D542">
        <v>59159136000</v>
      </c>
      <c r="E542">
        <v>78</v>
      </c>
      <c r="F542" t="s">
        <v>1196</v>
      </c>
    </row>
    <row r="543" spans="1:6" x14ac:dyDescent="0.45">
      <c r="A543" t="s">
        <v>664</v>
      </c>
      <c r="B543" t="s">
        <v>665</v>
      </c>
      <c r="C543">
        <v>57217717789</v>
      </c>
      <c r="D543">
        <v>57211678684</v>
      </c>
      <c r="E543">
        <v>75</v>
      </c>
      <c r="F543" t="s">
        <v>1197</v>
      </c>
    </row>
    <row r="544" spans="1:6" x14ac:dyDescent="0.45">
      <c r="A544" t="s">
        <v>666</v>
      </c>
      <c r="B544" t="s">
        <v>667</v>
      </c>
      <c r="C544">
        <v>35173508900</v>
      </c>
      <c r="D544">
        <v>59393740200</v>
      </c>
      <c r="E544">
        <v>94</v>
      </c>
      <c r="F544" t="s">
        <v>1196</v>
      </c>
    </row>
    <row r="545" spans="1:6" x14ac:dyDescent="0.45">
      <c r="A545" t="s">
        <v>666</v>
      </c>
      <c r="B545" t="s">
        <v>668</v>
      </c>
      <c r="C545">
        <v>35173508900</v>
      </c>
      <c r="D545">
        <v>7202607692</v>
      </c>
      <c r="E545">
        <v>75</v>
      </c>
      <c r="F545" t="s">
        <v>1197</v>
      </c>
    </row>
    <row r="546" spans="1:6" x14ac:dyDescent="0.45">
      <c r="A546" t="s">
        <v>669</v>
      </c>
      <c r="B546" t="s">
        <v>670</v>
      </c>
      <c r="C546">
        <v>57191885835</v>
      </c>
      <c r="D546">
        <v>58137797100</v>
      </c>
      <c r="E546">
        <v>75</v>
      </c>
      <c r="F546" t="s">
        <v>1197</v>
      </c>
    </row>
    <row r="547" spans="1:6" x14ac:dyDescent="0.45">
      <c r="A547" t="s">
        <v>671</v>
      </c>
      <c r="B547" t="s">
        <v>672</v>
      </c>
      <c r="C547">
        <v>57188701186</v>
      </c>
      <c r="D547">
        <v>57194212166</v>
      </c>
      <c r="E547">
        <v>82</v>
      </c>
      <c r="F547" t="s">
        <v>1197</v>
      </c>
    </row>
    <row r="548" spans="1:6" x14ac:dyDescent="0.45">
      <c r="A548" t="s">
        <v>673</v>
      </c>
      <c r="B548" t="s">
        <v>674</v>
      </c>
      <c r="C548">
        <v>57200558036</v>
      </c>
      <c r="D548">
        <v>57190984411</v>
      </c>
      <c r="E548">
        <v>77</v>
      </c>
      <c r="F548" t="s">
        <v>1197</v>
      </c>
    </row>
    <row r="549" spans="1:6" x14ac:dyDescent="0.45">
      <c r="A549" t="s">
        <v>675</v>
      </c>
      <c r="B549" t="s">
        <v>676</v>
      </c>
      <c r="C549">
        <v>57190190372</v>
      </c>
      <c r="D549">
        <v>57225420119</v>
      </c>
      <c r="E549">
        <v>75</v>
      </c>
      <c r="F549" t="s">
        <v>1197</v>
      </c>
    </row>
    <row r="550" spans="1:6" x14ac:dyDescent="0.45">
      <c r="A550" t="s">
        <v>677</v>
      </c>
      <c r="B550" t="s">
        <v>678</v>
      </c>
      <c r="C550">
        <v>57579960200</v>
      </c>
      <c r="D550">
        <v>57920614500</v>
      </c>
      <c r="E550">
        <v>79</v>
      </c>
      <c r="F550" t="s">
        <v>1197</v>
      </c>
    </row>
    <row r="551" spans="1:6" x14ac:dyDescent="0.45">
      <c r="A551" t="s">
        <v>679</v>
      </c>
      <c r="B551" t="s">
        <v>680</v>
      </c>
      <c r="C551">
        <v>57204627910</v>
      </c>
      <c r="D551">
        <v>59552567400</v>
      </c>
      <c r="E551">
        <v>83</v>
      </c>
      <c r="F551" t="s">
        <v>1197</v>
      </c>
    </row>
    <row r="552" spans="1:6" x14ac:dyDescent="0.45">
      <c r="A552" t="s">
        <v>681</v>
      </c>
      <c r="B552" t="s">
        <v>652</v>
      </c>
      <c r="C552">
        <v>56374953000</v>
      </c>
      <c r="D552">
        <v>58067988900</v>
      </c>
      <c r="E552">
        <v>80</v>
      </c>
      <c r="F552" t="s">
        <v>1197</v>
      </c>
    </row>
    <row r="553" spans="1:6" x14ac:dyDescent="0.45">
      <c r="A553" t="s">
        <v>656</v>
      </c>
      <c r="B553" t="s">
        <v>682</v>
      </c>
      <c r="C553">
        <v>55782570100</v>
      </c>
      <c r="D553">
        <v>57210827914</v>
      </c>
      <c r="E553">
        <v>75</v>
      </c>
      <c r="F553" t="s">
        <v>1197</v>
      </c>
    </row>
    <row r="554" spans="1:6" x14ac:dyDescent="0.45">
      <c r="A554" t="s">
        <v>683</v>
      </c>
      <c r="B554" t="s">
        <v>684</v>
      </c>
      <c r="C554">
        <v>57826537700</v>
      </c>
      <c r="D554">
        <v>58860641200</v>
      </c>
      <c r="E554">
        <v>80</v>
      </c>
      <c r="F554" t="s">
        <v>1196</v>
      </c>
    </row>
    <row r="555" spans="1:6" x14ac:dyDescent="0.45">
      <c r="A555" t="s">
        <v>683</v>
      </c>
      <c r="B555" t="s">
        <v>685</v>
      </c>
      <c r="C555">
        <v>57826537700</v>
      </c>
      <c r="D555">
        <v>57195583936</v>
      </c>
      <c r="E555">
        <v>80</v>
      </c>
      <c r="F555" t="s">
        <v>1197</v>
      </c>
    </row>
    <row r="556" spans="1:6" x14ac:dyDescent="0.45">
      <c r="A556" t="s">
        <v>686</v>
      </c>
      <c r="B556" t="s">
        <v>687</v>
      </c>
      <c r="C556">
        <v>35264622400</v>
      </c>
      <c r="D556">
        <v>57211930793</v>
      </c>
      <c r="E556">
        <v>76</v>
      </c>
      <c r="F556" t="s">
        <v>1197</v>
      </c>
    </row>
    <row r="557" spans="1:6" x14ac:dyDescent="0.45">
      <c r="A557" t="s">
        <v>665</v>
      </c>
      <c r="B557" t="s">
        <v>688</v>
      </c>
      <c r="C557">
        <v>57211678684</v>
      </c>
      <c r="D557">
        <v>58662384300</v>
      </c>
      <c r="E557">
        <v>76</v>
      </c>
      <c r="F557" t="s">
        <v>1197</v>
      </c>
    </row>
    <row r="558" spans="1:6" x14ac:dyDescent="0.45">
      <c r="A558" t="s">
        <v>689</v>
      </c>
      <c r="B558" t="s">
        <v>690</v>
      </c>
      <c r="C558">
        <v>57205693725</v>
      </c>
      <c r="D558">
        <v>6504367566</v>
      </c>
      <c r="E558">
        <v>80</v>
      </c>
      <c r="F558" t="s">
        <v>1197</v>
      </c>
    </row>
    <row r="559" spans="1:6" x14ac:dyDescent="0.45">
      <c r="A559" t="s">
        <v>691</v>
      </c>
      <c r="B559" t="s">
        <v>692</v>
      </c>
      <c r="C559">
        <v>57211801554</v>
      </c>
      <c r="D559">
        <v>59458889300</v>
      </c>
      <c r="E559">
        <v>75</v>
      </c>
      <c r="F559" t="s">
        <v>1197</v>
      </c>
    </row>
    <row r="560" spans="1:6" x14ac:dyDescent="0.45">
      <c r="A560" t="s">
        <v>638</v>
      </c>
      <c r="B560" t="s">
        <v>693</v>
      </c>
      <c r="C560">
        <v>56697869300</v>
      </c>
      <c r="D560">
        <v>57204080026</v>
      </c>
      <c r="E560">
        <v>79</v>
      </c>
      <c r="F560" t="s">
        <v>1197</v>
      </c>
    </row>
    <row r="561" spans="1:6" x14ac:dyDescent="0.45">
      <c r="A561" t="s">
        <v>638</v>
      </c>
      <c r="B561" t="s">
        <v>694</v>
      </c>
      <c r="C561">
        <v>56697869300</v>
      </c>
      <c r="D561">
        <v>59710417000</v>
      </c>
      <c r="E561">
        <v>85</v>
      </c>
      <c r="F561" t="s">
        <v>1197</v>
      </c>
    </row>
    <row r="562" spans="1:6" x14ac:dyDescent="0.45">
      <c r="A562" t="s">
        <v>638</v>
      </c>
      <c r="B562" t="s">
        <v>695</v>
      </c>
      <c r="C562">
        <v>56697869300</v>
      </c>
      <c r="D562">
        <v>58573429900</v>
      </c>
      <c r="E562">
        <v>79</v>
      </c>
      <c r="F562" t="s">
        <v>1197</v>
      </c>
    </row>
    <row r="563" spans="1:6" x14ac:dyDescent="0.45">
      <c r="A563" t="s">
        <v>696</v>
      </c>
      <c r="B563" t="s">
        <v>697</v>
      </c>
      <c r="C563">
        <v>57219096600</v>
      </c>
      <c r="D563">
        <v>57223897530</v>
      </c>
      <c r="E563">
        <v>83</v>
      </c>
      <c r="F563" t="s">
        <v>1197</v>
      </c>
    </row>
    <row r="564" spans="1:6" x14ac:dyDescent="0.45">
      <c r="A564" t="s">
        <v>698</v>
      </c>
      <c r="B564" t="s">
        <v>699</v>
      </c>
      <c r="C564">
        <v>57219499119</v>
      </c>
      <c r="D564">
        <v>57229919200</v>
      </c>
      <c r="E564">
        <v>89</v>
      </c>
      <c r="F564" t="s">
        <v>1197</v>
      </c>
    </row>
    <row r="565" spans="1:6" x14ac:dyDescent="0.45">
      <c r="A565" t="s">
        <v>693</v>
      </c>
      <c r="B565" t="s">
        <v>694</v>
      </c>
      <c r="C565">
        <v>57204080026</v>
      </c>
      <c r="D565">
        <v>59710417000</v>
      </c>
      <c r="E565">
        <v>85</v>
      </c>
      <c r="F565" t="s">
        <v>1197</v>
      </c>
    </row>
    <row r="566" spans="1:6" x14ac:dyDescent="0.45">
      <c r="A566" t="s">
        <v>693</v>
      </c>
      <c r="B566" t="s">
        <v>700</v>
      </c>
      <c r="C566">
        <v>57204080026</v>
      </c>
      <c r="D566">
        <v>58770007400</v>
      </c>
      <c r="E566">
        <v>79</v>
      </c>
      <c r="F566" t="s">
        <v>1197</v>
      </c>
    </row>
    <row r="567" spans="1:6" x14ac:dyDescent="0.45">
      <c r="A567" t="s">
        <v>693</v>
      </c>
      <c r="B567" t="s">
        <v>695</v>
      </c>
      <c r="C567">
        <v>57204080026</v>
      </c>
      <c r="D567">
        <v>58573429900</v>
      </c>
      <c r="E567">
        <v>79</v>
      </c>
      <c r="F567" t="s">
        <v>1197</v>
      </c>
    </row>
    <row r="568" spans="1:6" x14ac:dyDescent="0.45">
      <c r="A568" t="s">
        <v>693</v>
      </c>
      <c r="B568" t="s">
        <v>670</v>
      </c>
      <c r="C568">
        <v>57204080026</v>
      </c>
      <c r="D568">
        <v>58137797100</v>
      </c>
      <c r="E568">
        <v>81</v>
      </c>
      <c r="F568" t="s">
        <v>1197</v>
      </c>
    </row>
    <row r="569" spans="1:6" x14ac:dyDescent="0.45">
      <c r="A569" t="s">
        <v>701</v>
      </c>
      <c r="B569" t="s">
        <v>702</v>
      </c>
      <c r="C569">
        <v>57552761800</v>
      </c>
      <c r="D569">
        <v>57211959097</v>
      </c>
      <c r="E569">
        <v>79</v>
      </c>
      <c r="F569" t="s">
        <v>1197</v>
      </c>
    </row>
    <row r="570" spans="1:6" x14ac:dyDescent="0.45">
      <c r="A570" t="s">
        <v>658</v>
      </c>
      <c r="B570" t="s">
        <v>659</v>
      </c>
      <c r="C570">
        <v>58958691400</v>
      </c>
      <c r="D570">
        <v>59126397000</v>
      </c>
      <c r="E570">
        <v>87</v>
      </c>
      <c r="F570" t="s">
        <v>1197</v>
      </c>
    </row>
    <row r="571" spans="1:6" x14ac:dyDescent="0.45">
      <c r="A571" t="s">
        <v>703</v>
      </c>
      <c r="B571" t="s">
        <v>704</v>
      </c>
      <c r="C571">
        <v>57526532700</v>
      </c>
      <c r="D571">
        <v>37009809100</v>
      </c>
      <c r="E571">
        <v>75</v>
      </c>
      <c r="F571" t="s">
        <v>1197</v>
      </c>
    </row>
    <row r="572" spans="1:6" x14ac:dyDescent="0.45">
      <c r="A572" t="s">
        <v>705</v>
      </c>
      <c r="B572" t="s">
        <v>706</v>
      </c>
      <c r="C572">
        <v>57693592500</v>
      </c>
      <c r="D572">
        <v>57954933900</v>
      </c>
      <c r="E572">
        <v>76</v>
      </c>
      <c r="F572" t="s">
        <v>1196</v>
      </c>
    </row>
    <row r="573" spans="1:6" x14ac:dyDescent="0.45">
      <c r="A573" t="s">
        <v>707</v>
      </c>
      <c r="B573" t="s">
        <v>708</v>
      </c>
      <c r="C573">
        <v>59332737300</v>
      </c>
      <c r="D573">
        <v>57216948333</v>
      </c>
      <c r="E573">
        <v>80</v>
      </c>
      <c r="F573" t="s">
        <v>1197</v>
      </c>
    </row>
    <row r="574" spans="1:6" x14ac:dyDescent="0.45">
      <c r="A574" t="s">
        <v>707</v>
      </c>
      <c r="B574" t="s">
        <v>709</v>
      </c>
      <c r="C574">
        <v>59332737300</v>
      </c>
      <c r="D574">
        <v>58481391200</v>
      </c>
      <c r="E574">
        <v>94</v>
      </c>
      <c r="F574" t="s">
        <v>1196</v>
      </c>
    </row>
    <row r="575" spans="1:6" x14ac:dyDescent="0.45">
      <c r="A575" t="s">
        <v>694</v>
      </c>
      <c r="B575" t="s">
        <v>695</v>
      </c>
      <c r="C575">
        <v>59710417000</v>
      </c>
      <c r="D575">
        <v>58573429900</v>
      </c>
      <c r="E575">
        <v>77</v>
      </c>
      <c r="F575" t="s">
        <v>1197</v>
      </c>
    </row>
    <row r="576" spans="1:6" x14ac:dyDescent="0.45">
      <c r="A576" t="s">
        <v>694</v>
      </c>
      <c r="B576" t="s">
        <v>670</v>
      </c>
      <c r="C576">
        <v>59710417000</v>
      </c>
      <c r="D576">
        <v>58137797100</v>
      </c>
      <c r="E576">
        <v>80</v>
      </c>
      <c r="F576" t="s">
        <v>1197</v>
      </c>
    </row>
    <row r="577" spans="1:6" x14ac:dyDescent="0.45">
      <c r="A577" t="s">
        <v>700</v>
      </c>
      <c r="B577" t="s">
        <v>695</v>
      </c>
      <c r="C577">
        <v>58770007400</v>
      </c>
      <c r="D577">
        <v>58573429900</v>
      </c>
      <c r="E577">
        <v>79</v>
      </c>
      <c r="F577" t="s">
        <v>1197</v>
      </c>
    </row>
    <row r="578" spans="1:6" x14ac:dyDescent="0.45">
      <c r="A578" t="s">
        <v>710</v>
      </c>
      <c r="B578" t="s">
        <v>687</v>
      </c>
      <c r="C578">
        <v>57568663200</v>
      </c>
      <c r="D578">
        <v>57211930793</v>
      </c>
      <c r="E578">
        <v>76</v>
      </c>
      <c r="F578" t="s">
        <v>1197</v>
      </c>
    </row>
    <row r="579" spans="1:6" x14ac:dyDescent="0.45">
      <c r="A579" t="s">
        <v>708</v>
      </c>
      <c r="B579" t="s">
        <v>709</v>
      </c>
      <c r="C579">
        <v>57216948333</v>
      </c>
      <c r="D579">
        <v>58481391200</v>
      </c>
      <c r="E579">
        <v>75</v>
      </c>
      <c r="F579" t="s">
        <v>1197</v>
      </c>
    </row>
    <row r="580" spans="1:6" x14ac:dyDescent="0.45">
      <c r="A580" t="s">
        <v>711</v>
      </c>
      <c r="B580" t="s">
        <v>712</v>
      </c>
      <c r="C580">
        <v>57201522180</v>
      </c>
      <c r="D580">
        <v>58808605400</v>
      </c>
      <c r="E580">
        <v>79</v>
      </c>
      <c r="F580" t="s">
        <v>1197</v>
      </c>
    </row>
    <row r="581" spans="1:6" x14ac:dyDescent="0.45">
      <c r="A581" t="s">
        <v>713</v>
      </c>
      <c r="B581" t="s">
        <v>714</v>
      </c>
      <c r="C581">
        <v>57219449940</v>
      </c>
      <c r="D581">
        <v>57210807569</v>
      </c>
      <c r="E581">
        <v>92</v>
      </c>
      <c r="F581" t="s">
        <v>1197</v>
      </c>
    </row>
    <row r="582" spans="1:6" x14ac:dyDescent="0.45">
      <c r="A582" t="s">
        <v>715</v>
      </c>
      <c r="B582" t="s">
        <v>716</v>
      </c>
      <c r="C582">
        <v>57212175196</v>
      </c>
      <c r="D582">
        <v>8258250900</v>
      </c>
      <c r="E582">
        <v>77</v>
      </c>
      <c r="F582" t="s">
        <v>1197</v>
      </c>
    </row>
    <row r="583" spans="1:6" x14ac:dyDescent="0.45">
      <c r="A583" t="s">
        <v>695</v>
      </c>
      <c r="B583" t="s">
        <v>670</v>
      </c>
      <c r="C583">
        <v>58573429900</v>
      </c>
      <c r="D583">
        <v>58137797100</v>
      </c>
      <c r="E583">
        <v>81</v>
      </c>
      <c r="F583" t="s">
        <v>1197</v>
      </c>
    </row>
    <row r="584" spans="1:6" x14ac:dyDescent="0.45">
      <c r="A584" t="s">
        <v>717</v>
      </c>
      <c r="B584" t="s">
        <v>718</v>
      </c>
      <c r="C584">
        <v>59761507500</v>
      </c>
      <c r="D584">
        <v>53064380800</v>
      </c>
      <c r="E584">
        <v>77</v>
      </c>
      <c r="F584" t="s">
        <v>1197</v>
      </c>
    </row>
    <row r="585" spans="1:6" x14ac:dyDescent="0.45">
      <c r="A585" t="s">
        <v>709</v>
      </c>
      <c r="B585" t="s">
        <v>704</v>
      </c>
      <c r="C585">
        <v>58481391200</v>
      </c>
      <c r="D585">
        <v>37009809100</v>
      </c>
      <c r="E585">
        <v>75</v>
      </c>
      <c r="F585" t="s">
        <v>1197</v>
      </c>
    </row>
    <row r="586" spans="1:6" x14ac:dyDescent="0.45">
      <c r="A586" t="s">
        <v>719</v>
      </c>
      <c r="B586" t="s">
        <v>720</v>
      </c>
      <c r="C586">
        <v>57021750000</v>
      </c>
      <c r="D586">
        <v>57226071864</v>
      </c>
      <c r="E586">
        <v>77</v>
      </c>
      <c r="F586" t="s">
        <v>1197</v>
      </c>
    </row>
    <row r="587" spans="1:6" x14ac:dyDescent="0.45">
      <c r="A587" t="s">
        <v>719</v>
      </c>
      <c r="B587" t="s">
        <v>721</v>
      </c>
      <c r="C587">
        <v>57021750000</v>
      </c>
      <c r="D587">
        <v>58179430600</v>
      </c>
      <c r="E587">
        <v>77</v>
      </c>
      <c r="F587" t="s">
        <v>1197</v>
      </c>
    </row>
    <row r="588" spans="1:6" x14ac:dyDescent="0.45">
      <c r="A588" t="s">
        <v>722</v>
      </c>
      <c r="B588" t="s">
        <v>723</v>
      </c>
      <c r="C588">
        <v>59710205500</v>
      </c>
      <c r="D588">
        <v>14045584100</v>
      </c>
      <c r="E588">
        <v>80</v>
      </c>
      <c r="F588" t="s">
        <v>1197</v>
      </c>
    </row>
    <row r="589" spans="1:6" x14ac:dyDescent="0.45">
      <c r="A589" t="s">
        <v>724</v>
      </c>
      <c r="B589" t="s">
        <v>721</v>
      </c>
      <c r="C589">
        <v>58105248500</v>
      </c>
      <c r="D589">
        <v>58179430600</v>
      </c>
      <c r="E589">
        <v>79</v>
      </c>
      <c r="F589" t="s">
        <v>1196</v>
      </c>
    </row>
    <row r="590" spans="1:6" x14ac:dyDescent="0.45">
      <c r="A590" t="s">
        <v>725</v>
      </c>
      <c r="B590" t="s">
        <v>726</v>
      </c>
      <c r="C590">
        <v>56647738300</v>
      </c>
      <c r="D590">
        <v>58070953400</v>
      </c>
      <c r="E590">
        <v>97</v>
      </c>
      <c r="F590" t="s">
        <v>1196</v>
      </c>
    </row>
    <row r="591" spans="1:6" x14ac:dyDescent="0.45">
      <c r="A591" t="s">
        <v>727</v>
      </c>
      <c r="B591" t="s">
        <v>721</v>
      </c>
      <c r="C591">
        <v>59550144200</v>
      </c>
      <c r="D591">
        <v>58179430600</v>
      </c>
      <c r="E591">
        <v>76</v>
      </c>
      <c r="F591" t="s">
        <v>1197</v>
      </c>
    </row>
    <row r="592" spans="1:6" x14ac:dyDescent="0.45">
      <c r="A592" t="s">
        <v>720</v>
      </c>
      <c r="B592" t="s">
        <v>728</v>
      </c>
      <c r="C592">
        <v>57226071864</v>
      </c>
      <c r="D592">
        <v>59078241400</v>
      </c>
      <c r="E592">
        <v>75</v>
      </c>
      <c r="F592" t="s">
        <v>1197</v>
      </c>
    </row>
    <row r="593" spans="1:6" x14ac:dyDescent="0.45">
      <c r="A593" t="s">
        <v>729</v>
      </c>
      <c r="B593" t="s">
        <v>730</v>
      </c>
      <c r="C593">
        <v>35227745700</v>
      </c>
      <c r="D593">
        <v>57202558154</v>
      </c>
      <c r="E593">
        <v>78</v>
      </c>
      <c r="F593" t="s">
        <v>1196</v>
      </c>
    </row>
    <row r="594" spans="1:6" x14ac:dyDescent="0.45">
      <c r="A594" t="s">
        <v>729</v>
      </c>
      <c r="B594" t="s">
        <v>731</v>
      </c>
      <c r="C594">
        <v>35227745700</v>
      </c>
      <c r="D594">
        <v>57202570602</v>
      </c>
      <c r="E594">
        <v>82</v>
      </c>
      <c r="F594" t="s">
        <v>1196</v>
      </c>
    </row>
    <row r="595" spans="1:6" x14ac:dyDescent="0.45">
      <c r="A595" t="s">
        <v>730</v>
      </c>
      <c r="B595" t="s">
        <v>731</v>
      </c>
      <c r="C595">
        <v>57202558154</v>
      </c>
      <c r="D595">
        <v>57202570602</v>
      </c>
      <c r="E595">
        <v>95</v>
      </c>
      <c r="F595" t="s">
        <v>1196</v>
      </c>
    </row>
    <row r="596" spans="1:6" x14ac:dyDescent="0.45">
      <c r="A596" t="s">
        <v>732</v>
      </c>
      <c r="B596" t="s">
        <v>733</v>
      </c>
      <c r="C596">
        <v>58579346600</v>
      </c>
      <c r="D596">
        <v>57647220300</v>
      </c>
      <c r="E596">
        <v>76</v>
      </c>
      <c r="F596" t="s">
        <v>1196</v>
      </c>
    </row>
    <row r="597" spans="1:6" x14ac:dyDescent="0.45">
      <c r="A597" t="s">
        <v>734</v>
      </c>
      <c r="B597" t="s">
        <v>735</v>
      </c>
      <c r="C597">
        <v>57219467977</v>
      </c>
      <c r="D597">
        <v>43461611700</v>
      </c>
      <c r="E597">
        <v>97</v>
      </c>
      <c r="F597" t="s">
        <v>1196</v>
      </c>
    </row>
    <row r="598" spans="1:6" x14ac:dyDescent="0.45">
      <c r="A598" t="s">
        <v>736</v>
      </c>
      <c r="B598" t="s">
        <v>733</v>
      </c>
      <c r="C598">
        <v>57213737060</v>
      </c>
      <c r="D598">
        <v>57647220300</v>
      </c>
      <c r="E598">
        <v>96</v>
      </c>
      <c r="F598" t="s">
        <v>1196</v>
      </c>
    </row>
    <row r="599" spans="1:6" x14ac:dyDescent="0.45">
      <c r="A599" t="s">
        <v>737</v>
      </c>
      <c r="B599" t="s">
        <v>738</v>
      </c>
      <c r="C599">
        <v>57198433638</v>
      </c>
      <c r="D599">
        <v>57221371161</v>
      </c>
      <c r="E599">
        <v>97</v>
      </c>
      <c r="F599" t="s">
        <v>1196</v>
      </c>
    </row>
    <row r="600" spans="1:6" x14ac:dyDescent="0.45">
      <c r="A600" t="s">
        <v>739</v>
      </c>
      <c r="B600" t="s">
        <v>740</v>
      </c>
      <c r="C600">
        <v>59124444900</v>
      </c>
      <c r="D600">
        <v>58862940500</v>
      </c>
      <c r="E600">
        <v>94</v>
      </c>
      <c r="F600" t="s">
        <v>1196</v>
      </c>
    </row>
    <row r="601" spans="1:6" x14ac:dyDescent="0.45">
      <c r="A601" s="2" t="s">
        <v>741</v>
      </c>
      <c r="B601" s="2" t="s">
        <v>742</v>
      </c>
      <c r="C601" s="2">
        <v>24466885300</v>
      </c>
      <c r="D601" s="2">
        <v>57209368500</v>
      </c>
      <c r="E601" s="2">
        <v>98</v>
      </c>
      <c r="F601" t="s">
        <v>1196</v>
      </c>
    </row>
    <row r="602" spans="1:6" x14ac:dyDescent="0.45">
      <c r="A602" t="s">
        <v>743</v>
      </c>
      <c r="B602" t="s">
        <v>744</v>
      </c>
      <c r="C602">
        <v>57214225625</v>
      </c>
      <c r="D602">
        <v>57222108764</v>
      </c>
      <c r="E602">
        <v>98</v>
      </c>
      <c r="F602" t="s">
        <v>1196</v>
      </c>
    </row>
    <row r="603" spans="1:6" x14ac:dyDescent="0.45">
      <c r="A603" t="s">
        <v>743</v>
      </c>
      <c r="B603" t="s">
        <v>745</v>
      </c>
      <c r="C603">
        <v>57214225625</v>
      </c>
      <c r="D603">
        <v>57221995059</v>
      </c>
      <c r="E603">
        <v>98</v>
      </c>
      <c r="F603" t="s">
        <v>1196</v>
      </c>
    </row>
    <row r="604" spans="1:6" x14ac:dyDescent="0.45">
      <c r="A604" t="s">
        <v>744</v>
      </c>
      <c r="B604" t="s">
        <v>745</v>
      </c>
      <c r="C604">
        <v>57222108764</v>
      </c>
      <c r="D604">
        <v>57221995059</v>
      </c>
      <c r="E604">
        <v>96</v>
      </c>
      <c r="F604" t="s">
        <v>1196</v>
      </c>
    </row>
    <row r="605" spans="1:6" x14ac:dyDescent="0.45">
      <c r="A605" t="s">
        <v>746</v>
      </c>
      <c r="B605" t="s">
        <v>747</v>
      </c>
      <c r="C605">
        <v>58504367700</v>
      </c>
      <c r="D605">
        <v>58749655300</v>
      </c>
      <c r="E605">
        <v>97</v>
      </c>
      <c r="F605" t="s">
        <v>1196</v>
      </c>
    </row>
    <row r="606" spans="1:6" x14ac:dyDescent="0.45">
      <c r="A606" t="s">
        <v>747</v>
      </c>
      <c r="B606" t="s">
        <v>748</v>
      </c>
      <c r="C606">
        <v>58749655300</v>
      </c>
      <c r="D606">
        <v>57224470049</v>
      </c>
      <c r="E606">
        <v>76</v>
      </c>
      <c r="F606" t="s">
        <v>1197</v>
      </c>
    </row>
    <row r="607" spans="1:6" x14ac:dyDescent="0.45">
      <c r="A607" t="s">
        <v>749</v>
      </c>
      <c r="B607" t="s">
        <v>748</v>
      </c>
      <c r="C607">
        <v>55431512800</v>
      </c>
      <c r="D607">
        <v>57224470049</v>
      </c>
      <c r="E607">
        <v>76</v>
      </c>
      <c r="F607" t="s">
        <v>1197</v>
      </c>
    </row>
    <row r="608" spans="1:6" x14ac:dyDescent="0.45">
      <c r="A608" t="s">
        <v>750</v>
      </c>
      <c r="B608" t="s">
        <v>751</v>
      </c>
      <c r="C608">
        <v>57930054900</v>
      </c>
      <c r="D608">
        <v>57917711700</v>
      </c>
      <c r="E608">
        <v>80</v>
      </c>
      <c r="F608" t="s">
        <v>1196</v>
      </c>
    </row>
    <row r="609" spans="1:6" x14ac:dyDescent="0.45">
      <c r="A609" t="s">
        <v>752</v>
      </c>
      <c r="B609" t="s">
        <v>753</v>
      </c>
      <c r="C609">
        <v>57189261670</v>
      </c>
      <c r="D609">
        <v>57670607700</v>
      </c>
      <c r="E609">
        <v>97</v>
      </c>
      <c r="F609" t="s">
        <v>1196</v>
      </c>
    </row>
    <row r="610" spans="1:6" x14ac:dyDescent="0.45">
      <c r="A610" t="s">
        <v>754</v>
      </c>
      <c r="B610" t="s">
        <v>755</v>
      </c>
      <c r="C610">
        <v>58494532600</v>
      </c>
      <c r="D610">
        <v>58555668700</v>
      </c>
      <c r="E610">
        <v>94</v>
      </c>
      <c r="F610" t="s">
        <v>1196</v>
      </c>
    </row>
    <row r="611" spans="1:6" x14ac:dyDescent="0.45">
      <c r="A611" t="s">
        <v>756</v>
      </c>
      <c r="B611" t="s">
        <v>757</v>
      </c>
      <c r="C611">
        <v>57208216498</v>
      </c>
      <c r="D611">
        <v>57208378019</v>
      </c>
      <c r="E611">
        <v>84</v>
      </c>
      <c r="F611" t="s">
        <v>1197</v>
      </c>
    </row>
    <row r="612" spans="1:6" x14ac:dyDescent="0.45">
      <c r="A612" t="s">
        <v>756</v>
      </c>
      <c r="B612" t="s">
        <v>758</v>
      </c>
      <c r="C612">
        <v>57208216498</v>
      </c>
      <c r="D612">
        <v>57703123400</v>
      </c>
      <c r="E612">
        <v>96</v>
      </c>
      <c r="F612" t="s">
        <v>1196</v>
      </c>
    </row>
    <row r="613" spans="1:6" x14ac:dyDescent="0.45">
      <c r="A613" t="s">
        <v>759</v>
      </c>
      <c r="B613" t="s">
        <v>760</v>
      </c>
      <c r="C613">
        <v>55574841700</v>
      </c>
      <c r="D613">
        <v>57980438600</v>
      </c>
      <c r="E613">
        <v>81</v>
      </c>
      <c r="F613" t="s">
        <v>1197</v>
      </c>
    </row>
    <row r="614" spans="1:6" x14ac:dyDescent="0.45">
      <c r="A614" t="s">
        <v>761</v>
      </c>
      <c r="B614" t="s">
        <v>762</v>
      </c>
      <c r="C614">
        <v>6603331476</v>
      </c>
      <c r="D614">
        <v>57205682246</v>
      </c>
      <c r="E614">
        <v>76</v>
      </c>
      <c r="F614" t="s">
        <v>1197</v>
      </c>
    </row>
    <row r="615" spans="1:6" x14ac:dyDescent="0.45">
      <c r="A615" t="s">
        <v>761</v>
      </c>
      <c r="B615" t="s">
        <v>763</v>
      </c>
      <c r="C615">
        <v>6603331476</v>
      </c>
      <c r="D615">
        <v>58740176100</v>
      </c>
      <c r="E615">
        <v>76</v>
      </c>
      <c r="F615" t="s">
        <v>1197</v>
      </c>
    </row>
    <row r="616" spans="1:6" x14ac:dyDescent="0.45">
      <c r="A616" t="s">
        <v>764</v>
      </c>
      <c r="B616" t="s">
        <v>765</v>
      </c>
      <c r="C616">
        <v>7202329287</v>
      </c>
      <c r="D616">
        <v>57217158918</v>
      </c>
      <c r="E616">
        <v>76</v>
      </c>
      <c r="F616" t="s">
        <v>1197</v>
      </c>
    </row>
    <row r="617" spans="1:6" x14ac:dyDescent="0.45">
      <c r="A617" t="s">
        <v>766</v>
      </c>
      <c r="B617" t="s">
        <v>767</v>
      </c>
      <c r="C617">
        <v>6602329029</v>
      </c>
      <c r="D617">
        <v>57226822784</v>
      </c>
      <c r="E617">
        <v>93</v>
      </c>
      <c r="F617" t="s">
        <v>1196</v>
      </c>
    </row>
    <row r="618" spans="1:6" x14ac:dyDescent="0.45">
      <c r="A618" t="s">
        <v>768</v>
      </c>
      <c r="B618" t="s">
        <v>769</v>
      </c>
      <c r="C618">
        <v>7101852204</v>
      </c>
      <c r="D618">
        <v>57222023487</v>
      </c>
      <c r="E618">
        <v>79</v>
      </c>
      <c r="F618" t="s">
        <v>1197</v>
      </c>
    </row>
    <row r="619" spans="1:6" x14ac:dyDescent="0.45">
      <c r="A619" t="s">
        <v>770</v>
      </c>
      <c r="B619" t="s">
        <v>771</v>
      </c>
      <c r="C619">
        <v>6603714197</v>
      </c>
      <c r="D619">
        <v>57226611490</v>
      </c>
      <c r="E619">
        <v>78</v>
      </c>
      <c r="F619" t="s">
        <v>1197</v>
      </c>
    </row>
    <row r="620" spans="1:6" x14ac:dyDescent="0.45">
      <c r="A620" t="s">
        <v>772</v>
      </c>
      <c r="B620" t="s">
        <v>773</v>
      </c>
      <c r="C620">
        <v>22935412100</v>
      </c>
      <c r="D620">
        <v>57213423036</v>
      </c>
      <c r="E620">
        <v>80</v>
      </c>
      <c r="F620" t="s">
        <v>1197</v>
      </c>
    </row>
    <row r="621" spans="1:6" x14ac:dyDescent="0.45">
      <c r="A621" t="s">
        <v>772</v>
      </c>
      <c r="B621" t="s">
        <v>774</v>
      </c>
      <c r="C621">
        <v>22935412100</v>
      </c>
      <c r="D621">
        <v>35332915800</v>
      </c>
      <c r="E621">
        <v>78</v>
      </c>
      <c r="F621" t="s">
        <v>1197</v>
      </c>
    </row>
    <row r="622" spans="1:6" x14ac:dyDescent="0.45">
      <c r="A622" t="s">
        <v>775</v>
      </c>
      <c r="B622" t="s">
        <v>776</v>
      </c>
      <c r="C622">
        <v>57206859910</v>
      </c>
      <c r="D622">
        <v>57219663938</v>
      </c>
      <c r="E622">
        <v>83</v>
      </c>
      <c r="F622" t="s">
        <v>1197</v>
      </c>
    </row>
    <row r="623" spans="1:6" x14ac:dyDescent="0.45">
      <c r="A623" t="s">
        <v>777</v>
      </c>
      <c r="B623" t="s">
        <v>778</v>
      </c>
      <c r="C623">
        <v>57202573923</v>
      </c>
      <c r="D623">
        <v>57219000400</v>
      </c>
      <c r="E623">
        <v>80</v>
      </c>
      <c r="F623" t="s">
        <v>1197</v>
      </c>
    </row>
    <row r="624" spans="1:6" x14ac:dyDescent="0.45">
      <c r="A624" t="s">
        <v>779</v>
      </c>
      <c r="B624" t="s">
        <v>780</v>
      </c>
      <c r="C624">
        <v>56840654900</v>
      </c>
      <c r="D624">
        <v>59093832900</v>
      </c>
      <c r="E624">
        <v>75</v>
      </c>
      <c r="F624" t="s">
        <v>1197</v>
      </c>
    </row>
    <row r="625" spans="1:6" x14ac:dyDescent="0.45">
      <c r="A625" t="s">
        <v>781</v>
      </c>
      <c r="B625" t="s">
        <v>782</v>
      </c>
      <c r="C625">
        <v>57205739301</v>
      </c>
      <c r="D625">
        <v>16425729300</v>
      </c>
      <c r="E625">
        <v>80</v>
      </c>
      <c r="F625" t="s">
        <v>1197</v>
      </c>
    </row>
    <row r="626" spans="1:6" x14ac:dyDescent="0.45">
      <c r="A626" t="s">
        <v>781</v>
      </c>
      <c r="B626" t="s">
        <v>783</v>
      </c>
      <c r="C626">
        <v>57205739301</v>
      </c>
      <c r="D626">
        <v>7202288223</v>
      </c>
      <c r="E626">
        <v>82</v>
      </c>
      <c r="F626" t="s">
        <v>1197</v>
      </c>
    </row>
    <row r="627" spans="1:6" x14ac:dyDescent="0.45">
      <c r="A627" t="s">
        <v>762</v>
      </c>
      <c r="B627" t="s">
        <v>763</v>
      </c>
      <c r="C627">
        <v>57205682246</v>
      </c>
      <c r="D627">
        <v>58740176100</v>
      </c>
      <c r="E627">
        <v>92</v>
      </c>
      <c r="F627" t="s">
        <v>1197</v>
      </c>
    </row>
    <row r="628" spans="1:6" x14ac:dyDescent="0.45">
      <c r="A628" t="s">
        <v>784</v>
      </c>
      <c r="B628" t="s">
        <v>785</v>
      </c>
      <c r="C628">
        <v>58317356300</v>
      </c>
      <c r="D628">
        <v>59768676500</v>
      </c>
      <c r="E628">
        <v>84</v>
      </c>
      <c r="F628" t="s">
        <v>1196</v>
      </c>
    </row>
    <row r="629" spans="1:6" x14ac:dyDescent="0.45">
      <c r="A629" t="s">
        <v>757</v>
      </c>
      <c r="B629" t="s">
        <v>758</v>
      </c>
      <c r="C629">
        <v>57208378019</v>
      </c>
      <c r="D629">
        <v>57703123400</v>
      </c>
      <c r="E629">
        <v>80</v>
      </c>
      <c r="F629" t="s">
        <v>1197</v>
      </c>
    </row>
    <row r="630" spans="1:6" x14ac:dyDescent="0.45">
      <c r="A630" t="s">
        <v>757</v>
      </c>
      <c r="B630" t="s">
        <v>785</v>
      </c>
      <c r="C630">
        <v>57208378019</v>
      </c>
      <c r="D630">
        <v>59768676500</v>
      </c>
      <c r="E630">
        <v>75</v>
      </c>
      <c r="F630" t="s">
        <v>1197</v>
      </c>
    </row>
    <row r="631" spans="1:6" x14ac:dyDescent="0.45">
      <c r="A631" t="s">
        <v>786</v>
      </c>
      <c r="B631" t="s">
        <v>774</v>
      </c>
      <c r="C631">
        <v>57210949071</v>
      </c>
      <c r="D631">
        <v>35332915800</v>
      </c>
      <c r="E631">
        <v>92</v>
      </c>
      <c r="F631" t="s">
        <v>1197</v>
      </c>
    </row>
    <row r="632" spans="1:6" x14ac:dyDescent="0.45">
      <c r="A632" t="s">
        <v>787</v>
      </c>
      <c r="B632" t="s">
        <v>788</v>
      </c>
      <c r="C632">
        <v>57219005299</v>
      </c>
      <c r="D632">
        <v>59586745100</v>
      </c>
      <c r="E632">
        <v>80</v>
      </c>
      <c r="F632" t="s">
        <v>1197</v>
      </c>
    </row>
    <row r="633" spans="1:6" x14ac:dyDescent="0.45">
      <c r="A633" t="s">
        <v>789</v>
      </c>
      <c r="B633" t="s">
        <v>790</v>
      </c>
      <c r="C633">
        <v>59155485000</v>
      </c>
      <c r="D633">
        <v>57219910435</v>
      </c>
      <c r="E633">
        <v>78</v>
      </c>
      <c r="F633" t="s">
        <v>1197</v>
      </c>
    </row>
    <row r="634" spans="1:6" x14ac:dyDescent="0.45">
      <c r="A634" t="s">
        <v>789</v>
      </c>
      <c r="B634" t="s">
        <v>791</v>
      </c>
      <c r="C634">
        <v>59155485000</v>
      </c>
      <c r="D634">
        <v>58640561800</v>
      </c>
      <c r="E634">
        <v>75</v>
      </c>
      <c r="F634" t="s">
        <v>1197</v>
      </c>
    </row>
    <row r="635" spans="1:6" x14ac:dyDescent="0.45">
      <c r="A635" t="s">
        <v>790</v>
      </c>
      <c r="B635" t="s">
        <v>788</v>
      </c>
      <c r="C635">
        <v>57219910435</v>
      </c>
      <c r="D635">
        <v>59586745100</v>
      </c>
      <c r="E635">
        <v>78</v>
      </c>
      <c r="F635" t="s">
        <v>1197</v>
      </c>
    </row>
    <row r="636" spans="1:6" x14ac:dyDescent="0.45">
      <c r="A636" t="s">
        <v>792</v>
      </c>
      <c r="B636" t="s">
        <v>788</v>
      </c>
      <c r="C636">
        <v>59720645100</v>
      </c>
      <c r="D636">
        <v>59586745100</v>
      </c>
      <c r="E636">
        <v>76</v>
      </c>
      <c r="F636" t="s">
        <v>1197</v>
      </c>
    </row>
    <row r="637" spans="1:6" x14ac:dyDescent="0.45">
      <c r="A637" t="s">
        <v>793</v>
      </c>
      <c r="B637" t="s">
        <v>794</v>
      </c>
      <c r="C637">
        <v>7003880452</v>
      </c>
      <c r="D637">
        <v>57271323300</v>
      </c>
      <c r="E637">
        <v>91</v>
      </c>
      <c r="F637" t="s">
        <v>1196</v>
      </c>
    </row>
    <row r="638" spans="1:6" x14ac:dyDescent="0.45">
      <c r="A638" t="s">
        <v>795</v>
      </c>
      <c r="B638" t="s">
        <v>796</v>
      </c>
      <c r="C638">
        <v>6701849102</v>
      </c>
      <c r="D638">
        <v>59624866300</v>
      </c>
      <c r="E638">
        <v>93</v>
      </c>
      <c r="F638" t="s">
        <v>1196</v>
      </c>
    </row>
    <row r="639" spans="1:6" x14ac:dyDescent="0.45">
      <c r="A639" t="s">
        <v>795</v>
      </c>
      <c r="B639" t="s">
        <v>797</v>
      </c>
      <c r="C639">
        <v>6701849102</v>
      </c>
      <c r="D639">
        <v>57998650100</v>
      </c>
      <c r="E639">
        <v>90</v>
      </c>
      <c r="F639" t="s">
        <v>1196</v>
      </c>
    </row>
    <row r="640" spans="1:6" x14ac:dyDescent="0.45">
      <c r="A640" t="s">
        <v>798</v>
      </c>
      <c r="B640" t="s">
        <v>799</v>
      </c>
      <c r="C640">
        <v>7102089902</v>
      </c>
      <c r="D640">
        <v>57445296600</v>
      </c>
      <c r="E640">
        <v>77</v>
      </c>
      <c r="F640" t="s">
        <v>1197</v>
      </c>
    </row>
    <row r="641" spans="1:6" x14ac:dyDescent="0.45">
      <c r="A641" t="s">
        <v>800</v>
      </c>
      <c r="B641" t="s">
        <v>801</v>
      </c>
      <c r="C641">
        <v>8982965500</v>
      </c>
      <c r="D641">
        <v>57023733400</v>
      </c>
      <c r="E641">
        <v>75</v>
      </c>
      <c r="F641" t="s">
        <v>1197</v>
      </c>
    </row>
    <row r="642" spans="1:6" x14ac:dyDescent="0.45">
      <c r="A642" t="s">
        <v>802</v>
      </c>
      <c r="B642" t="s">
        <v>803</v>
      </c>
      <c r="C642">
        <v>57501924000</v>
      </c>
      <c r="D642">
        <v>26035289600</v>
      </c>
      <c r="E642">
        <v>87</v>
      </c>
      <c r="F642" t="s">
        <v>1197</v>
      </c>
    </row>
    <row r="643" spans="1:6" x14ac:dyDescent="0.45">
      <c r="A643" t="s">
        <v>796</v>
      </c>
      <c r="B643" t="s">
        <v>797</v>
      </c>
      <c r="C643">
        <v>59624866300</v>
      </c>
      <c r="D643">
        <v>57998650100</v>
      </c>
      <c r="E643">
        <v>97</v>
      </c>
      <c r="F643" t="s">
        <v>1196</v>
      </c>
    </row>
    <row r="644" spans="1:6" x14ac:dyDescent="0.45">
      <c r="A644" t="s">
        <v>804</v>
      </c>
      <c r="B644" t="s">
        <v>805</v>
      </c>
      <c r="C644">
        <v>59796861400</v>
      </c>
      <c r="D644">
        <v>57205191523</v>
      </c>
      <c r="E644">
        <v>78</v>
      </c>
      <c r="F644" t="s">
        <v>1196</v>
      </c>
    </row>
    <row r="645" spans="1:6" x14ac:dyDescent="0.45">
      <c r="A645" t="s">
        <v>806</v>
      </c>
      <c r="B645" t="s">
        <v>807</v>
      </c>
      <c r="C645">
        <v>6603622358</v>
      </c>
      <c r="D645">
        <v>58554273300</v>
      </c>
      <c r="E645">
        <v>94</v>
      </c>
      <c r="F645" t="s">
        <v>1196</v>
      </c>
    </row>
    <row r="646" spans="1:6" x14ac:dyDescent="0.45">
      <c r="A646" t="s">
        <v>808</v>
      </c>
      <c r="B646" t="s">
        <v>809</v>
      </c>
      <c r="C646">
        <v>59352712200</v>
      </c>
      <c r="D646">
        <v>59525395500</v>
      </c>
      <c r="E646">
        <v>76</v>
      </c>
      <c r="F646" t="s">
        <v>1197</v>
      </c>
    </row>
    <row r="647" spans="1:6" x14ac:dyDescent="0.45">
      <c r="A647" t="s">
        <v>810</v>
      </c>
      <c r="B647" t="s">
        <v>811</v>
      </c>
      <c r="C647">
        <v>57222201980</v>
      </c>
      <c r="D647">
        <v>56372705700</v>
      </c>
      <c r="E647">
        <v>87</v>
      </c>
      <c r="F647" t="s">
        <v>1197</v>
      </c>
    </row>
    <row r="648" spans="1:6" x14ac:dyDescent="0.45">
      <c r="A648" t="s">
        <v>812</v>
      </c>
      <c r="B648" t="s">
        <v>813</v>
      </c>
      <c r="C648">
        <v>59074406400</v>
      </c>
      <c r="D648">
        <v>57890177200</v>
      </c>
      <c r="E648">
        <v>75</v>
      </c>
      <c r="F648" t="s">
        <v>1197</v>
      </c>
    </row>
    <row r="649" spans="1:6" x14ac:dyDescent="0.45">
      <c r="A649" t="s">
        <v>814</v>
      </c>
      <c r="B649" t="s">
        <v>815</v>
      </c>
      <c r="C649">
        <v>59156749500</v>
      </c>
      <c r="D649">
        <v>59088317900</v>
      </c>
      <c r="E649">
        <v>75</v>
      </c>
      <c r="F649" t="s">
        <v>1197</v>
      </c>
    </row>
    <row r="650" spans="1:6" x14ac:dyDescent="0.45">
      <c r="A650" t="s">
        <v>816</v>
      </c>
      <c r="B650" t="s">
        <v>817</v>
      </c>
      <c r="C650">
        <v>55902405400</v>
      </c>
      <c r="D650">
        <v>59245189400</v>
      </c>
      <c r="E650">
        <v>93</v>
      </c>
      <c r="F650" t="s">
        <v>1196</v>
      </c>
    </row>
    <row r="651" spans="1:6" x14ac:dyDescent="0.45">
      <c r="A651" t="s">
        <v>818</v>
      </c>
      <c r="B651" t="s">
        <v>819</v>
      </c>
      <c r="C651">
        <v>24170239100</v>
      </c>
      <c r="D651">
        <v>56244708200</v>
      </c>
      <c r="E651">
        <v>76</v>
      </c>
      <c r="F651" t="s">
        <v>1197</v>
      </c>
    </row>
    <row r="652" spans="1:6" x14ac:dyDescent="0.45">
      <c r="A652" t="s">
        <v>820</v>
      </c>
      <c r="B652" t="s">
        <v>821</v>
      </c>
      <c r="C652">
        <v>6602954500</v>
      </c>
      <c r="D652">
        <v>58222269900</v>
      </c>
      <c r="E652">
        <v>91</v>
      </c>
      <c r="F652" t="s">
        <v>1196</v>
      </c>
    </row>
    <row r="653" spans="1:6" x14ac:dyDescent="0.45">
      <c r="A653" t="s">
        <v>822</v>
      </c>
      <c r="B653" t="s">
        <v>823</v>
      </c>
      <c r="C653">
        <v>32868158100</v>
      </c>
      <c r="D653">
        <v>57996986400</v>
      </c>
      <c r="E653">
        <v>96</v>
      </c>
      <c r="F653" t="s">
        <v>1196</v>
      </c>
    </row>
    <row r="654" spans="1:6" x14ac:dyDescent="0.45">
      <c r="A654" t="s">
        <v>824</v>
      </c>
      <c r="B654" t="s">
        <v>825</v>
      </c>
      <c r="C654">
        <v>57224537695</v>
      </c>
      <c r="D654">
        <v>57711933000</v>
      </c>
      <c r="E654">
        <v>80</v>
      </c>
      <c r="F654" t="s">
        <v>1197</v>
      </c>
    </row>
    <row r="655" spans="1:6" x14ac:dyDescent="0.45">
      <c r="A655" t="s">
        <v>826</v>
      </c>
      <c r="B655" t="s">
        <v>827</v>
      </c>
      <c r="C655">
        <v>57190267343</v>
      </c>
      <c r="D655">
        <v>57225044612</v>
      </c>
      <c r="E655">
        <v>77</v>
      </c>
      <c r="F655" t="s">
        <v>1197</v>
      </c>
    </row>
    <row r="656" spans="1:6" x14ac:dyDescent="0.45">
      <c r="A656" t="s">
        <v>828</v>
      </c>
      <c r="B656" t="s">
        <v>829</v>
      </c>
      <c r="C656">
        <v>57193081269</v>
      </c>
      <c r="D656">
        <v>57433371100</v>
      </c>
      <c r="E656">
        <v>79</v>
      </c>
      <c r="F656" t="s">
        <v>1197</v>
      </c>
    </row>
    <row r="657" spans="1:6" x14ac:dyDescent="0.45">
      <c r="A657" t="s">
        <v>830</v>
      </c>
      <c r="B657" t="s">
        <v>831</v>
      </c>
      <c r="C657">
        <v>57125678000</v>
      </c>
      <c r="D657">
        <v>58861128600</v>
      </c>
      <c r="E657">
        <v>79</v>
      </c>
      <c r="F657" t="s">
        <v>1197</v>
      </c>
    </row>
    <row r="658" spans="1:6" x14ac:dyDescent="0.45">
      <c r="A658" t="s">
        <v>832</v>
      </c>
      <c r="B658" t="s">
        <v>833</v>
      </c>
      <c r="C658">
        <v>55364826400</v>
      </c>
      <c r="D658">
        <v>57955058600</v>
      </c>
      <c r="E658">
        <v>80</v>
      </c>
      <c r="F658" t="s">
        <v>1197</v>
      </c>
    </row>
    <row r="659" spans="1:6" x14ac:dyDescent="0.45">
      <c r="A659" t="s">
        <v>834</v>
      </c>
      <c r="B659" t="s">
        <v>835</v>
      </c>
      <c r="C659">
        <v>36488788000</v>
      </c>
      <c r="D659">
        <v>57218847212</v>
      </c>
      <c r="E659">
        <v>82</v>
      </c>
      <c r="F659" t="s">
        <v>1197</v>
      </c>
    </row>
    <row r="660" spans="1:6" x14ac:dyDescent="0.45">
      <c r="A660" t="s">
        <v>834</v>
      </c>
      <c r="B660" t="s">
        <v>836</v>
      </c>
      <c r="C660">
        <v>36488788000</v>
      </c>
      <c r="D660">
        <v>57219588667</v>
      </c>
      <c r="E660">
        <v>76</v>
      </c>
      <c r="F660" t="s">
        <v>1197</v>
      </c>
    </row>
    <row r="661" spans="1:6" x14ac:dyDescent="0.45">
      <c r="A661" t="s">
        <v>837</v>
      </c>
      <c r="B661" t="s">
        <v>838</v>
      </c>
      <c r="C661">
        <v>41862484700</v>
      </c>
      <c r="D661">
        <v>59225858600</v>
      </c>
      <c r="E661">
        <v>86</v>
      </c>
      <c r="F661" t="s">
        <v>1197</v>
      </c>
    </row>
    <row r="662" spans="1:6" x14ac:dyDescent="0.45">
      <c r="A662" t="s">
        <v>839</v>
      </c>
      <c r="B662" t="s">
        <v>840</v>
      </c>
      <c r="C662">
        <v>57211939303</v>
      </c>
      <c r="D662">
        <v>55472613700</v>
      </c>
      <c r="E662">
        <v>76</v>
      </c>
      <c r="F662" t="s">
        <v>1196</v>
      </c>
    </row>
    <row r="663" spans="1:6" x14ac:dyDescent="0.45">
      <c r="A663" t="s">
        <v>841</v>
      </c>
      <c r="B663" t="s">
        <v>842</v>
      </c>
      <c r="C663">
        <v>57188544618</v>
      </c>
      <c r="D663">
        <v>36349481900</v>
      </c>
      <c r="E663">
        <v>75</v>
      </c>
      <c r="F663" t="s">
        <v>1197</v>
      </c>
    </row>
    <row r="664" spans="1:6" x14ac:dyDescent="0.45">
      <c r="A664" t="s">
        <v>843</v>
      </c>
      <c r="B664" t="s">
        <v>844</v>
      </c>
      <c r="C664">
        <v>57191226728</v>
      </c>
      <c r="D664">
        <v>57225935027</v>
      </c>
      <c r="E664">
        <v>78</v>
      </c>
      <c r="F664" t="s">
        <v>1197</v>
      </c>
    </row>
    <row r="665" spans="1:6" x14ac:dyDescent="0.45">
      <c r="A665" t="s">
        <v>845</v>
      </c>
      <c r="B665" t="s">
        <v>846</v>
      </c>
      <c r="C665">
        <v>39362313000</v>
      </c>
      <c r="D665">
        <v>7103372272</v>
      </c>
      <c r="E665">
        <v>77</v>
      </c>
      <c r="F665" t="s">
        <v>1197</v>
      </c>
    </row>
    <row r="666" spans="1:6" x14ac:dyDescent="0.45">
      <c r="A666" t="s">
        <v>847</v>
      </c>
      <c r="B666" t="s">
        <v>848</v>
      </c>
      <c r="C666">
        <v>56127029700</v>
      </c>
      <c r="D666">
        <v>59077181200</v>
      </c>
      <c r="E666">
        <v>76</v>
      </c>
      <c r="F666" t="s">
        <v>1197</v>
      </c>
    </row>
    <row r="667" spans="1:6" x14ac:dyDescent="0.45">
      <c r="A667" t="s">
        <v>847</v>
      </c>
      <c r="B667" t="s">
        <v>849</v>
      </c>
      <c r="C667">
        <v>56127029700</v>
      </c>
      <c r="D667">
        <v>57199073910</v>
      </c>
      <c r="E667">
        <v>78</v>
      </c>
      <c r="F667" t="s">
        <v>1197</v>
      </c>
    </row>
    <row r="668" spans="1:6" x14ac:dyDescent="0.45">
      <c r="A668" t="s">
        <v>850</v>
      </c>
      <c r="B668" t="s">
        <v>851</v>
      </c>
      <c r="C668">
        <v>7101617400</v>
      </c>
      <c r="D668">
        <v>57419543300</v>
      </c>
      <c r="E668">
        <v>87</v>
      </c>
      <c r="F668" t="s">
        <v>1196</v>
      </c>
    </row>
    <row r="669" spans="1:6" x14ac:dyDescent="0.45">
      <c r="A669" t="s">
        <v>852</v>
      </c>
      <c r="B669" t="s">
        <v>853</v>
      </c>
      <c r="C669">
        <v>55568333600</v>
      </c>
      <c r="D669">
        <v>59277537500</v>
      </c>
      <c r="E669">
        <v>84</v>
      </c>
      <c r="F669" t="s">
        <v>1197</v>
      </c>
    </row>
    <row r="670" spans="1:6" x14ac:dyDescent="0.45">
      <c r="A670" t="s">
        <v>854</v>
      </c>
      <c r="B670" t="s">
        <v>855</v>
      </c>
      <c r="C670">
        <v>58668997300</v>
      </c>
      <c r="D670">
        <v>57218305410</v>
      </c>
      <c r="E670">
        <v>85</v>
      </c>
      <c r="F670" t="s">
        <v>1197</v>
      </c>
    </row>
    <row r="671" spans="1:6" x14ac:dyDescent="0.45">
      <c r="A671" t="s">
        <v>856</v>
      </c>
      <c r="B671" t="s">
        <v>844</v>
      </c>
      <c r="C671">
        <v>24451155400</v>
      </c>
      <c r="D671">
        <v>57225935027</v>
      </c>
      <c r="E671">
        <v>76</v>
      </c>
      <c r="F671" t="s">
        <v>1197</v>
      </c>
    </row>
    <row r="672" spans="1:6" x14ac:dyDescent="0.45">
      <c r="A672" t="s">
        <v>857</v>
      </c>
      <c r="B672" t="s">
        <v>858</v>
      </c>
      <c r="C672">
        <v>57190403711</v>
      </c>
      <c r="D672">
        <v>59592721600</v>
      </c>
      <c r="E672">
        <v>76</v>
      </c>
      <c r="F672" t="s">
        <v>1197</v>
      </c>
    </row>
    <row r="673" spans="1:6" x14ac:dyDescent="0.45">
      <c r="A673" t="s">
        <v>859</v>
      </c>
      <c r="B673" t="s">
        <v>860</v>
      </c>
      <c r="C673">
        <v>56940390800</v>
      </c>
      <c r="D673">
        <v>57778320600</v>
      </c>
      <c r="E673">
        <v>78</v>
      </c>
      <c r="F673" t="s">
        <v>1197</v>
      </c>
    </row>
    <row r="674" spans="1:6" x14ac:dyDescent="0.45">
      <c r="A674" t="s">
        <v>861</v>
      </c>
      <c r="B674" t="s">
        <v>862</v>
      </c>
      <c r="C674">
        <v>57213693372</v>
      </c>
      <c r="D674">
        <v>57191728785</v>
      </c>
      <c r="E674">
        <v>76</v>
      </c>
      <c r="F674" t="s">
        <v>1197</v>
      </c>
    </row>
    <row r="675" spans="1:6" x14ac:dyDescent="0.45">
      <c r="A675" t="s">
        <v>863</v>
      </c>
      <c r="B675" t="s">
        <v>864</v>
      </c>
      <c r="C675">
        <v>57202668327</v>
      </c>
      <c r="D675">
        <v>57523783300</v>
      </c>
      <c r="E675">
        <v>75</v>
      </c>
      <c r="F675" t="s">
        <v>1197</v>
      </c>
    </row>
    <row r="676" spans="1:6" x14ac:dyDescent="0.45">
      <c r="A676" t="s">
        <v>865</v>
      </c>
      <c r="B676" t="s">
        <v>866</v>
      </c>
      <c r="C676">
        <v>57206314215</v>
      </c>
      <c r="D676">
        <v>57195340320</v>
      </c>
      <c r="E676">
        <v>83</v>
      </c>
      <c r="F676" t="s">
        <v>1197</v>
      </c>
    </row>
    <row r="677" spans="1:6" x14ac:dyDescent="0.45">
      <c r="A677" t="s">
        <v>867</v>
      </c>
      <c r="B677" t="s">
        <v>868</v>
      </c>
      <c r="C677">
        <v>56080310900</v>
      </c>
      <c r="D677">
        <v>57203477978</v>
      </c>
      <c r="E677">
        <v>77</v>
      </c>
      <c r="F677" t="s">
        <v>1197</v>
      </c>
    </row>
    <row r="678" spans="1:6" x14ac:dyDescent="0.45">
      <c r="A678" t="s">
        <v>869</v>
      </c>
      <c r="B678" t="s">
        <v>870</v>
      </c>
      <c r="C678">
        <v>35747072000</v>
      </c>
      <c r="D678">
        <v>57223141225</v>
      </c>
      <c r="E678">
        <v>76</v>
      </c>
      <c r="F678" t="s">
        <v>1197</v>
      </c>
    </row>
    <row r="679" spans="1:6" x14ac:dyDescent="0.45">
      <c r="A679" t="s">
        <v>871</v>
      </c>
      <c r="B679" t="s">
        <v>872</v>
      </c>
      <c r="C679">
        <v>57212479414</v>
      </c>
      <c r="D679">
        <v>57223119438</v>
      </c>
      <c r="E679">
        <v>75</v>
      </c>
      <c r="F679" t="s">
        <v>1197</v>
      </c>
    </row>
    <row r="680" spans="1:6" x14ac:dyDescent="0.45">
      <c r="A680" t="s">
        <v>873</v>
      </c>
      <c r="B680" t="s">
        <v>853</v>
      </c>
      <c r="C680">
        <v>57189515572</v>
      </c>
      <c r="D680">
        <v>59277537500</v>
      </c>
      <c r="E680">
        <v>76</v>
      </c>
      <c r="F680" t="s">
        <v>1197</v>
      </c>
    </row>
    <row r="681" spans="1:6" x14ac:dyDescent="0.45">
      <c r="A681" t="s">
        <v>874</v>
      </c>
      <c r="B681" t="s">
        <v>875</v>
      </c>
      <c r="C681">
        <v>59503924000</v>
      </c>
      <c r="D681">
        <v>58962606100</v>
      </c>
      <c r="E681">
        <v>76</v>
      </c>
      <c r="F681" t="s">
        <v>1197</v>
      </c>
    </row>
    <row r="682" spans="1:6" x14ac:dyDescent="0.45">
      <c r="A682" t="s">
        <v>835</v>
      </c>
      <c r="B682" t="s">
        <v>836</v>
      </c>
      <c r="C682">
        <v>57218847212</v>
      </c>
      <c r="D682">
        <v>57219588667</v>
      </c>
      <c r="E682">
        <v>76</v>
      </c>
      <c r="F682" t="s">
        <v>1197</v>
      </c>
    </row>
    <row r="683" spans="1:6" x14ac:dyDescent="0.45">
      <c r="A683" t="s">
        <v>835</v>
      </c>
      <c r="B683" t="s">
        <v>876</v>
      </c>
      <c r="C683">
        <v>57218847212</v>
      </c>
      <c r="D683">
        <v>57223796303</v>
      </c>
      <c r="E683">
        <v>78</v>
      </c>
      <c r="F683" t="s">
        <v>1197</v>
      </c>
    </row>
    <row r="684" spans="1:6" x14ac:dyDescent="0.45">
      <c r="A684" t="s">
        <v>877</v>
      </c>
      <c r="B684" t="s">
        <v>878</v>
      </c>
      <c r="C684">
        <v>56963658300</v>
      </c>
      <c r="D684">
        <v>57226687130</v>
      </c>
      <c r="E684">
        <v>77</v>
      </c>
      <c r="F684" t="s">
        <v>1197</v>
      </c>
    </row>
    <row r="685" spans="1:6" x14ac:dyDescent="0.45">
      <c r="A685" t="s">
        <v>848</v>
      </c>
      <c r="B685" t="s">
        <v>879</v>
      </c>
      <c r="C685">
        <v>59077181200</v>
      </c>
      <c r="D685">
        <v>57224678034</v>
      </c>
      <c r="E685">
        <v>77</v>
      </c>
      <c r="F685" t="s">
        <v>1197</v>
      </c>
    </row>
    <row r="686" spans="1:6" x14ac:dyDescent="0.45">
      <c r="A686" t="s">
        <v>880</v>
      </c>
      <c r="B686" t="s">
        <v>881</v>
      </c>
      <c r="C686">
        <v>57214307868</v>
      </c>
      <c r="D686">
        <v>18438063200</v>
      </c>
      <c r="E686">
        <v>78</v>
      </c>
      <c r="F686" t="s">
        <v>1197</v>
      </c>
    </row>
    <row r="687" spans="1:6" x14ac:dyDescent="0.45">
      <c r="A687" t="s">
        <v>882</v>
      </c>
      <c r="B687" t="s">
        <v>883</v>
      </c>
      <c r="C687">
        <v>57209473457</v>
      </c>
      <c r="D687">
        <v>58076956700</v>
      </c>
      <c r="E687">
        <v>90</v>
      </c>
      <c r="F687" t="s">
        <v>1197</v>
      </c>
    </row>
    <row r="688" spans="1:6" x14ac:dyDescent="0.45">
      <c r="A688" t="s">
        <v>884</v>
      </c>
      <c r="B688" t="s">
        <v>885</v>
      </c>
      <c r="C688">
        <v>57203210763</v>
      </c>
      <c r="D688">
        <v>59444806000</v>
      </c>
      <c r="E688">
        <v>78</v>
      </c>
      <c r="F688" t="s">
        <v>1197</v>
      </c>
    </row>
    <row r="689" spans="1:6" x14ac:dyDescent="0.45">
      <c r="A689" t="s">
        <v>884</v>
      </c>
      <c r="B689" t="s">
        <v>886</v>
      </c>
      <c r="C689">
        <v>57203210763</v>
      </c>
      <c r="D689">
        <v>58153782700</v>
      </c>
      <c r="E689">
        <v>75</v>
      </c>
      <c r="F689" t="s">
        <v>1197</v>
      </c>
    </row>
    <row r="690" spans="1:6" x14ac:dyDescent="0.45">
      <c r="A690" t="s">
        <v>887</v>
      </c>
      <c r="B690" t="s">
        <v>888</v>
      </c>
      <c r="C690">
        <v>57222030085</v>
      </c>
      <c r="D690">
        <v>59167360700</v>
      </c>
      <c r="E690">
        <v>75</v>
      </c>
      <c r="F690" t="s">
        <v>1197</v>
      </c>
    </row>
    <row r="691" spans="1:6" x14ac:dyDescent="0.45">
      <c r="A691" t="s">
        <v>889</v>
      </c>
      <c r="B691" t="s">
        <v>890</v>
      </c>
      <c r="C691">
        <v>57079535100</v>
      </c>
      <c r="D691">
        <v>57203857150</v>
      </c>
      <c r="E691">
        <v>81</v>
      </c>
      <c r="F691" t="s">
        <v>1197</v>
      </c>
    </row>
    <row r="692" spans="1:6" x14ac:dyDescent="0.45">
      <c r="A692" t="s">
        <v>891</v>
      </c>
      <c r="B692" t="s">
        <v>892</v>
      </c>
      <c r="C692">
        <v>57199455286</v>
      </c>
      <c r="D692">
        <v>7202198453</v>
      </c>
      <c r="E692">
        <v>76</v>
      </c>
      <c r="F692" t="s">
        <v>1197</v>
      </c>
    </row>
    <row r="693" spans="1:6" x14ac:dyDescent="0.45">
      <c r="A693" t="s">
        <v>893</v>
      </c>
      <c r="B693" t="s">
        <v>894</v>
      </c>
      <c r="C693">
        <v>7410290815</v>
      </c>
      <c r="D693">
        <v>57740474400</v>
      </c>
      <c r="E693">
        <v>77</v>
      </c>
      <c r="F693" t="s">
        <v>1197</v>
      </c>
    </row>
    <row r="694" spans="1:6" x14ac:dyDescent="0.45">
      <c r="A694" t="s">
        <v>893</v>
      </c>
      <c r="B694" t="s">
        <v>895</v>
      </c>
      <c r="C694">
        <v>7410290815</v>
      </c>
      <c r="D694">
        <v>59673952400</v>
      </c>
      <c r="E694">
        <v>76</v>
      </c>
      <c r="F694" t="s">
        <v>1197</v>
      </c>
    </row>
    <row r="695" spans="1:6" x14ac:dyDescent="0.45">
      <c r="A695" t="s">
        <v>896</v>
      </c>
      <c r="B695" t="s">
        <v>897</v>
      </c>
      <c r="C695">
        <v>58677312100</v>
      </c>
      <c r="D695">
        <v>57997738900</v>
      </c>
      <c r="E695">
        <v>96</v>
      </c>
      <c r="F695" t="s">
        <v>1196</v>
      </c>
    </row>
    <row r="696" spans="1:6" x14ac:dyDescent="0.45">
      <c r="A696" t="s">
        <v>898</v>
      </c>
      <c r="B696" t="s">
        <v>899</v>
      </c>
      <c r="C696">
        <v>57210980750</v>
      </c>
      <c r="D696">
        <v>57210188214</v>
      </c>
      <c r="E696">
        <v>76</v>
      </c>
      <c r="F696" t="s">
        <v>1197</v>
      </c>
    </row>
    <row r="697" spans="1:6" x14ac:dyDescent="0.45">
      <c r="A697" t="s">
        <v>900</v>
      </c>
      <c r="B697" t="s">
        <v>901</v>
      </c>
      <c r="C697">
        <v>23482649600</v>
      </c>
      <c r="D697">
        <v>57213901990</v>
      </c>
      <c r="E697">
        <v>77</v>
      </c>
      <c r="F697" t="s">
        <v>1197</v>
      </c>
    </row>
    <row r="698" spans="1:6" x14ac:dyDescent="0.45">
      <c r="A698" t="s">
        <v>900</v>
      </c>
      <c r="B698" t="s">
        <v>902</v>
      </c>
      <c r="C698">
        <v>23482649600</v>
      </c>
      <c r="D698">
        <v>59419227700</v>
      </c>
      <c r="E698">
        <v>83</v>
      </c>
      <c r="F698" t="s">
        <v>1197</v>
      </c>
    </row>
    <row r="699" spans="1:6" x14ac:dyDescent="0.45">
      <c r="A699" t="s">
        <v>903</v>
      </c>
      <c r="B699" t="s">
        <v>904</v>
      </c>
      <c r="C699">
        <v>7004861058</v>
      </c>
      <c r="D699">
        <v>57440822900</v>
      </c>
      <c r="E699">
        <v>80</v>
      </c>
      <c r="F699" t="s">
        <v>1197</v>
      </c>
    </row>
    <row r="700" spans="1:6" x14ac:dyDescent="0.45">
      <c r="A700" t="s">
        <v>905</v>
      </c>
      <c r="B700" t="s">
        <v>876</v>
      </c>
      <c r="C700">
        <v>56070983900</v>
      </c>
      <c r="D700">
        <v>57223796303</v>
      </c>
      <c r="E700">
        <v>78</v>
      </c>
      <c r="F700" t="s">
        <v>1197</v>
      </c>
    </row>
    <row r="701" spans="1:6" x14ac:dyDescent="0.45">
      <c r="A701" s="2" t="s">
        <v>901</v>
      </c>
      <c r="B701" s="2" t="s">
        <v>906</v>
      </c>
      <c r="C701" s="2">
        <v>57213901990</v>
      </c>
      <c r="D701" s="2">
        <v>57221850092</v>
      </c>
      <c r="E701" s="2">
        <v>77</v>
      </c>
      <c r="F701" t="s">
        <v>1197</v>
      </c>
    </row>
    <row r="702" spans="1:6" x14ac:dyDescent="0.45">
      <c r="A702" t="s">
        <v>907</v>
      </c>
      <c r="B702" t="s">
        <v>908</v>
      </c>
      <c r="C702">
        <v>57219268058</v>
      </c>
      <c r="D702">
        <v>58745609600</v>
      </c>
      <c r="E702">
        <v>76</v>
      </c>
      <c r="F702" t="s">
        <v>1197</v>
      </c>
    </row>
    <row r="703" spans="1:6" x14ac:dyDescent="0.45">
      <c r="A703" t="s">
        <v>909</v>
      </c>
      <c r="B703" t="s">
        <v>910</v>
      </c>
      <c r="C703">
        <v>56958441500</v>
      </c>
      <c r="D703">
        <v>58475382800</v>
      </c>
      <c r="E703">
        <v>75</v>
      </c>
      <c r="F703" t="s">
        <v>1197</v>
      </c>
    </row>
    <row r="704" spans="1:6" x14ac:dyDescent="0.45">
      <c r="A704" t="s">
        <v>911</v>
      </c>
      <c r="B704" t="s">
        <v>912</v>
      </c>
      <c r="C704">
        <v>59331322000</v>
      </c>
      <c r="D704">
        <v>58101663500</v>
      </c>
      <c r="E704">
        <v>78</v>
      </c>
      <c r="F704" t="s">
        <v>1197</v>
      </c>
    </row>
    <row r="705" spans="1:6" x14ac:dyDescent="0.45">
      <c r="A705" t="s">
        <v>911</v>
      </c>
      <c r="B705" t="s">
        <v>913</v>
      </c>
      <c r="C705">
        <v>59331322000</v>
      </c>
      <c r="D705">
        <v>58290657600</v>
      </c>
      <c r="E705">
        <v>90</v>
      </c>
      <c r="F705" t="s">
        <v>1196</v>
      </c>
    </row>
    <row r="706" spans="1:6" x14ac:dyDescent="0.45">
      <c r="A706" t="s">
        <v>911</v>
      </c>
      <c r="B706" t="s">
        <v>914</v>
      </c>
      <c r="C706">
        <v>59331322000</v>
      </c>
      <c r="D706">
        <v>57788453900</v>
      </c>
      <c r="E706">
        <v>75</v>
      </c>
      <c r="F706" t="s">
        <v>1196</v>
      </c>
    </row>
    <row r="707" spans="1:6" x14ac:dyDescent="0.45">
      <c r="A707" t="s">
        <v>885</v>
      </c>
      <c r="B707" t="s">
        <v>915</v>
      </c>
      <c r="C707">
        <v>59444806000</v>
      </c>
      <c r="D707">
        <v>17345491900</v>
      </c>
      <c r="E707">
        <v>76</v>
      </c>
      <c r="F707" t="s">
        <v>1197</v>
      </c>
    </row>
    <row r="708" spans="1:6" x14ac:dyDescent="0.45">
      <c r="A708" t="s">
        <v>899</v>
      </c>
      <c r="B708" t="s">
        <v>916</v>
      </c>
      <c r="C708">
        <v>57210188214</v>
      </c>
      <c r="D708">
        <v>58238313800</v>
      </c>
      <c r="E708">
        <v>80</v>
      </c>
      <c r="F708" t="s">
        <v>1197</v>
      </c>
    </row>
    <row r="709" spans="1:6" x14ac:dyDescent="0.45">
      <c r="A709" t="s">
        <v>849</v>
      </c>
      <c r="B709" t="s">
        <v>917</v>
      </c>
      <c r="C709">
        <v>57199073910</v>
      </c>
      <c r="D709">
        <v>59277392100</v>
      </c>
      <c r="E709">
        <v>82</v>
      </c>
      <c r="F709" t="s">
        <v>1197</v>
      </c>
    </row>
    <row r="710" spans="1:6" x14ac:dyDescent="0.45">
      <c r="A710" t="s">
        <v>878</v>
      </c>
      <c r="B710" t="s">
        <v>918</v>
      </c>
      <c r="C710">
        <v>57226687130</v>
      </c>
      <c r="D710">
        <v>57219541746</v>
      </c>
      <c r="E710">
        <v>80</v>
      </c>
      <c r="F710" t="s">
        <v>1197</v>
      </c>
    </row>
    <row r="711" spans="1:6" x14ac:dyDescent="0.45">
      <c r="A711" t="s">
        <v>919</v>
      </c>
      <c r="B711" t="s">
        <v>920</v>
      </c>
      <c r="C711">
        <v>59114739500</v>
      </c>
      <c r="D711">
        <v>57210800828</v>
      </c>
      <c r="E711">
        <v>77</v>
      </c>
      <c r="F711" t="s">
        <v>1197</v>
      </c>
    </row>
    <row r="712" spans="1:6" x14ac:dyDescent="0.45">
      <c r="A712" t="s">
        <v>864</v>
      </c>
      <c r="B712" t="s">
        <v>921</v>
      </c>
      <c r="C712">
        <v>57523783300</v>
      </c>
      <c r="D712">
        <v>57983073000</v>
      </c>
      <c r="E712">
        <v>75</v>
      </c>
      <c r="F712" t="s">
        <v>1197</v>
      </c>
    </row>
    <row r="713" spans="1:6" x14ac:dyDescent="0.45">
      <c r="A713" t="s">
        <v>906</v>
      </c>
      <c r="B713" t="s">
        <v>922</v>
      </c>
      <c r="C713">
        <v>57221850092</v>
      </c>
      <c r="D713">
        <v>59403278200</v>
      </c>
      <c r="E713">
        <v>76</v>
      </c>
      <c r="F713" t="s">
        <v>1197</v>
      </c>
    </row>
    <row r="714" spans="1:6" x14ac:dyDescent="0.45">
      <c r="A714" t="s">
        <v>923</v>
      </c>
      <c r="B714" t="s">
        <v>924</v>
      </c>
      <c r="C714">
        <v>58874281100</v>
      </c>
      <c r="D714">
        <v>57222868351</v>
      </c>
      <c r="E714">
        <v>81</v>
      </c>
      <c r="F714" t="s">
        <v>1197</v>
      </c>
    </row>
    <row r="715" spans="1:6" x14ac:dyDescent="0.45">
      <c r="A715" t="s">
        <v>925</v>
      </c>
      <c r="B715" t="s">
        <v>926</v>
      </c>
      <c r="C715">
        <v>58730521700</v>
      </c>
      <c r="D715">
        <v>57200378048</v>
      </c>
      <c r="E715">
        <v>75</v>
      </c>
      <c r="F715" t="s">
        <v>1197</v>
      </c>
    </row>
    <row r="716" spans="1:6" x14ac:dyDescent="0.45">
      <c r="A716" t="s">
        <v>886</v>
      </c>
      <c r="B716" t="s">
        <v>927</v>
      </c>
      <c r="C716">
        <v>58153782700</v>
      </c>
      <c r="D716">
        <v>56706695700</v>
      </c>
      <c r="E716">
        <v>87</v>
      </c>
      <c r="F716" t="s">
        <v>1197</v>
      </c>
    </row>
    <row r="717" spans="1:6" x14ac:dyDescent="0.45">
      <c r="A717" t="s">
        <v>928</v>
      </c>
      <c r="B717" t="s">
        <v>929</v>
      </c>
      <c r="C717">
        <v>57894855100</v>
      </c>
      <c r="D717">
        <v>58187878100</v>
      </c>
      <c r="E717">
        <v>98</v>
      </c>
      <c r="F717" t="s">
        <v>1196</v>
      </c>
    </row>
    <row r="718" spans="1:6" x14ac:dyDescent="0.45">
      <c r="A718" t="s">
        <v>930</v>
      </c>
      <c r="B718" t="s">
        <v>876</v>
      </c>
      <c r="C718">
        <v>57955378400</v>
      </c>
      <c r="D718">
        <v>57223796303</v>
      </c>
      <c r="E718">
        <v>87</v>
      </c>
      <c r="F718" t="s">
        <v>1197</v>
      </c>
    </row>
    <row r="719" spans="1:6" x14ac:dyDescent="0.45">
      <c r="A719" t="s">
        <v>913</v>
      </c>
      <c r="B719" t="s">
        <v>914</v>
      </c>
      <c r="C719">
        <v>58290657600</v>
      </c>
      <c r="D719">
        <v>57788453900</v>
      </c>
      <c r="E719">
        <v>85</v>
      </c>
      <c r="F719" t="s">
        <v>1196</v>
      </c>
    </row>
    <row r="720" spans="1:6" x14ac:dyDescent="0.45">
      <c r="A720" t="s">
        <v>931</v>
      </c>
      <c r="B720" t="s">
        <v>932</v>
      </c>
      <c r="C720">
        <v>59203658200</v>
      </c>
      <c r="D720">
        <v>56375618200</v>
      </c>
      <c r="E720">
        <v>76</v>
      </c>
      <c r="F720" t="s">
        <v>1197</v>
      </c>
    </row>
    <row r="721" spans="1:6" x14ac:dyDescent="0.45">
      <c r="A721" t="s">
        <v>933</v>
      </c>
      <c r="B721" t="s">
        <v>934</v>
      </c>
      <c r="C721">
        <v>57765582200</v>
      </c>
      <c r="D721">
        <v>58017950200</v>
      </c>
      <c r="E721">
        <v>75</v>
      </c>
      <c r="F721" t="s">
        <v>1197</v>
      </c>
    </row>
    <row r="722" spans="1:6" x14ac:dyDescent="0.45">
      <c r="A722" t="s">
        <v>935</v>
      </c>
      <c r="B722" t="s">
        <v>936</v>
      </c>
      <c r="C722">
        <v>59586882700</v>
      </c>
      <c r="D722">
        <v>7402560857</v>
      </c>
      <c r="E722">
        <v>78</v>
      </c>
      <c r="F722" t="s">
        <v>1197</v>
      </c>
    </row>
    <row r="723" spans="1:6" x14ac:dyDescent="0.45">
      <c r="A723" t="s">
        <v>937</v>
      </c>
      <c r="B723" t="s">
        <v>938</v>
      </c>
      <c r="C723">
        <v>55730132400</v>
      </c>
      <c r="D723">
        <v>56327680200</v>
      </c>
      <c r="E723">
        <v>81</v>
      </c>
      <c r="F723" t="s">
        <v>1197</v>
      </c>
    </row>
    <row r="724" spans="1:6" x14ac:dyDescent="0.45">
      <c r="A724" t="s">
        <v>937</v>
      </c>
      <c r="B724" t="s">
        <v>939</v>
      </c>
      <c r="C724">
        <v>55730132400</v>
      </c>
      <c r="D724">
        <v>57225884119</v>
      </c>
      <c r="E724">
        <v>77</v>
      </c>
      <c r="F724" t="s">
        <v>1197</v>
      </c>
    </row>
    <row r="725" spans="1:6" x14ac:dyDescent="0.45">
      <c r="A725" t="s">
        <v>940</v>
      </c>
      <c r="B725" t="s">
        <v>939</v>
      </c>
      <c r="C725">
        <v>55481796400</v>
      </c>
      <c r="D725">
        <v>57225884119</v>
      </c>
      <c r="E725">
        <v>87</v>
      </c>
      <c r="F725" t="s">
        <v>1197</v>
      </c>
    </row>
    <row r="726" spans="1:6" x14ac:dyDescent="0.45">
      <c r="A726" t="s">
        <v>940</v>
      </c>
      <c r="B726" t="s">
        <v>941</v>
      </c>
      <c r="C726">
        <v>55481796400</v>
      </c>
      <c r="D726">
        <v>57198912866</v>
      </c>
      <c r="E726">
        <v>75</v>
      </c>
      <c r="F726" t="s">
        <v>1197</v>
      </c>
    </row>
    <row r="727" spans="1:6" x14ac:dyDescent="0.45">
      <c r="A727" t="s">
        <v>942</v>
      </c>
      <c r="B727" t="s">
        <v>943</v>
      </c>
      <c r="C727">
        <v>57207778078</v>
      </c>
      <c r="D727">
        <v>57189662898</v>
      </c>
      <c r="E727">
        <v>78</v>
      </c>
      <c r="F727" t="s">
        <v>1197</v>
      </c>
    </row>
    <row r="728" spans="1:6" x14ac:dyDescent="0.45">
      <c r="A728" t="s">
        <v>944</v>
      </c>
      <c r="B728" t="s">
        <v>945</v>
      </c>
      <c r="C728">
        <v>17436214000</v>
      </c>
      <c r="D728">
        <v>57219942757</v>
      </c>
      <c r="E728">
        <v>84</v>
      </c>
      <c r="F728" t="s">
        <v>1196</v>
      </c>
    </row>
    <row r="729" spans="1:6" x14ac:dyDescent="0.45">
      <c r="A729" t="s">
        <v>944</v>
      </c>
      <c r="B729" t="s">
        <v>946</v>
      </c>
      <c r="C729">
        <v>17436214000</v>
      </c>
      <c r="D729">
        <v>58196547100</v>
      </c>
      <c r="E729">
        <v>80</v>
      </c>
      <c r="F729" t="s">
        <v>1196</v>
      </c>
    </row>
    <row r="730" spans="1:6" x14ac:dyDescent="0.45">
      <c r="A730" t="s">
        <v>947</v>
      </c>
      <c r="B730" t="s">
        <v>948</v>
      </c>
      <c r="C730">
        <v>55727328700</v>
      </c>
      <c r="D730">
        <v>57966537000</v>
      </c>
      <c r="E730">
        <v>87</v>
      </c>
      <c r="F730" t="s">
        <v>1196</v>
      </c>
    </row>
    <row r="731" spans="1:6" x14ac:dyDescent="0.45">
      <c r="A731" t="s">
        <v>949</v>
      </c>
      <c r="B731" t="s">
        <v>950</v>
      </c>
      <c r="C731">
        <v>35109792700</v>
      </c>
      <c r="D731">
        <v>54403980500</v>
      </c>
      <c r="E731">
        <v>79</v>
      </c>
      <c r="F731" t="s">
        <v>1197</v>
      </c>
    </row>
    <row r="732" spans="1:6" x14ac:dyDescent="0.45">
      <c r="A732" t="s">
        <v>945</v>
      </c>
      <c r="B732" t="s">
        <v>946</v>
      </c>
      <c r="C732">
        <v>57219942757</v>
      </c>
      <c r="D732">
        <v>58196547100</v>
      </c>
      <c r="E732">
        <v>94</v>
      </c>
      <c r="F732" t="s">
        <v>1196</v>
      </c>
    </row>
    <row r="733" spans="1:6" x14ac:dyDescent="0.45">
      <c r="A733" t="s">
        <v>951</v>
      </c>
      <c r="B733" t="s">
        <v>952</v>
      </c>
      <c r="C733">
        <v>57192395903</v>
      </c>
      <c r="D733">
        <v>57189233669</v>
      </c>
      <c r="E733">
        <v>78</v>
      </c>
      <c r="F733" t="s">
        <v>1197</v>
      </c>
    </row>
    <row r="734" spans="1:6" x14ac:dyDescent="0.45">
      <c r="A734" t="s">
        <v>951</v>
      </c>
      <c r="B734" t="s">
        <v>953</v>
      </c>
      <c r="C734">
        <v>57192395903</v>
      </c>
      <c r="D734">
        <v>58968378700</v>
      </c>
      <c r="E734">
        <v>84</v>
      </c>
      <c r="F734" t="s">
        <v>1197</v>
      </c>
    </row>
    <row r="735" spans="1:6" x14ac:dyDescent="0.45">
      <c r="A735" t="s">
        <v>954</v>
      </c>
      <c r="B735" t="s">
        <v>955</v>
      </c>
      <c r="C735">
        <v>57208091149</v>
      </c>
      <c r="D735">
        <v>57221226659</v>
      </c>
      <c r="E735">
        <v>82</v>
      </c>
      <c r="F735" t="s">
        <v>1197</v>
      </c>
    </row>
    <row r="736" spans="1:6" x14ac:dyDescent="0.45">
      <c r="A736" t="s">
        <v>956</v>
      </c>
      <c r="B736" t="s">
        <v>957</v>
      </c>
      <c r="C736">
        <v>57221028264</v>
      </c>
      <c r="D736">
        <v>57234373700</v>
      </c>
      <c r="E736">
        <v>78</v>
      </c>
      <c r="F736" t="s">
        <v>1197</v>
      </c>
    </row>
    <row r="737" spans="1:6" x14ac:dyDescent="0.45">
      <c r="A737" t="s">
        <v>958</v>
      </c>
      <c r="B737" t="s">
        <v>959</v>
      </c>
      <c r="C737">
        <v>12344857100</v>
      </c>
      <c r="D737">
        <v>57216850907</v>
      </c>
      <c r="E737">
        <v>77</v>
      </c>
      <c r="F737" t="s">
        <v>1197</v>
      </c>
    </row>
    <row r="738" spans="1:6" x14ac:dyDescent="0.45">
      <c r="A738" t="s">
        <v>960</v>
      </c>
      <c r="B738" t="s">
        <v>941</v>
      </c>
      <c r="C738">
        <v>56909615000</v>
      </c>
      <c r="D738">
        <v>57198912866</v>
      </c>
      <c r="E738">
        <v>81</v>
      </c>
      <c r="F738" t="s">
        <v>1197</v>
      </c>
    </row>
    <row r="739" spans="1:6" x14ac:dyDescent="0.45">
      <c r="A739" t="s">
        <v>961</v>
      </c>
      <c r="B739" t="s">
        <v>962</v>
      </c>
      <c r="C739">
        <v>57866275800</v>
      </c>
      <c r="D739">
        <v>58520690600</v>
      </c>
      <c r="E739">
        <v>80</v>
      </c>
      <c r="F739" t="s">
        <v>1197</v>
      </c>
    </row>
    <row r="740" spans="1:6" x14ac:dyDescent="0.45">
      <c r="A740" t="s">
        <v>963</v>
      </c>
      <c r="B740" t="s">
        <v>964</v>
      </c>
      <c r="C740">
        <v>57224714592</v>
      </c>
      <c r="D740">
        <v>57205651253</v>
      </c>
      <c r="E740">
        <v>75</v>
      </c>
      <c r="F740" t="s">
        <v>1197</v>
      </c>
    </row>
    <row r="741" spans="1:6" x14ac:dyDescent="0.45">
      <c r="A741" t="s">
        <v>965</v>
      </c>
      <c r="B741" t="s">
        <v>966</v>
      </c>
      <c r="C741">
        <v>57224738689</v>
      </c>
      <c r="D741">
        <v>57208562076</v>
      </c>
      <c r="E741">
        <v>76</v>
      </c>
      <c r="F741" t="s">
        <v>1196</v>
      </c>
    </row>
    <row r="742" spans="1:6" x14ac:dyDescent="0.45">
      <c r="A742" t="s">
        <v>967</v>
      </c>
      <c r="B742" t="s">
        <v>968</v>
      </c>
      <c r="C742">
        <v>57219292286</v>
      </c>
      <c r="D742">
        <v>57214823165</v>
      </c>
      <c r="E742">
        <v>96</v>
      </c>
      <c r="F742" t="s">
        <v>1196</v>
      </c>
    </row>
    <row r="743" spans="1:6" x14ac:dyDescent="0.45">
      <c r="A743" t="s">
        <v>943</v>
      </c>
      <c r="B743" t="s">
        <v>962</v>
      </c>
      <c r="C743">
        <v>57189662898</v>
      </c>
      <c r="D743">
        <v>58520690600</v>
      </c>
      <c r="E743">
        <v>76</v>
      </c>
      <c r="F743" t="s">
        <v>1197</v>
      </c>
    </row>
    <row r="744" spans="1:6" x14ac:dyDescent="0.45">
      <c r="A744" t="s">
        <v>969</v>
      </c>
      <c r="B744" t="s">
        <v>970</v>
      </c>
      <c r="C744">
        <v>57217129575</v>
      </c>
      <c r="D744">
        <v>57383215700</v>
      </c>
      <c r="E744">
        <v>96</v>
      </c>
      <c r="F744" t="s">
        <v>1197</v>
      </c>
    </row>
    <row r="745" spans="1:6" x14ac:dyDescent="0.45">
      <c r="A745" t="s">
        <v>969</v>
      </c>
      <c r="B745" t="s">
        <v>971</v>
      </c>
      <c r="C745">
        <v>57217129575</v>
      </c>
      <c r="D745">
        <v>58197449700</v>
      </c>
      <c r="E745">
        <v>77</v>
      </c>
      <c r="F745" t="s">
        <v>1197</v>
      </c>
    </row>
    <row r="746" spans="1:6" x14ac:dyDescent="0.45">
      <c r="A746" t="s">
        <v>972</v>
      </c>
      <c r="B746" t="s">
        <v>962</v>
      </c>
      <c r="C746">
        <v>57212614266</v>
      </c>
      <c r="D746">
        <v>58520690600</v>
      </c>
      <c r="E746">
        <v>80</v>
      </c>
      <c r="F746" t="s">
        <v>1197</v>
      </c>
    </row>
    <row r="747" spans="1:6" x14ac:dyDescent="0.45">
      <c r="A747" t="s">
        <v>972</v>
      </c>
      <c r="B747" t="s">
        <v>973</v>
      </c>
      <c r="C747">
        <v>57212614266</v>
      </c>
      <c r="D747">
        <v>57203408641</v>
      </c>
      <c r="E747">
        <v>76</v>
      </c>
      <c r="F747" t="s">
        <v>1197</v>
      </c>
    </row>
    <row r="748" spans="1:6" x14ac:dyDescent="0.45">
      <c r="A748" t="s">
        <v>962</v>
      </c>
      <c r="B748" t="s">
        <v>974</v>
      </c>
      <c r="C748">
        <v>58520690600</v>
      </c>
      <c r="D748">
        <v>55726699700</v>
      </c>
      <c r="E748">
        <v>82</v>
      </c>
      <c r="F748" t="s">
        <v>1197</v>
      </c>
    </row>
    <row r="749" spans="1:6" x14ac:dyDescent="0.45">
      <c r="A749" t="s">
        <v>975</v>
      </c>
      <c r="B749" t="s">
        <v>976</v>
      </c>
      <c r="C749">
        <v>57202210416</v>
      </c>
      <c r="D749">
        <v>57194332415</v>
      </c>
      <c r="E749">
        <v>77</v>
      </c>
      <c r="F749" t="s">
        <v>1197</v>
      </c>
    </row>
    <row r="750" spans="1:6" x14ac:dyDescent="0.45">
      <c r="A750" t="s">
        <v>977</v>
      </c>
      <c r="B750" t="s">
        <v>978</v>
      </c>
      <c r="C750">
        <v>57196029837</v>
      </c>
      <c r="D750">
        <v>57211444621</v>
      </c>
      <c r="E750">
        <v>98</v>
      </c>
      <c r="F750" t="s">
        <v>1196</v>
      </c>
    </row>
    <row r="751" spans="1:6" x14ac:dyDescent="0.45">
      <c r="A751" t="s">
        <v>979</v>
      </c>
      <c r="B751" t="s">
        <v>980</v>
      </c>
      <c r="C751">
        <v>24178542700</v>
      </c>
      <c r="D751">
        <v>58917995400</v>
      </c>
      <c r="E751">
        <v>95</v>
      </c>
      <c r="F751" t="s">
        <v>1196</v>
      </c>
    </row>
    <row r="752" spans="1:6" x14ac:dyDescent="0.45">
      <c r="A752" t="s">
        <v>981</v>
      </c>
      <c r="B752" t="s">
        <v>982</v>
      </c>
      <c r="C752">
        <v>55768611600</v>
      </c>
      <c r="D752">
        <v>55833173500</v>
      </c>
      <c r="E752">
        <v>86</v>
      </c>
      <c r="F752" t="s">
        <v>1197</v>
      </c>
    </row>
    <row r="753" spans="1:6" x14ac:dyDescent="0.45">
      <c r="A753" t="s">
        <v>983</v>
      </c>
      <c r="B753" t="s">
        <v>984</v>
      </c>
      <c r="C753">
        <v>55878723400</v>
      </c>
      <c r="D753">
        <v>55699245700</v>
      </c>
      <c r="E753">
        <v>76</v>
      </c>
      <c r="F753" t="s">
        <v>1197</v>
      </c>
    </row>
    <row r="754" spans="1:6" x14ac:dyDescent="0.45">
      <c r="A754" t="s">
        <v>983</v>
      </c>
      <c r="B754" t="s">
        <v>985</v>
      </c>
      <c r="C754">
        <v>55878723400</v>
      </c>
      <c r="D754">
        <v>57226131863</v>
      </c>
      <c r="E754">
        <v>80</v>
      </c>
      <c r="F754" t="s">
        <v>1197</v>
      </c>
    </row>
    <row r="755" spans="1:6" x14ac:dyDescent="0.45">
      <c r="A755" t="s">
        <v>986</v>
      </c>
      <c r="B755" t="s">
        <v>987</v>
      </c>
      <c r="C755">
        <v>57193508488</v>
      </c>
      <c r="D755">
        <v>57283910800</v>
      </c>
      <c r="E755">
        <v>79</v>
      </c>
      <c r="F755" t="s">
        <v>1197</v>
      </c>
    </row>
    <row r="756" spans="1:6" x14ac:dyDescent="0.45">
      <c r="A756" t="s">
        <v>988</v>
      </c>
      <c r="B756" t="s">
        <v>989</v>
      </c>
      <c r="C756">
        <v>52264998100</v>
      </c>
      <c r="D756">
        <v>57201917282</v>
      </c>
      <c r="E756">
        <v>79</v>
      </c>
      <c r="F756" t="s">
        <v>1197</v>
      </c>
    </row>
    <row r="757" spans="1:6" x14ac:dyDescent="0.45">
      <c r="A757" t="s">
        <v>988</v>
      </c>
      <c r="B757" t="s">
        <v>990</v>
      </c>
      <c r="C757">
        <v>52264998100</v>
      </c>
      <c r="D757">
        <v>57216315221</v>
      </c>
      <c r="E757">
        <v>87</v>
      </c>
      <c r="F757" t="s">
        <v>1197</v>
      </c>
    </row>
    <row r="758" spans="1:6" x14ac:dyDescent="0.45">
      <c r="A758" t="s">
        <v>988</v>
      </c>
      <c r="B758" t="s">
        <v>991</v>
      </c>
      <c r="C758">
        <v>52264998100</v>
      </c>
      <c r="D758">
        <v>57206601221</v>
      </c>
      <c r="E758">
        <v>79</v>
      </c>
      <c r="F758" t="s">
        <v>1197</v>
      </c>
    </row>
    <row r="759" spans="1:6" x14ac:dyDescent="0.45">
      <c r="A759" t="s">
        <v>992</v>
      </c>
      <c r="B759" t="s">
        <v>993</v>
      </c>
      <c r="C759">
        <v>38863309000</v>
      </c>
      <c r="D759">
        <v>59537723600</v>
      </c>
      <c r="E759">
        <v>76</v>
      </c>
      <c r="F759" t="s">
        <v>1197</v>
      </c>
    </row>
    <row r="760" spans="1:6" x14ac:dyDescent="0.45">
      <c r="A760" t="s">
        <v>984</v>
      </c>
      <c r="B760" t="s">
        <v>985</v>
      </c>
      <c r="C760">
        <v>55699245700</v>
      </c>
      <c r="D760">
        <v>57226131863</v>
      </c>
      <c r="E760">
        <v>75</v>
      </c>
      <c r="F760" t="s">
        <v>1197</v>
      </c>
    </row>
    <row r="761" spans="1:6" x14ac:dyDescent="0.45">
      <c r="A761" t="s">
        <v>989</v>
      </c>
      <c r="B761" t="s">
        <v>994</v>
      </c>
      <c r="C761">
        <v>57201917282</v>
      </c>
      <c r="D761">
        <v>58653787300</v>
      </c>
      <c r="E761">
        <v>75</v>
      </c>
      <c r="F761" t="s">
        <v>1197</v>
      </c>
    </row>
    <row r="762" spans="1:6" x14ac:dyDescent="0.45">
      <c r="A762" t="s">
        <v>989</v>
      </c>
      <c r="B762" t="s">
        <v>990</v>
      </c>
      <c r="C762">
        <v>57201917282</v>
      </c>
      <c r="D762">
        <v>57216315221</v>
      </c>
      <c r="E762">
        <v>86</v>
      </c>
      <c r="F762" t="s">
        <v>1197</v>
      </c>
    </row>
    <row r="763" spans="1:6" x14ac:dyDescent="0.45">
      <c r="A763" t="s">
        <v>989</v>
      </c>
      <c r="B763" t="s">
        <v>995</v>
      </c>
      <c r="C763">
        <v>57201917282</v>
      </c>
      <c r="D763">
        <v>58097854500</v>
      </c>
      <c r="E763">
        <v>76</v>
      </c>
      <c r="F763" t="s">
        <v>1197</v>
      </c>
    </row>
    <row r="764" spans="1:6" x14ac:dyDescent="0.45">
      <c r="A764" t="s">
        <v>989</v>
      </c>
      <c r="B764" t="s">
        <v>996</v>
      </c>
      <c r="C764">
        <v>57201917282</v>
      </c>
      <c r="D764">
        <v>59773982900</v>
      </c>
      <c r="E764">
        <v>75</v>
      </c>
      <c r="F764" t="s">
        <v>1197</v>
      </c>
    </row>
    <row r="765" spans="1:6" x14ac:dyDescent="0.45">
      <c r="A765" t="s">
        <v>997</v>
      </c>
      <c r="B765" t="s">
        <v>998</v>
      </c>
      <c r="C765">
        <v>56585324000</v>
      </c>
      <c r="D765">
        <v>57188933017</v>
      </c>
      <c r="E765">
        <v>75</v>
      </c>
      <c r="F765" t="s">
        <v>1197</v>
      </c>
    </row>
    <row r="766" spans="1:6" x14ac:dyDescent="0.45">
      <c r="A766" t="s">
        <v>999</v>
      </c>
      <c r="B766" t="s">
        <v>1000</v>
      </c>
      <c r="C766">
        <v>57200444598</v>
      </c>
      <c r="D766">
        <v>57651849600</v>
      </c>
      <c r="E766">
        <v>83</v>
      </c>
      <c r="F766" t="s">
        <v>1197</v>
      </c>
    </row>
    <row r="767" spans="1:6" x14ac:dyDescent="0.45">
      <c r="A767" t="s">
        <v>1001</v>
      </c>
      <c r="B767" t="s">
        <v>1002</v>
      </c>
      <c r="C767">
        <v>57205341535</v>
      </c>
      <c r="D767">
        <v>57203011980</v>
      </c>
      <c r="E767">
        <v>76</v>
      </c>
      <c r="F767" t="s">
        <v>1197</v>
      </c>
    </row>
    <row r="768" spans="1:6" x14ac:dyDescent="0.45">
      <c r="A768" t="s">
        <v>1001</v>
      </c>
      <c r="B768" t="s">
        <v>995</v>
      </c>
      <c r="C768">
        <v>57205341535</v>
      </c>
      <c r="D768">
        <v>58097854500</v>
      </c>
      <c r="E768">
        <v>78</v>
      </c>
      <c r="F768" t="s">
        <v>1197</v>
      </c>
    </row>
    <row r="769" spans="1:6" x14ac:dyDescent="0.45">
      <c r="A769" t="s">
        <v>1003</v>
      </c>
      <c r="B769" t="s">
        <v>1004</v>
      </c>
      <c r="C769">
        <v>8552760400</v>
      </c>
      <c r="D769">
        <v>57278336100</v>
      </c>
      <c r="E769">
        <v>80</v>
      </c>
      <c r="F769" t="s">
        <v>1197</v>
      </c>
    </row>
    <row r="770" spans="1:6" x14ac:dyDescent="0.45">
      <c r="A770" t="s">
        <v>1003</v>
      </c>
      <c r="B770" t="s">
        <v>1005</v>
      </c>
      <c r="C770">
        <v>8552760400</v>
      </c>
      <c r="D770">
        <v>57216186585</v>
      </c>
      <c r="E770">
        <v>75</v>
      </c>
      <c r="F770" t="s">
        <v>1197</v>
      </c>
    </row>
    <row r="771" spans="1:6" x14ac:dyDescent="0.45">
      <c r="A771" t="s">
        <v>1006</v>
      </c>
      <c r="B771" t="s">
        <v>1007</v>
      </c>
      <c r="C771">
        <v>59619524600</v>
      </c>
      <c r="D771">
        <v>56890409800</v>
      </c>
      <c r="E771">
        <v>77</v>
      </c>
      <c r="F771" t="s">
        <v>1197</v>
      </c>
    </row>
    <row r="772" spans="1:6" x14ac:dyDescent="0.45">
      <c r="A772" t="s">
        <v>1006</v>
      </c>
      <c r="B772" t="s">
        <v>1008</v>
      </c>
      <c r="C772">
        <v>59619524600</v>
      </c>
      <c r="D772">
        <v>57218865182</v>
      </c>
      <c r="E772">
        <v>83</v>
      </c>
      <c r="F772" t="s">
        <v>1197</v>
      </c>
    </row>
    <row r="773" spans="1:6" x14ac:dyDescent="0.45">
      <c r="A773" t="s">
        <v>1009</v>
      </c>
      <c r="B773" t="s">
        <v>1010</v>
      </c>
      <c r="C773">
        <v>57192109237</v>
      </c>
      <c r="D773">
        <v>57216771994</v>
      </c>
      <c r="E773">
        <v>76</v>
      </c>
      <c r="F773" t="s">
        <v>1197</v>
      </c>
    </row>
    <row r="774" spans="1:6" x14ac:dyDescent="0.45">
      <c r="A774" t="s">
        <v>1009</v>
      </c>
      <c r="B774" t="s">
        <v>1011</v>
      </c>
      <c r="C774">
        <v>57192109237</v>
      </c>
      <c r="D774">
        <v>59815240100</v>
      </c>
      <c r="E774">
        <v>76</v>
      </c>
      <c r="F774" t="s">
        <v>1197</v>
      </c>
    </row>
    <row r="775" spans="1:6" x14ac:dyDescent="0.45">
      <c r="A775" t="s">
        <v>1009</v>
      </c>
      <c r="B775" t="s">
        <v>1012</v>
      </c>
      <c r="C775">
        <v>57192109237</v>
      </c>
      <c r="D775">
        <v>55718418500</v>
      </c>
      <c r="E775">
        <v>75</v>
      </c>
      <c r="F775" t="s">
        <v>1197</v>
      </c>
    </row>
    <row r="776" spans="1:6" x14ac:dyDescent="0.45">
      <c r="A776" t="s">
        <v>1009</v>
      </c>
      <c r="B776" t="s">
        <v>1013</v>
      </c>
      <c r="C776">
        <v>57192109237</v>
      </c>
      <c r="D776">
        <v>7601513640</v>
      </c>
      <c r="E776">
        <v>80</v>
      </c>
      <c r="F776" t="s">
        <v>1197</v>
      </c>
    </row>
    <row r="777" spans="1:6" x14ac:dyDescent="0.45">
      <c r="A777" t="s">
        <v>1009</v>
      </c>
      <c r="B777" t="s">
        <v>1014</v>
      </c>
      <c r="C777">
        <v>57192109237</v>
      </c>
      <c r="D777">
        <v>57218475801</v>
      </c>
      <c r="E777">
        <v>76</v>
      </c>
      <c r="F777" t="s">
        <v>1197</v>
      </c>
    </row>
    <row r="778" spans="1:6" x14ac:dyDescent="0.45">
      <c r="A778" t="s">
        <v>1015</v>
      </c>
      <c r="B778" t="s">
        <v>1016</v>
      </c>
      <c r="C778">
        <v>56178007800</v>
      </c>
      <c r="D778">
        <v>57221311967</v>
      </c>
      <c r="E778">
        <v>93</v>
      </c>
      <c r="F778" t="s">
        <v>1197</v>
      </c>
    </row>
    <row r="779" spans="1:6" x14ac:dyDescent="0.45">
      <c r="A779" t="s">
        <v>1017</v>
      </c>
      <c r="B779" t="s">
        <v>1018</v>
      </c>
      <c r="C779">
        <v>57204153607</v>
      </c>
      <c r="D779">
        <v>57201989467</v>
      </c>
      <c r="E779">
        <v>80</v>
      </c>
      <c r="F779" t="s">
        <v>1197</v>
      </c>
    </row>
    <row r="780" spans="1:6" x14ac:dyDescent="0.45">
      <c r="A780" t="s">
        <v>1002</v>
      </c>
      <c r="B780" t="s">
        <v>985</v>
      </c>
      <c r="C780">
        <v>57203011980</v>
      </c>
      <c r="D780">
        <v>57226131863</v>
      </c>
      <c r="E780">
        <v>76</v>
      </c>
      <c r="F780" t="s">
        <v>1197</v>
      </c>
    </row>
    <row r="781" spans="1:6" x14ac:dyDescent="0.45">
      <c r="A781" t="s">
        <v>1019</v>
      </c>
      <c r="B781" t="s">
        <v>1020</v>
      </c>
      <c r="C781">
        <v>56294067200</v>
      </c>
      <c r="D781">
        <v>57829144400</v>
      </c>
      <c r="E781">
        <v>78</v>
      </c>
      <c r="F781" t="s">
        <v>1197</v>
      </c>
    </row>
    <row r="782" spans="1:6" x14ac:dyDescent="0.45">
      <c r="A782" t="s">
        <v>1021</v>
      </c>
      <c r="B782" t="s">
        <v>1022</v>
      </c>
      <c r="C782">
        <v>57732522000</v>
      </c>
      <c r="D782">
        <v>57207046672</v>
      </c>
      <c r="E782">
        <v>80</v>
      </c>
      <c r="F782" t="s">
        <v>1197</v>
      </c>
    </row>
    <row r="783" spans="1:6" x14ac:dyDescent="0.45">
      <c r="A783" t="s">
        <v>1023</v>
      </c>
      <c r="B783" t="s">
        <v>1024</v>
      </c>
      <c r="C783">
        <v>57202576436</v>
      </c>
      <c r="D783">
        <v>57225083226</v>
      </c>
      <c r="E783">
        <v>80</v>
      </c>
      <c r="F783" t="s">
        <v>1197</v>
      </c>
    </row>
    <row r="784" spans="1:6" x14ac:dyDescent="0.45">
      <c r="A784" t="s">
        <v>1023</v>
      </c>
      <c r="B784" t="s">
        <v>1025</v>
      </c>
      <c r="C784">
        <v>57202576436</v>
      </c>
      <c r="D784">
        <v>57212385020</v>
      </c>
      <c r="E784">
        <v>78</v>
      </c>
      <c r="F784" t="s">
        <v>1197</v>
      </c>
    </row>
    <row r="785" spans="1:6" x14ac:dyDescent="0.45">
      <c r="A785" t="s">
        <v>1023</v>
      </c>
      <c r="B785" t="s">
        <v>995</v>
      </c>
      <c r="C785">
        <v>57202576436</v>
      </c>
      <c r="D785">
        <v>58097854500</v>
      </c>
      <c r="E785">
        <v>75</v>
      </c>
      <c r="F785" t="s">
        <v>1197</v>
      </c>
    </row>
    <row r="786" spans="1:6" x14ac:dyDescent="0.45">
      <c r="A786" t="s">
        <v>1023</v>
      </c>
      <c r="B786" t="s">
        <v>1026</v>
      </c>
      <c r="C786">
        <v>57202576436</v>
      </c>
      <c r="D786">
        <v>57218868125</v>
      </c>
      <c r="E786">
        <v>75</v>
      </c>
      <c r="F786" t="s">
        <v>1197</v>
      </c>
    </row>
    <row r="787" spans="1:6" x14ac:dyDescent="0.45">
      <c r="A787" t="s">
        <v>1023</v>
      </c>
      <c r="B787" t="s">
        <v>1027</v>
      </c>
      <c r="C787">
        <v>57202576436</v>
      </c>
      <c r="D787">
        <v>59560883400</v>
      </c>
      <c r="E787">
        <v>75</v>
      </c>
      <c r="F787" t="s">
        <v>1197</v>
      </c>
    </row>
    <row r="788" spans="1:6" x14ac:dyDescent="0.45">
      <c r="A788" t="s">
        <v>1023</v>
      </c>
      <c r="B788" t="s">
        <v>1028</v>
      </c>
      <c r="C788">
        <v>57202576436</v>
      </c>
      <c r="D788">
        <v>57215193390</v>
      </c>
      <c r="E788">
        <v>84</v>
      </c>
      <c r="F788" t="s">
        <v>1197</v>
      </c>
    </row>
    <row r="789" spans="1:6" x14ac:dyDescent="0.45">
      <c r="A789" t="s">
        <v>1023</v>
      </c>
      <c r="B789" t="s">
        <v>1029</v>
      </c>
      <c r="C789">
        <v>57202576436</v>
      </c>
      <c r="D789">
        <v>57222498131</v>
      </c>
      <c r="E789">
        <v>78</v>
      </c>
      <c r="F789" t="s">
        <v>1197</v>
      </c>
    </row>
    <row r="790" spans="1:6" x14ac:dyDescent="0.45">
      <c r="A790" t="s">
        <v>1023</v>
      </c>
      <c r="B790" t="s">
        <v>1012</v>
      </c>
      <c r="C790">
        <v>57202576436</v>
      </c>
      <c r="D790">
        <v>55718418500</v>
      </c>
      <c r="E790">
        <v>80</v>
      </c>
      <c r="F790" t="s">
        <v>1197</v>
      </c>
    </row>
    <row r="791" spans="1:6" x14ac:dyDescent="0.45">
      <c r="A791" t="s">
        <v>1023</v>
      </c>
      <c r="B791" t="s">
        <v>1030</v>
      </c>
      <c r="C791">
        <v>57202576436</v>
      </c>
      <c r="D791">
        <v>55712748700</v>
      </c>
      <c r="E791">
        <v>80</v>
      </c>
      <c r="F791" t="s">
        <v>1197</v>
      </c>
    </row>
    <row r="792" spans="1:6" x14ac:dyDescent="0.45">
      <c r="A792" t="s">
        <v>1023</v>
      </c>
      <c r="B792" t="s">
        <v>1013</v>
      </c>
      <c r="C792">
        <v>57202576436</v>
      </c>
      <c r="D792">
        <v>7601513640</v>
      </c>
      <c r="E792">
        <v>75</v>
      </c>
      <c r="F792" t="s">
        <v>1197</v>
      </c>
    </row>
    <row r="793" spans="1:6" x14ac:dyDescent="0.45">
      <c r="A793" t="s">
        <v>1031</v>
      </c>
      <c r="B793" t="s">
        <v>1032</v>
      </c>
      <c r="C793">
        <v>57202638979</v>
      </c>
      <c r="D793">
        <v>57198861619</v>
      </c>
      <c r="E793">
        <v>83</v>
      </c>
      <c r="F793" t="s">
        <v>1197</v>
      </c>
    </row>
    <row r="794" spans="1:6" x14ac:dyDescent="0.45">
      <c r="A794" t="s">
        <v>1033</v>
      </c>
      <c r="B794" t="s">
        <v>1034</v>
      </c>
      <c r="C794">
        <v>58220752100</v>
      </c>
      <c r="D794">
        <v>58916234900</v>
      </c>
      <c r="E794">
        <v>78</v>
      </c>
      <c r="F794" t="s">
        <v>1197</v>
      </c>
    </row>
    <row r="795" spans="1:6" x14ac:dyDescent="0.45">
      <c r="A795" t="s">
        <v>1024</v>
      </c>
      <c r="B795" t="s">
        <v>1035</v>
      </c>
      <c r="C795">
        <v>57225083226</v>
      </c>
      <c r="D795">
        <v>57200661953</v>
      </c>
      <c r="E795">
        <v>82</v>
      </c>
      <c r="F795" t="s">
        <v>1197</v>
      </c>
    </row>
    <row r="796" spans="1:6" x14ac:dyDescent="0.45">
      <c r="A796" t="s">
        <v>1024</v>
      </c>
      <c r="B796" t="s">
        <v>1036</v>
      </c>
      <c r="C796">
        <v>57225083226</v>
      </c>
      <c r="D796">
        <v>59662621300</v>
      </c>
      <c r="E796">
        <v>78</v>
      </c>
      <c r="F796" t="s">
        <v>1197</v>
      </c>
    </row>
    <row r="797" spans="1:6" x14ac:dyDescent="0.45">
      <c r="A797" t="s">
        <v>1024</v>
      </c>
      <c r="B797" t="s">
        <v>1037</v>
      </c>
      <c r="C797">
        <v>57225083226</v>
      </c>
      <c r="D797">
        <v>58867040100</v>
      </c>
      <c r="E797">
        <v>78</v>
      </c>
      <c r="F797" t="s">
        <v>1197</v>
      </c>
    </row>
    <row r="798" spans="1:6" x14ac:dyDescent="0.45">
      <c r="A798" t="s">
        <v>1024</v>
      </c>
      <c r="B798" t="s">
        <v>995</v>
      </c>
      <c r="C798">
        <v>57225083226</v>
      </c>
      <c r="D798">
        <v>58097854500</v>
      </c>
      <c r="E798">
        <v>80</v>
      </c>
      <c r="F798" t="s">
        <v>1197</v>
      </c>
    </row>
    <row r="799" spans="1:6" x14ac:dyDescent="0.45">
      <c r="A799" t="s">
        <v>1024</v>
      </c>
      <c r="B799" t="s">
        <v>1026</v>
      </c>
      <c r="C799">
        <v>57225083226</v>
      </c>
      <c r="D799">
        <v>57218868125</v>
      </c>
      <c r="E799">
        <v>80</v>
      </c>
      <c r="F799" t="s">
        <v>1197</v>
      </c>
    </row>
    <row r="800" spans="1:6" x14ac:dyDescent="0.45">
      <c r="A800" t="s">
        <v>1024</v>
      </c>
      <c r="B800" t="s">
        <v>1010</v>
      </c>
      <c r="C800">
        <v>57225083226</v>
      </c>
      <c r="D800">
        <v>57216771994</v>
      </c>
      <c r="E800">
        <v>75</v>
      </c>
      <c r="F800" t="s">
        <v>1197</v>
      </c>
    </row>
    <row r="801" spans="1:6" x14ac:dyDescent="0.45">
      <c r="A801" s="2" t="s">
        <v>1024</v>
      </c>
      <c r="B801" s="2" t="s">
        <v>996</v>
      </c>
      <c r="C801" s="2">
        <v>57225083226</v>
      </c>
      <c r="D801" s="2">
        <v>59773982900</v>
      </c>
      <c r="E801" s="2">
        <v>78</v>
      </c>
      <c r="F801" t="s">
        <v>1197</v>
      </c>
    </row>
    <row r="802" spans="1:6" x14ac:dyDescent="0.45">
      <c r="A802" t="s">
        <v>1024</v>
      </c>
      <c r="B802" t="s">
        <v>993</v>
      </c>
      <c r="C802">
        <v>57225083226</v>
      </c>
      <c r="D802">
        <v>59537723600</v>
      </c>
      <c r="E802">
        <v>75</v>
      </c>
      <c r="F802" t="s">
        <v>1197</v>
      </c>
    </row>
    <row r="803" spans="1:6" x14ac:dyDescent="0.45">
      <c r="A803" t="s">
        <v>1024</v>
      </c>
      <c r="B803" t="s">
        <v>1029</v>
      </c>
      <c r="C803">
        <v>57225083226</v>
      </c>
      <c r="D803">
        <v>57222498131</v>
      </c>
      <c r="E803">
        <v>82</v>
      </c>
      <c r="F803" t="s">
        <v>1197</v>
      </c>
    </row>
    <row r="804" spans="1:6" x14ac:dyDescent="0.45">
      <c r="A804" t="s">
        <v>1024</v>
      </c>
      <c r="B804" t="s">
        <v>1013</v>
      </c>
      <c r="C804">
        <v>57225083226</v>
      </c>
      <c r="D804">
        <v>7601513640</v>
      </c>
      <c r="E804">
        <v>80</v>
      </c>
      <c r="F804" t="s">
        <v>1197</v>
      </c>
    </row>
    <row r="805" spans="1:6" x14ac:dyDescent="0.45">
      <c r="A805" t="s">
        <v>1024</v>
      </c>
      <c r="B805" t="s">
        <v>1014</v>
      </c>
      <c r="C805">
        <v>57225083226</v>
      </c>
      <c r="D805">
        <v>57218475801</v>
      </c>
      <c r="E805">
        <v>75</v>
      </c>
      <c r="F805" t="s">
        <v>1197</v>
      </c>
    </row>
    <row r="806" spans="1:6" x14ac:dyDescent="0.45">
      <c r="A806" t="s">
        <v>1038</v>
      </c>
      <c r="B806" t="s">
        <v>1011</v>
      </c>
      <c r="C806">
        <v>57202051406</v>
      </c>
      <c r="D806">
        <v>59815240100</v>
      </c>
      <c r="E806">
        <v>76</v>
      </c>
      <c r="F806" t="s">
        <v>1197</v>
      </c>
    </row>
    <row r="807" spans="1:6" x14ac:dyDescent="0.45">
      <c r="A807" t="s">
        <v>1035</v>
      </c>
      <c r="B807" t="s">
        <v>1027</v>
      </c>
      <c r="C807">
        <v>57200661953</v>
      </c>
      <c r="D807">
        <v>59560883400</v>
      </c>
      <c r="E807">
        <v>78</v>
      </c>
      <c r="F807" t="s">
        <v>1197</v>
      </c>
    </row>
    <row r="808" spans="1:6" x14ac:dyDescent="0.45">
      <c r="A808" t="s">
        <v>1039</v>
      </c>
      <c r="B808" t="s">
        <v>1020</v>
      </c>
      <c r="C808">
        <v>56991869300</v>
      </c>
      <c r="D808">
        <v>57829144400</v>
      </c>
      <c r="E808">
        <v>75</v>
      </c>
      <c r="F808" t="s">
        <v>1197</v>
      </c>
    </row>
    <row r="809" spans="1:6" x14ac:dyDescent="0.45">
      <c r="A809" t="s">
        <v>1040</v>
      </c>
      <c r="B809" t="s">
        <v>1041</v>
      </c>
      <c r="C809">
        <v>57201072444</v>
      </c>
      <c r="D809">
        <v>57219265536</v>
      </c>
      <c r="E809">
        <v>77</v>
      </c>
      <c r="F809" t="s">
        <v>1197</v>
      </c>
    </row>
    <row r="810" spans="1:6" x14ac:dyDescent="0.45">
      <c r="A810" t="s">
        <v>1042</v>
      </c>
      <c r="B810" t="s">
        <v>1043</v>
      </c>
      <c r="C810">
        <v>57203959829</v>
      </c>
      <c r="D810">
        <v>58967485500</v>
      </c>
      <c r="E810">
        <v>75</v>
      </c>
      <c r="F810" t="s">
        <v>1197</v>
      </c>
    </row>
    <row r="811" spans="1:6" x14ac:dyDescent="0.45">
      <c r="A811" t="s">
        <v>1042</v>
      </c>
      <c r="B811" t="s">
        <v>1014</v>
      </c>
      <c r="C811">
        <v>57203959829</v>
      </c>
      <c r="D811">
        <v>57218475801</v>
      </c>
      <c r="E811">
        <v>75</v>
      </c>
      <c r="F811" t="s">
        <v>1197</v>
      </c>
    </row>
    <row r="812" spans="1:6" x14ac:dyDescent="0.45">
      <c r="A812" t="s">
        <v>1044</v>
      </c>
      <c r="B812" t="s">
        <v>1029</v>
      </c>
      <c r="C812">
        <v>58119559500</v>
      </c>
      <c r="D812">
        <v>57222498131</v>
      </c>
      <c r="E812">
        <v>75</v>
      </c>
      <c r="F812" t="s">
        <v>1197</v>
      </c>
    </row>
    <row r="813" spans="1:6" x14ac:dyDescent="0.45">
      <c r="A813" t="s">
        <v>1045</v>
      </c>
      <c r="B813" t="s">
        <v>1046</v>
      </c>
      <c r="C813">
        <v>57657094200</v>
      </c>
      <c r="D813">
        <v>57224466449</v>
      </c>
      <c r="E813">
        <v>75</v>
      </c>
      <c r="F813" t="s">
        <v>1197</v>
      </c>
    </row>
    <row r="814" spans="1:6" x14ac:dyDescent="0.45">
      <c r="A814" t="s">
        <v>994</v>
      </c>
      <c r="B814" t="s">
        <v>1047</v>
      </c>
      <c r="C814">
        <v>58653787300</v>
      </c>
      <c r="D814">
        <v>57221799820</v>
      </c>
      <c r="E814">
        <v>75</v>
      </c>
      <c r="F814" t="s">
        <v>1197</v>
      </c>
    </row>
    <row r="815" spans="1:6" x14ac:dyDescent="0.45">
      <c r="A815" t="s">
        <v>994</v>
      </c>
      <c r="B815" t="s">
        <v>995</v>
      </c>
      <c r="C815">
        <v>58653787300</v>
      </c>
      <c r="D815">
        <v>58097854500</v>
      </c>
      <c r="E815">
        <v>84</v>
      </c>
      <c r="F815" t="s">
        <v>1197</v>
      </c>
    </row>
    <row r="816" spans="1:6" x14ac:dyDescent="0.45">
      <c r="A816" t="s">
        <v>994</v>
      </c>
      <c r="B816" t="s">
        <v>991</v>
      </c>
      <c r="C816">
        <v>58653787300</v>
      </c>
      <c r="D816">
        <v>57206601221</v>
      </c>
      <c r="E816">
        <v>75</v>
      </c>
      <c r="F816" t="s">
        <v>1197</v>
      </c>
    </row>
    <row r="817" spans="1:6" x14ac:dyDescent="0.45">
      <c r="A817" t="s">
        <v>1048</v>
      </c>
      <c r="B817" t="s">
        <v>1049</v>
      </c>
      <c r="C817">
        <v>36648213800</v>
      </c>
      <c r="D817">
        <v>24577868100</v>
      </c>
      <c r="E817">
        <v>76</v>
      </c>
      <c r="F817" t="s">
        <v>1197</v>
      </c>
    </row>
    <row r="818" spans="1:6" x14ac:dyDescent="0.45">
      <c r="A818" t="s">
        <v>990</v>
      </c>
      <c r="B818" t="s">
        <v>1047</v>
      </c>
      <c r="C818">
        <v>57216315221</v>
      </c>
      <c r="D818">
        <v>57221799820</v>
      </c>
      <c r="E818">
        <v>79</v>
      </c>
      <c r="F818" t="s">
        <v>1197</v>
      </c>
    </row>
    <row r="819" spans="1:6" x14ac:dyDescent="0.45">
      <c r="A819" t="s">
        <v>990</v>
      </c>
      <c r="B819" t="s">
        <v>991</v>
      </c>
      <c r="C819">
        <v>57216315221</v>
      </c>
      <c r="D819">
        <v>57206601221</v>
      </c>
      <c r="E819">
        <v>86</v>
      </c>
      <c r="F819" t="s">
        <v>1197</v>
      </c>
    </row>
    <row r="820" spans="1:6" x14ac:dyDescent="0.45">
      <c r="A820" t="s">
        <v>1050</v>
      </c>
      <c r="B820" t="s">
        <v>1051</v>
      </c>
      <c r="C820">
        <v>57207724257</v>
      </c>
      <c r="D820">
        <v>59135267800</v>
      </c>
      <c r="E820">
        <v>76</v>
      </c>
      <c r="F820" t="s">
        <v>1197</v>
      </c>
    </row>
    <row r="821" spans="1:6" x14ac:dyDescent="0.45">
      <c r="A821" t="s">
        <v>1052</v>
      </c>
      <c r="B821" t="s">
        <v>1053</v>
      </c>
      <c r="C821">
        <v>58864775700</v>
      </c>
      <c r="D821">
        <v>58118977100</v>
      </c>
      <c r="E821">
        <v>85</v>
      </c>
      <c r="F821" t="s">
        <v>1197</v>
      </c>
    </row>
    <row r="822" spans="1:6" x14ac:dyDescent="0.45">
      <c r="A822" t="s">
        <v>1052</v>
      </c>
      <c r="B822" t="s">
        <v>1025</v>
      </c>
      <c r="C822">
        <v>58864775700</v>
      </c>
      <c r="D822">
        <v>57212385020</v>
      </c>
      <c r="E822">
        <v>75</v>
      </c>
      <c r="F822" t="s">
        <v>1197</v>
      </c>
    </row>
    <row r="823" spans="1:6" x14ac:dyDescent="0.45">
      <c r="A823" t="s">
        <v>1053</v>
      </c>
      <c r="B823" t="s">
        <v>1025</v>
      </c>
      <c r="C823">
        <v>58118977100</v>
      </c>
      <c r="D823">
        <v>57212385020</v>
      </c>
      <c r="E823">
        <v>82</v>
      </c>
      <c r="F823" t="s">
        <v>1197</v>
      </c>
    </row>
    <row r="824" spans="1:6" x14ac:dyDescent="0.45">
      <c r="A824" t="s">
        <v>1053</v>
      </c>
      <c r="B824" t="s">
        <v>1037</v>
      </c>
      <c r="C824">
        <v>58118977100</v>
      </c>
      <c r="D824">
        <v>58867040100</v>
      </c>
      <c r="E824">
        <v>87</v>
      </c>
      <c r="F824" t="s">
        <v>1197</v>
      </c>
    </row>
    <row r="825" spans="1:6" x14ac:dyDescent="0.45">
      <c r="A825" t="s">
        <v>1053</v>
      </c>
      <c r="B825" t="s">
        <v>1011</v>
      </c>
      <c r="C825">
        <v>58118977100</v>
      </c>
      <c r="D825">
        <v>59815240100</v>
      </c>
      <c r="E825">
        <v>76</v>
      </c>
      <c r="F825" t="s">
        <v>1197</v>
      </c>
    </row>
    <row r="826" spans="1:6" x14ac:dyDescent="0.45">
      <c r="A826" t="s">
        <v>1025</v>
      </c>
      <c r="B826" t="s">
        <v>1037</v>
      </c>
      <c r="C826">
        <v>57212385020</v>
      </c>
      <c r="D826">
        <v>58867040100</v>
      </c>
      <c r="E826">
        <v>76</v>
      </c>
      <c r="F826" t="s">
        <v>1197</v>
      </c>
    </row>
    <row r="827" spans="1:6" x14ac:dyDescent="0.45">
      <c r="A827" t="s">
        <v>1025</v>
      </c>
      <c r="B827" t="s">
        <v>1011</v>
      </c>
      <c r="C827">
        <v>57212385020</v>
      </c>
      <c r="D827">
        <v>59815240100</v>
      </c>
      <c r="E827">
        <v>84</v>
      </c>
      <c r="F827" t="s">
        <v>1197</v>
      </c>
    </row>
    <row r="828" spans="1:6" x14ac:dyDescent="0.45">
      <c r="A828" t="s">
        <v>1025</v>
      </c>
      <c r="B828" t="s">
        <v>1029</v>
      </c>
      <c r="C828">
        <v>57212385020</v>
      </c>
      <c r="D828">
        <v>57222498131</v>
      </c>
      <c r="E828">
        <v>80</v>
      </c>
      <c r="F828" t="s">
        <v>1197</v>
      </c>
    </row>
    <row r="829" spans="1:6" x14ac:dyDescent="0.45">
      <c r="A829" t="s">
        <v>1025</v>
      </c>
      <c r="B829" t="s">
        <v>1054</v>
      </c>
      <c r="C829">
        <v>57212385020</v>
      </c>
      <c r="D829">
        <v>57220783660</v>
      </c>
      <c r="E829">
        <v>76</v>
      </c>
      <c r="F829" t="s">
        <v>1197</v>
      </c>
    </row>
    <row r="830" spans="1:6" x14ac:dyDescent="0.45">
      <c r="A830" t="s">
        <v>1036</v>
      </c>
      <c r="B830" t="s">
        <v>1047</v>
      </c>
      <c r="C830">
        <v>59662621300</v>
      </c>
      <c r="D830">
        <v>57221799820</v>
      </c>
      <c r="E830">
        <v>75</v>
      </c>
      <c r="F830" t="s">
        <v>1197</v>
      </c>
    </row>
    <row r="831" spans="1:6" x14ac:dyDescent="0.45">
      <c r="A831" t="s">
        <v>1036</v>
      </c>
      <c r="B831" t="s">
        <v>991</v>
      </c>
      <c r="C831">
        <v>59662621300</v>
      </c>
      <c r="D831">
        <v>57206601221</v>
      </c>
      <c r="E831">
        <v>75</v>
      </c>
      <c r="F831" t="s">
        <v>1197</v>
      </c>
    </row>
    <row r="832" spans="1:6" x14ac:dyDescent="0.45">
      <c r="A832" t="s">
        <v>1036</v>
      </c>
      <c r="B832" t="s">
        <v>1014</v>
      </c>
      <c r="C832">
        <v>59662621300</v>
      </c>
      <c r="D832">
        <v>57218475801</v>
      </c>
      <c r="E832">
        <v>80</v>
      </c>
      <c r="F832" t="s">
        <v>1197</v>
      </c>
    </row>
    <row r="833" spans="1:6" x14ac:dyDescent="0.45">
      <c r="A833" t="s">
        <v>1041</v>
      </c>
      <c r="B833" t="s">
        <v>995</v>
      </c>
      <c r="C833">
        <v>57219265536</v>
      </c>
      <c r="D833">
        <v>58097854500</v>
      </c>
      <c r="E833">
        <v>80</v>
      </c>
      <c r="F833" t="s">
        <v>1197</v>
      </c>
    </row>
    <row r="834" spans="1:6" x14ac:dyDescent="0.45">
      <c r="A834" t="s">
        <v>1041</v>
      </c>
      <c r="B834" t="s">
        <v>1055</v>
      </c>
      <c r="C834">
        <v>57219265536</v>
      </c>
      <c r="D834">
        <v>59474255400</v>
      </c>
      <c r="E834">
        <v>86</v>
      </c>
      <c r="F834" t="s">
        <v>1197</v>
      </c>
    </row>
    <row r="835" spans="1:6" x14ac:dyDescent="0.45">
      <c r="A835" t="s">
        <v>1047</v>
      </c>
      <c r="B835" t="s">
        <v>995</v>
      </c>
      <c r="C835">
        <v>57221799820</v>
      </c>
      <c r="D835">
        <v>58097854500</v>
      </c>
      <c r="E835">
        <v>76</v>
      </c>
      <c r="F835" t="s">
        <v>1197</v>
      </c>
    </row>
    <row r="836" spans="1:6" x14ac:dyDescent="0.45">
      <c r="A836" t="s">
        <v>1047</v>
      </c>
      <c r="B836" t="s">
        <v>991</v>
      </c>
      <c r="C836">
        <v>57221799820</v>
      </c>
      <c r="D836">
        <v>57206601221</v>
      </c>
      <c r="E836">
        <v>85</v>
      </c>
      <c r="F836" t="s">
        <v>1197</v>
      </c>
    </row>
    <row r="837" spans="1:6" x14ac:dyDescent="0.45">
      <c r="A837" t="s">
        <v>1047</v>
      </c>
      <c r="B837" t="s">
        <v>1056</v>
      </c>
      <c r="C837">
        <v>57221799820</v>
      </c>
      <c r="D837">
        <v>58527206800</v>
      </c>
      <c r="E837">
        <v>80</v>
      </c>
      <c r="F837" t="s">
        <v>1197</v>
      </c>
    </row>
    <row r="838" spans="1:6" x14ac:dyDescent="0.45">
      <c r="A838" t="s">
        <v>985</v>
      </c>
      <c r="B838" t="s">
        <v>1026</v>
      </c>
      <c r="C838">
        <v>57226131863</v>
      </c>
      <c r="D838">
        <v>57218868125</v>
      </c>
      <c r="E838">
        <v>89</v>
      </c>
      <c r="F838" t="s">
        <v>1197</v>
      </c>
    </row>
    <row r="839" spans="1:6" x14ac:dyDescent="0.45">
      <c r="A839" t="s">
        <v>985</v>
      </c>
      <c r="B839" t="s">
        <v>1027</v>
      </c>
      <c r="C839">
        <v>57226131863</v>
      </c>
      <c r="D839">
        <v>59560883400</v>
      </c>
      <c r="E839">
        <v>78</v>
      </c>
      <c r="F839" t="s">
        <v>1197</v>
      </c>
    </row>
    <row r="840" spans="1:6" x14ac:dyDescent="0.45">
      <c r="A840" t="s">
        <v>985</v>
      </c>
      <c r="B840" t="s">
        <v>1054</v>
      </c>
      <c r="C840">
        <v>57226131863</v>
      </c>
      <c r="D840">
        <v>57220783660</v>
      </c>
      <c r="E840">
        <v>76</v>
      </c>
      <c r="F840" t="s">
        <v>1197</v>
      </c>
    </row>
    <row r="841" spans="1:6" x14ac:dyDescent="0.45">
      <c r="A841" t="s">
        <v>1037</v>
      </c>
      <c r="B841" t="s">
        <v>1011</v>
      </c>
      <c r="C841">
        <v>58867040100</v>
      </c>
      <c r="D841">
        <v>59815240100</v>
      </c>
      <c r="E841">
        <v>80</v>
      </c>
      <c r="F841" t="s">
        <v>1197</v>
      </c>
    </row>
    <row r="842" spans="1:6" x14ac:dyDescent="0.45">
      <c r="A842" t="s">
        <v>995</v>
      </c>
      <c r="B842" t="s">
        <v>1026</v>
      </c>
      <c r="C842">
        <v>58097854500</v>
      </c>
      <c r="D842">
        <v>57218868125</v>
      </c>
      <c r="E842">
        <v>75</v>
      </c>
      <c r="F842" t="s">
        <v>1197</v>
      </c>
    </row>
    <row r="843" spans="1:6" x14ac:dyDescent="0.45">
      <c r="A843" t="s">
        <v>995</v>
      </c>
      <c r="B843" t="s">
        <v>993</v>
      </c>
      <c r="C843">
        <v>58097854500</v>
      </c>
      <c r="D843">
        <v>59537723600</v>
      </c>
      <c r="E843">
        <v>82</v>
      </c>
      <c r="F843" t="s">
        <v>1197</v>
      </c>
    </row>
    <row r="844" spans="1:6" x14ac:dyDescent="0.45">
      <c r="A844" t="s">
        <v>995</v>
      </c>
      <c r="B844" t="s">
        <v>991</v>
      </c>
      <c r="C844">
        <v>58097854500</v>
      </c>
      <c r="D844">
        <v>57206601221</v>
      </c>
      <c r="E844">
        <v>76</v>
      </c>
      <c r="F844" t="s">
        <v>1197</v>
      </c>
    </row>
    <row r="845" spans="1:6" x14ac:dyDescent="0.45">
      <c r="A845" t="s">
        <v>1026</v>
      </c>
      <c r="B845" t="s">
        <v>1027</v>
      </c>
      <c r="C845">
        <v>57218868125</v>
      </c>
      <c r="D845">
        <v>59560883400</v>
      </c>
      <c r="E845">
        <v>75</v>
      </c>
      <c r="F845" t="s">
        <v>1197</v>
      </c>
    </row>
    <row r="846" spans="1:6" x14ac:dyDescent="0.45">
      <c r="A846" t="s">
        <v>1026</v>
      </c>
      <c r="B846" t="s">
        <v>1054</v>
      </c>
      <c r="C846">
        <v>57218868125</v>
      </c>
      <c r="D846">
        <v>57220783660</v>
      </c>
      <c r="E846">
        <v>84</v>
      </c>
      <c r="F846" t="s">
        <v>1197</v>
      </c>
    </row>
    <row r="847" spans="1:6" x14ac:dyDescent="0.45">
      <c r="A847" t="s">
        <v>1026</v>
      </c>
      <c r="B847" t="s">
        <v>1030</v>
      </c>
      <c r="C847">
        <v>57218868125</v>
      </c>
      <c r="D847">
        <v>55712748700</v>
      </c>
      <c r="E847">
        <v>80</v>
      </c>
      <c r="F847" t="s">
        <v>1197</v>
      </c>
    </row>
    <row r="848" spans="1:6" x14ac:dyDescent="0.45">
      <c r="A848" t="s">
        <v>1026</v>
      </c>
      <c r="B848" t="s">
        <v>1013</v>
      </c>
      <c r="C848">
        <v>57218868125</v>
      </c>
      <c r="D848">
        <v>7601513640</v>
      </c>
      <c r="E848">
        <v>75</v>
      </c>
      <c r="F848" t="s">
        <v>1197</v>
      </c>
    </row>
    <row r="849" spans="1:6" x14ac:dyDescent="0.45">
      <c r="A849" t="s">
        <v>1026</v>
      </c>
      <c r="B849" t="s">
        <v>982</v>
      </c>
      <c r="C849">
        <v>57218868125</v>
      </c>
      <c r="D849">
        <v>55833173500</v>
      </c>
      <c r="E849">
        <v>76</v>
      </c>
      <c r="F849" t="s">
        <v>1197</v>
      </c>
    </row>
    <row r="850" spans="1:6" x14ac:dyDescent="0.45">
      <c r="A850" t="s">
        <v>1027</v>
      </c>
      <c r="B850" t="s">
        <v>1030</v>
      </c>
      <c r="C850">
        <v>59560883400</v>
      </c>
      <c r="D850">
        <v>55712748700</v>
      </c>
      <c r="E850">
        <v>80</v>
      </c>
      <c r="F850" t="s">
        <v>1197</v>
      </c>
    </row>
    <row r="851" spans="1:6" x14ac:dyDescent="0.45">
      <c r="A851" t="s">
        <v>1027</v>
      </c>
      <c r="B851" t="s">
        <v>1013</v>
      </c>
      <c r="C851">
        <v>59560883400</v>
      </c>
      <c r="D851">
        <v>7601513640</v>
      </c>
      <c r="E851">
        <v>75</v>
      </c>
      <c r="F851" t="s">
        <v>1197</v>
      </c>
    </row>
    <row r="852" spans="1:6" x14ac:dyDescent="0.45">
      <c r="A852" t="s">
        <v>1027</v>
      </c>
      <c r="B852" t="s">
        <v>1057</v>
      </c>
      <c r="C852">
        <v>59560883400</v>
      </c>
      <c r="D852">
        <v>55719869100</v>
      </c>
      <c r="E852">
        <v>75</v>
      </c>
      <c r="F852" t="s">
        <v>1197</v>
      </c>
    </row>
    <row r="853" spans="1:6" x14ac:dyDescent="0.45">
      <c r="A853" t="s">
        <v>1058</v>
      </c>
      <c r="B853" t="s">
        <v>1059</v>
      </c>
      <c r="C853">
        <v>59658256200</v>
      </c>
      <c r="D853">
        <v>57226715462</v>
      </c>
      <c r="E853">
        <v>80</v>
      </c>
      <c r="F853" t="s">
        <v>1197</v>
      </c>
    </row>
    <row r="854" spans="1:6" x14ac:dyDescent="0.45">
      <c r="A854" t="s">
        <v>1010</v>
      </c>
      <c r="B854" t="s">
        <v>1029</v>
      </c>
      <c r="C854">
        <v>57216771994</v>
      </c>
      <c r="D854">
        <v>57222498131</v>
      </c>
      <c r="E854">
        <v>84</v>
      </c>
      <c r="F854" t="s">
        <v>1197</v>
      </c>
    </row>
    <row r="855" spans="1:6" x14ac:dyDescent="0.45">
      <c r="A855" t="s">
        <v>1010</v>
      </c>
      <c r="B855" t="s">
        <v>1030</v>
      </c>
      <c r="C855">
        <v>57216771994</v>
      </c>
      <c r="D855">
        <v>55712748700</v>
      </c>
      <c r="E855">
        <v>75</v>
      </c>
      <c r="F855" t="s">
        <v>1197</v>
      </c>
    </row>
    <row r="856" spans="1:6" x14ac:dyDescent="0.45">
      <c r="A856" t="s">
        <v>1010</v>
      </c>
      <c r="B856" t="s">
        <v>1013</v>
      </c>
      <c r="C856">
        <v>57216771994</v>
      </c>
      <c r="D856">
        <v>7601513640</v>
      </c>
      <c r="E856">
        <v>94</v>
      </c>
      <c r="F856" t="s">
        <v>1197</v>
      </c>
    </row>
    <row r="857" spans="1:6" x14ac:dyDescent="0.45">
      <c r="A857" t="s">
        <v>996</v>
      </c>
      <c r="B857" t="s">
        <v>1014</v>
      </c>
      <c r="C857">
        <v>59773982900</v>
      </c>
      <c r="D857">
        <v>57218475801</v>
      </c>
      <c r="E857">
        <v>80</v>
      </c>
      <c r="F857" t="s">
        <v>1197</v>
      </c>
    </row>
    <row r="858" spans="1:6" x14ac:dyDescent="0.45">
      <c r="A858" t="s">
        <v>1060</v>
      </c>
      <c r="B858" t="s">
        <v>1061</v>
      </c>
      <c r="C858">
        <v>58670992800</v>
      </c>
      <c r="D858">
        <v>55949122700</v>
      </c>
      <c r="E858">
        <v>78</v>
      </c>
      <c r="F858" t="s">
        <v>1197</v>
      </c>
    </row>
    <row r="859" spans="1:6" x14ac:dyDescent="0.45">
      <c r="A859" t="s">
        <v>1028</v>
      </c>
      <c r="B859" t="s">
        <v>1012</v>
      </c>
      <c r="C859">
        <v>57215193390</v>
      </c>
      <c r="D859">
        <v>55718418500</v>
      </c>
      <c r="E859">
        <v>78</v>
      </c>
      <c r="F859" t="s">
        <v>1197</v>
      </c>
    </row>
    <row r="860" spans="1:6" x14ac:dyDescent="0.45">
      <c r="A860" t="s">
        <v>1062</v>
      </c>
      <c r="B860" t="s">
        <v>1063</v>
      </c>
      <c r="C860">
        <v>57217038690</v>
      </c>
      <c r="D860">
        <v>57217554285</v>
      </c>
      <c r="E860">
        <v>76</v>
      </c>
      <c r="F860" t="s">
        <v>1197</v>
      </c>
    </row>
    <row r="861" spans="1:6" x14ac:dyDescent="0.45">
      <c r="A861" t="s">
        <v>1004</v>
      </c>
      <c r="B861" t="s">
        <v>1064</v>
      </c>
      <c r="C861">
        <v>57278336100</v>
      </c>
      <c r="D861">
        <v>58590735100</v>
      </c>
      <c r="E861">
        <v>77</v>
      </c>
      <c r="F861" t="s">
        <v>1197</v>
      </c>
    </row>
    <row r="862" spans="1:6" x14ac:dyDescent="0.45">
      <c r="A862" t="s">
        <v>1011</v>
      </c>
      <c r="B862" t="s">
        <v>1012</v>
      </c>
      <c r="C862">
        <v>59815240100</v>
      </c>
      <c r="D862">
        <v>55718418500</v>
      </c>
      <c r="E862">
        <v>76</v>
      </c>
      <c r="F862" t="s">
        <v>1197</v>
      </c>
    </row>
    <row r="863" spans="1:6" x14ac:dyDescent="0.45">
      <c r="A863" t="s">
        <v>1011</v>
      </c>
      <c r="B863" t="s">
        <v>1030</v>
      </c>
      <c r="C863">
        <v>59815240100</v>
      </c>
      <c r="D863">
        <v>55712748700</v>
      </c>
      <c r="E863">
        <v>75</v>
      </c>
      <c r="F863" t="s">
        <v>1197</v>
      </c>
    </row>
    <row r="864" spans="1:6" x14ac:dyDescent="0.45">
      <c r="A864" t="s">
        <v>1011</v>
      </c>
      <c r="B864" t="s">
        <v>1014</v>
      </c>
      <c r="C864">
        <v>59815240100</v>
      </c>
      <c r="D864">
        <v>57218475801</v>
      </c>
      <c r="E864">
        <v>78</v>
      </c>
      <c r="F864" t="s">
        <v>1197</v>
      </c>
    </row>
    <row r="865" spans="1:6" x14ac:dyDescent="0.45">
      <c r="A865" t="s">
        <v>1051</v>
      </c>
      <c r="B865" t="s">
        <v>1065</v>
      </c>
      <c r="C865">
        <v>59135267800</v>
      </c>
      <c r="D865">
        <v>57225966700</v>
      </c>
      <c r="E865">
        <v>76</v>
      </c>
      <c r="F865" t="s">
        <v>1197</v>
      </c>
    </row>
    <row r="866" spans="1:6" x14ac:dyDescent="0.45">
      <c r="A866" t="s">
        <v>1029</v>
      </c>
      <c r="B866" t="s">
        <v>1013</v>
      </c>
      <c r="C866">
        <v>57222498131</v>
      </c>
      <c r="D866">
        <v>7601513640</v>
      </c>
      <c r="E866">
        <v>89</v>
      </c>
      <c r="F866" t="s">
        <v>1197</v>
      </c>
    </row>
    <row r="867" spans="1:6" x14ac:dyDescent="0.45">
      <c r="A867" t="s">
        <v>1054</v>
      </c>
      <c r="B867" t="s">
        <v>982</v>
      </c>
      <c r="C867">
        <v>57220783660</v>
      </c>
      <c r="D867">
        <v>55833173500</v>
      </c>
      <c r="E867">
        <v>75</v>
      </c>
      <c r="F867" t="s">
        <v>1197</v>
      </c>
    </row>
    <row r="868" spans="1:6" x14ac:dyDescent="0.45">
      <c r="A868" t="s">
        <v>1030</v>
      </c>
      <c r="B868" t="s">
        <v>1013</v>
      </c>
      <c r="C868">
        <v>55712748700</v>
      </c>
      <c r="D868">
        <v>7601513640</v>
      </c>
      <c r="E868">
        <v>80</v>
      </c>
      <c r="F868" t="s">
        <v>1197</v>
      </c>
    </row>
    <row r="869" spans="1:6" x14ac:dyDescent="0.45">
      <c r="A869" t="s">
        <v>1066</v>
      </c>
      <c r="B869" t="s">
        <v>1067</v>
      </c>
      <c r="C869">
        <v>8629604800</v>
      </c>
      <c r="D869">
        <v>58656417000</v>
      </c>
      <c r="E869">
        <v>77</v>
      </c>
      <c r="F869" t="s">
        <v>1197</v>
      </c>
    </row>
    <row r="870" spans="1:6" x14ac:dyDescent="0.45">
      <c r="A870" t="s">
        <v>1068</v>
      </c>
      <c r="B870" t="s">
        <v>1069</v>
      </c>
      <c r="C870">
        <v>57196732836</v>
      </c>
      <c r="D870">
        <v>57188645378</v>
      </c>
      <c r="E870">
        <v>80</v>
      </c>
      <c r="F870" t="s">
        <v>1197</v>
      </c>
    </row>
    <row r="871" spans="1:6" x14ac:dyDescent="0.45">
      <c r="A871" t="s">
        <v>1069</v>
      </c>
      <c r="B871" t="s">
        <v>1070</v>
      </c>
      <c r="C871">
        <v>57188645378</v>
      </c>
      <c r="D871">
        <v>59729857200</v>
      </c>
      <c r="E871">
        <v>75</v>
      </c>
      <c r="F871" t="s">
        <v>1197</v>
      </c>
    </row>
    <row r="872" spans="1:6" x14ac:dyDescent="0.45">
      <c r="A872" t="s">
        <v>1071</v>
      </c>
      <c r="B872" t="s">
        <v>1072</v>
      </c>
      <c r="C872">
        <v>57223724983</v>
      </c>
      <c r="D872">
        <v>57221150139</v>
      </c>
      <c r="E872">
        <v>76</v>
      </c>
      <c r="F872" t="s">
        <v>1197</v>
      </c>
    </row>
    <row r="873" spans="1:6" x14ac:dyDescent="0.45">
      <c r="A873" t="s">
        <v>1073</v>
      </c>
      <c r="B873" t="s">
        <v>1074</v>
      </c>
      <c r="C873">
        <v>24443034100</v>
      </c>
      <c r="D873">
        <v>57248304100</v>
      </c>
      <c r="E873">
        <v>85</v>
      </c>
      <c r="F873" t="s">
        <v>1196</v>
      </c>
    </row>
    <row r="874" spans="1:6" x14ac:dyDescent="0.45">
      <c r="A874" t="s">
        <v>1075</v>
      </c>
      <c r="B874" t="s">
        <v>1076</v>
      </c>
      <c r="C874">
        <v>7405855808</v>
      </c>
      <c r="D874">
        <v>57344777600</v>
      </c>
      <c r="E874">
        <v>79</v>
      </c>
      <c r="F874" t="s">
        <v>1196</v>
      </c>
    </row>
    <row r="875" spans="1:6" x14ac:dyDescent="0.45">
      <c r="A875" t="s">
        <v>1077</v>
      </c>
      <c r="B875" t="s">
        <v>1078</v>
      </c>
      <c r="C875">
        <v>55805102800</v>
      </c>
      <c r="D875">
        <v>14036728900</v>
      </c>
      <c r="E875">
        <v>75</v>
      </c>
      <c r="F875" t="s">
        <v>1197</v>
      </c>
    </row>
    <row r="876" spans="1:6" x14ac:dyDescent="0.45">
      <c r="A876" t="s">
        <v>1077</v>
      </c>
      <c r="B876" t="s">
        <v>1079</v>
      </c>
      <c r="C876">
        <v>55805102800</v>
      </c>
      <c r="D876">
        <v>57201991097</v>
      </c>
      <c r="E876">
        <v>76</v>
      </c>
      <c r="F876" t="s">
        <v>1197</v>
      </c>
    </row>
    <row r="877" spans="1:6" x14ac:dyDescent="0.45">
      <c r="A877" t="s">
        <v>1077</v>
      </c>
      <c r="B877" t="s">
        <v>1080</v>
      </c>
      <c r="C877">
        <v>55805102800</v>
      </c>
      <c r="D877">
        <v>57215290229</v>
      </c>
      <c r="E877">
        <v>76</v>
      </c>
      <c r="F877" t="s">
        <v>1197</v>
      </c>
    </row>
    <row r="878" spans="1:6" x14ac:dyDescent="0.45">
      <c r="A878" t="s">
        <v>1078</v>
      </c>
      <c r="B878" t="s">
        <v>1081</v>
      </c>
      <c r="C878">
        <v>14036728900</v>
      </c>
      <c r="D878">
        <v>57218718013</v>
      </c>
      <c r="E878">
        <v>77</v>
      </c>
      <c r="F878" t="s">
        <v>1197</v>
      </c>
    </row>
    <row r="879" spans="1:6" x14ac:dyDescent="0.45">
      <c r="A879" t="s">
        <v>1082</v>
      </c>
      <c r="B879" t="s">
        <v>1083</v>
      </c>
      <c r="C879">
        <v>57207812926</v>
      </c>
      <c r="D879">
        <v>57203390142</v>
      </c>
      <c r="E879">
        <v>86</v>
      </c>
      <c r="F879" t="s">
        <v>1197</v>
      </c>
    </row>
    <row r="880" spans="1:6" x14ac:dyDescent="0.45">
      <c r="A880" t="s">
        <v>1084</v>
      </c>
      <c r="B880" t="s">
        <v>1085</v>
      </c>
      <c r="C880">
        <v>57194277787</v>
      </c>
      <c r="D880">
        <v>55388137300</v>
      </c>
      <c r="E880">
        <v>78</v>
      </c>
      <c r="F880" t="s">
        <v>1197</v>
      </c>
    </row>
    <row r="881" spans="1:6" x14ac:dyDescent="0.45">
      <c r="A881" t="s">
        <v>1086</v>
      </c>
      <c r="B881" t="s">
        <v>1085</v>
      </c>
      <c r="C881">
        <v>35147042400</v>
      </c>
      <c r="D881">
        <v>55388137300</v>
      </c>
      <c r="E881">
        <v>76</v>
      </c>
      <c r="F881" t="s">
        <v>1197</v>
      </c>
    </row>
    <row r="882" spans="1:6" x14ac:dyDescent="0.45">
      <c r="A882" t="s">
        <v>1086</v>
      </c>
      <c r="B882" t="s">
        <v>1087</v>
      </c>
      <c r="C882">
        <v>35147042400</v>
      </c>
      <c r="D882">
        <v>57219498582</v>
      </c>
      <c r="E882">
        <v>95</v>
      </c>
      <c r="F882" t="s">
        <v>1197</v>
      </c>
    </row>
    <row r="883" spans="1:6" x14ac:dyDescent="0.45">
      <c r="A883" t="s">
        <v>1085</v>
      </c>
      <c r="B883" t="s">
        <v>1080</v>
      </c>
      <c r="C883">
        <v>55388137300</v>
      </c>
      <c r="D883">
        <v>57215290229</v>
      </c>
      <c r="E883">
        <v>76</v>
      </c>
      <c r="F883" t="s">
        <v>1197</v>
      </c>
    </row>
    <row r="884" spans="1:6" x14ac:dyDescent="0.45">
      <c r="A884" t="s">
        <v>1085</v>
      </c>
      <c r="B884" t="s">
        <v>1088</v>
      </c>
      <c r="C884">
        <v>55388137300</v>
      </c>
      <c r="D884">
        <v>57222165629</v>
      </c>
      <c r="E884">
        <v>76</v>
      </c>
      <c r="F884" t="s">
        <v>1197</v>
      </c>
    </row>
    <row r="885" spans="1:6" x14ac:dyDescent="0.45">
      <c r="A885" t="s">
        <v>1089</v>
      </c>
      <c r="B885" t="s">
        <v>1090</v>
      </c>
      <c r="C885">
        <v>7006651181</v>
      </c>
      <c r="D885">
        <v>57217006788</v>
      </c>
      <c r="E885">
        <v>78</v>
      </c>
      <c r="F885" t="s">
        <v>1197</v>
      </c>
    </row>
    <row r="886" spans="1:6" x14ac:dyDescent="0.45">
      <c r="A886" t="s">
        <v>1091</v>
      </c>
      <c r="B886" t="s">
        <v>1092</v>
      </c>
      <c r="C886">
        <v>57484914600</v>
      </c>
      <c r="D886">
        <v>59705724000</v>
      </c>
      <c r="E886">
        <v>78</v>
      </c>
      <c r="F886" t="s">
        <v>1197</v>
      </c>
    </row>
    <row r="887" spans="1:6" x14ac:dyDescent="0.45">
      <c r="A887" t="s">
        <v>1093</v>
      </c>
      <c r="B887" t="s">
        <v>1094</v>
      </c>
      <c r="C887">
        <v>57197518788</v>
      </c>
      <c r="D887">
        <v>57581006200</v>
      </c>
      <c r="E887">
        <v>86</v>
      </c>
      <c r="F887" t="s">
        <v>1197</v>
      </c>
    </row>
    <row r="888" spans="1:6" x14ac:dyDescent="0.45">
      <c r="A888" t="s">
        <v>1083</v>
      </c>
      <c r="B888" t="s">
        <v>1095</v>
      </c>
      <c r="C888">
        <v>57203390142</v>
      </c>
      <c r="D888">
        <v>58905961200</v>
      </c>
      <c r="E888">
        <v>78</v>
      </c>
      <c r="F888" t="s">
        <v>1197</v>
      </c>
    </row>
    <row r="889" spans="1:6" x14ac:dyDescent="0.45">
      <c r="A889" t="s">
        <v>1096</v>
      </c>
      <c r="B889" t="s">
        <v>1097</v>
      </c>
      <c r="C889">
        <v>57221630135</v>
      </c>
      <c r="D889">
        <v>57718687400</v>
      </c>
      <c r="E889">
        <v>82</v>
      </c>
      <c r="F889" t="s">
        <v>1197</v>
      </c>
    </row>
    <row r="890" spans="1:6" x14ac:dyDescent="0.45">
      <c r="A890" t="s">
        <v>1092</v>
      </c>
      <c r="B890" t="s">
        <v>1098</v>
      </c>
      <c r="C890">
        <v>59705724000</v>
      </c>
      <c r="D890">
        <v>57956141800</v>
      </c>
      <c r="E890">
        <v>82</v>
      </c>
      <c r="F890" t="s">
        <v>1197</v>
      </c>
    </row>
    <row r="891" spans="1:6" x14ac:dyDescent="0.45">
      <c r="A891" t="s">
        <v>1097</v>
      </c>
      <c r="B891" t="s">
        <v>1099</v>
      </c>
      <c r="C891">
        <v>57718687400</v>
      </c>
      <c r="D891">
        <v>56548002700</v>
      </c>
      <c r="E891">
        <v>78</v>
      </c>
      <c r="F891" t="s">
        <v>1197</v>
      </c>
    </row>
    <row r="892" spans="1:6" x14ac:dyDescent="0.45">
      <c r="A892" t="s">
        <v>1100</v>
      </c>
      <c r="B892" t="s">
        <v>1101</v>
      </c>
      <c r="C892">
        <v>55685656900</v>
      </c>
      <c r="D892">
        <v>57219838274</v>
      </c>
      <c r="E892">
        <v>87</v>
      </c>
      <c r="F892" t="s">
        <v>1196</v>
      </c>
    </row>
    <row r="893" spans="1:6" x14ac:dyDescent="0.45">
      <c r="A893" t="s">
        <v>1100</v>
      </c>
      <c r="B893" t="s">
        <v>1102</v>
      </c>
      <c r="C893">
        <v>55685656900</v>
      </c>
      <c r="D893">
        <v>58368085700</v>
      </c>
      <c r="E893">
        <v>76</v>
      </c>
      <c r="F893" t="s">
        <v>1197</v>
      </c>
    </row>
    <row r="894" spans="1:6" x14ac:dyDescent="0.45">
      <c r="A894" t="s">
        <v>1103</v>
      </c>
      <c r="B894" t="s">
        <v>1104</v>
      </c>
      <c r="C894">
        <v>59130540100</v>
      </c>
      <c r="D894">
        <v>57193678960</v>
      </c>
      <c r="E894">
        <v>84</v>
      </c>
      <c r="F894" t="s">
        <v>1197</v>
      </c>
    </row>
    <row r="895" spans="1:6" x14ac:dyDescent="0.45">
      <c r="A895" t="s">
        <v>1103</v>
      </c>
      <c r="B895" t="s">
        <v>1105</v>
      </c>
      <c r="C895">
        <v>59130540100</v>
      </c>
      <c r="D895">
        <v>57192159108</v>
      </c>
      <c r="E895">
        <v>78</v>
      </c>
      <c r="F895" t="s">
        <v>1197</v>
      </c>
    </row>
    <row r="896" spans="1:6" x14ac:dyDescent="0.45">
      <c r="A896" t="s">
        <v>1103</v>
      </c>
      <c r="B896" t="s">
        <v>1106</v>
      </c>
      <c r="C896">
        <v>59130540100</v>
      </c>
      <c r="D896">
        <v>56675471800</v>
      </c>
      <c r="E896">
        <v>89</v>
      </c>
      <c r="F896" t="s">
        <v>1197</v>
      </c>
    </row>
    <row r="897" spans="1:6" x14ac:dyDescent="0.45">
      <c r="A897" t="s">
        <v>1103</v>
      </c>
      <c r="B897" t="s">
        <v>1107</v>
      </c>
      <c r="C897">
        <v>59130540100</v>
      </c>
      <c r="D897">
        <v>56083560200</v>
      </c>
      <c r="E897">
        <v>78</v>
      </c>
      <c r="F897" t="s">
        <v>1197</v>
      </c>
    </row>
    <row r="898" spans="1:6" x14ac:dyDescent="0.45">
      <c r="A898" t="s">
        <v>1103</v>
      </c>
      <c r="B898" t="s">
        <v>1108</v>
      </c>
      <c r="C898">
        <v>59130540100</v>
      </c>
      <c r="D898">
        <v>55330996300</v>
      </c>
      <c r="E898">
        <v>84</v>
      </c>
      <c r="F898" t="s">
        <v>1197</v>
      </c>
    </row>
    <row r="899" spans="1:6" x14ac:dyDescent="0.45">
      <c r="A899" t="s">
        <v>1103</v>
      </c>
      <c r="B899" t="s">
        <v>1109</v>
      </c>
      <c r="C899">
        <v>59130540100</v>
      </c>
      <c r="D899">
        <v>57217109201</v>
      </c>
      <c r="E899">
        <v>80</v>
      </c>
      <c r="F899" t="s">
        <v>1197</v>
      </c>
    </row>
    <row r="900" spans="1:6" x14ac:dyDescent="0.45">
      <c r="A900" t="s">
        <v>1103</v>
      </c>
      <c r="B900" t="s">
        <v>1110</v>
      </c>
      <c r="C900">
        <v>59130540100</v>
      </c>
      <c r="D900">
        <v>59259099400</v>
      </c>
      <c r="E900">
        <v>76</v>
      </c>
      <c r="F900" t="s">
        <v>1197</v>
      </c>
    </row>
    <row r="901" spans="1:6" x14ac:dyDescent="0.45">
      <c r="A901" s="2" t="s">
        <v>1103</v>
      </c>
      <c r="B901" s="2" t="s">
        <v>1111</v>
      </c>
      <c r="C901" s="2">
        <v>59130540100</v>
      </c>
      <c r="D901" s="2">
        <v>26023886900</v>
      </c>
      <c r="E901" s="2">
        <v>78</v>
      </c>
      <c r="F901" t="s">
        <v>1197</v>
      </c>
    </row>
    <row r="902" spans="1:6" x14ac:dyDescent="0.45">
      <c r="A902" t="s">
        <v>1103</v>
      </c>
      <c r="B902" t="s">
        <v>1112</v>
      </c>
      <c r="C902">
        <v>59130540100</v>
      </c>
      <c r="D902">
        <v>57220902381</v>
      </c>
      <c r="E902">
        <v>76</v>
      </c>
      <c r="F902" t="s">
        <v>1197</v>
      </c>
    </row>
    <row r="903" spans="1:6" x14ac:dyDescent="0.45">
      <c r="A903" t="s">
        <v>1103</v>
      </c>
      <c r="B903" t="s">
        <v>1102</v>
      </c>
      <c r="C903">
        <v>59130540100</v>
      </c>
      <c r="D903">
        <v>58368085700</v>
      </c>
      <c r="E903">
        <v>76</v>
      </c>
      <c r="F903" t="s">
        <v>1197</v>
      </c>
    </row>
    <row r="904" spans="1:6" x14ac:dyDescent="0.45">
      <c r="A904" t="s">
        <v>1113</v>
      </c>
      <c r="B904" t="s">
        <v>1114</v>
      </c>
      <c r="C904">
        <v>57192375762</v>
      </c>
      <c r="D904">
        <v>56963102300</v>
      </c>
      <c r="E904">
        <v>76</v>
      </c>
      <c r="F904" t="s">
        <v>1197</v>
      </c>
    </row>
    <row r="905" spans="1:6" x14ac:dyDescent="0.45">
      <c r="A905" t="s">
        <v>1113</v>
      </c>
      <c r="B905" t="s">
        <v>1115</v>
      </c>
      <c r="C905">
        <v>57192375762</v>
      </c>
      <c r="D905">
        <v>57464231000</v>
      </c>
      <c r="E905">
        <v>75</v>
      </c>
      <c r="F905" t="s">
        <v>1197</v>
      </c>
    </row>
    <row r="906" spans="1:6" x14ac:dyDescent="0.45">
      <c r="A906" t="s">
        <v>1113</v>
      </c>
      <c r="B906" t="s">
        <v>1116</v>
      </c>
      <c r="C906">
        <v>57192375762</v>
      </c>
      <c r="D906">
        <v>57490488200</v>
      </c>
      <c r="E906">
        <v>82</v>
      </c>
      <c r="F906" t="s">
        <v>1197</v>
      </c>
    </row>
    <row r="907" spans="1:6" x14ac:dyDescent="0.45">
      <c r="A907" t="s">
        <v>1113</v>
      </c>
      <c r="B907" t="s">
        <v>1117</v>
      </c>
      <c r="C907">
        <v>57192375762</v>
      </c>
      <c r="D907">
        <v>58809508500</v>
      </c>
      <c r="E907">
        <v>76</v>
      </c>
      <c r="F907" t="s">
        <v>1197</v>
      </c>
    </row>
    <row r="908" spans="1:6" x14ac:dyDescent="0.45">
      <c r="A908" t="s">
        <v>1113</v>
      </c>
      <c r="B908" t="s">
        <v>1118</v>
      </c>
      <c r="C908">
        <v>57192375762</v>
      </c>
      <c r="D908">
        <v>57928856000</v>
      </c>
      <c r="E908">
        <v>82</v>
      </c>
      <c r="F908" t="s">
        <v>1197</v>
      </c>
    </row>
    <row r="909" spans="1:6" x14ac:dyDescent="0.45">
      <c r="A909" t="s">
        <v>1113</v>
      </c>
      <c r="B909" t="s">
        <v>1119</v>
      </c>
      <c r="C909">
        <v>57192375762</v>
      </c>
      <c r="D909">
        <v>57225984973</v>
      </c>
      <c r="E909">
        <v>78</v>
      </c>
      <c r="F909" t="s">
        <v>1197</v>
      </c>
    </row>
    <row r="910" spans="1:6" x14ac:dyDescent="0.45">
      <c r="A910" t="s">
        <v>1120</v>
      </c>
      <c r="B910" t="s">
        <v>1121</v>
      </c>
      <c r="C910">
        <v>57191637431</v>
      </c>
      <c r="D910">
        <v>56149865900</v>
      </c>
      <c r="E910">
        <v>84</v>
      </c>
      <c r="F910" t="s">
        <v>1197</v>
      </c>
    </row>
    <row r="911" spans="1:6" x14ac:dyDescent="0.45">
      <c r="A911" t="s">
        <v>1120</v>
      </c>
      <c r="B911" t="s">
        <v>1122</v>
      </c>
      <c r="C911">
        <v>57191637431</v>
      </c>
      <c r="D911">
        <v>57216204512</v>
      </c>
      <c r="E911">
        <v>82</v>
      </c>
      <c r="F911" t="s">
        <v>1197</v>
      </c>
    </row>
    <row r="912" spans="1:6" x14ac:dyDescent="0.45">
      <c r="A912" t="s">
        <v>1120</v>
      </c>
      <c r="B912" t="s">
        <v>1123</v>
      </c>
      <c r="C912">
        <v>57191637431</v>
      </c>
      <c r="D912">
        <v>57388977900</v>
      </c>
      <c r="E912">
        <v>75</v>
      </c>
      <c r="F912" t="s">
        <v>1197</v>
      </c>
    </row>
    <row r="913" spans="1:6" x14ac:dyDescent="0.45">
      <c r="A913" t="s">
        <v>1120</v>
      </c>
      <c r="B913" t="s">
        <v>1124</v>
      </c>
      <c r="C913">
        <v>57191637431</v>
      </c>
      <c r="D913">
        <v>57770966500</v>
      </c>
      <c r="E913">
        <v>75</v>
      </c>
      <c r="F913" t="s">
        <v>1197</v>
      </c>
    </row>
    <row r="914" spans="1:6" x14ac:dyDescent="0.45">
      <c r="A914" t="s">
        <v>1120</v>
      </c>
      <c r="B914" t="s">
        <v>1125</v>
      </c>
      <c r="C914">
        <v>57191637431</v>
      </c>
      <c r="D914">
        <v>59504639600</v>
      </c>
      <c r="E914">
        <v>80</v>
      </c>
      <c r="F914" t="s">
        <v>1197</v>
      </c>
    </row>
    <row r="915" spans="1:6" x14ac:dyDescent="0.45">
      <c r="A915" t="s">
        <v>1104</v>
      </c>
      <c r="B915" t="s">
        <v>1105</v>
      </c>
      <c r="C915">
        <v>57193678960</v>
      </c>
      <c r="D915">
        <v>57192159108</v>
      </c>
      <c r="E915">
        <v>84</v>
      </c>
      <c r="F915" t="s">
        <v>1197</v>
      </c>
    </row>
    <row r="916" spans="1:6" x14ac:dyDescent="0.45">
      <c r="A916" t="s">
        <v>1104</v>
      </c>
      <c r="B916" t="s">
        <v>1126</v>
      </c>
      <c r="C916">
        <v>57193678960</v>
      </c>
      <c r="D916">
        <v>57202358222</v>
      </c>
      <c r="E916">
        <v>75</v>
      </c>
      <c r="F916" t="s">
        <v>1197</v>
      </c>
    </row>
    <row r="917" spans="1:6" x14ac:dyDescent="0.45">
      <c r="A917" t="s">
        <v>1104</v>
      </c>
      <c r="B917" t="s">
        <v>1108</v>
      </c>
      <c r="C917">
        <v>57193678960</v>
      </c>
      <c r="D917">
        <v>55330996300</v>
      </c>
      <c r="E917">
        <v>90</v>
      </c>
      <c r="F917" t="s">
        <v>1197</v>
      </c>
    </row>
    <row r="918" spans="1:6" x14ac:dyDescent="0.45">
      <c r="A918" t="s">
        <v>1104</v>
      </c>
      <c r="B918" t="s">
        <v>1109</v>
      </c>
      <c r="C918">
        <v>57193678960</v>
      </c>
      <c r="D918">
        <v>57217109201</v>
      </c>
      <c r="E918">
        <v>76</v>
      </c>
      <c r="F918" t="s">
        <v>1197</v>
      </c>
    </row>
    <row r="919" spans="1:6" x14ac:dyDescent="0.45">
      <c r="A919" t="s">
        <v>1104</v>
      </c>
      <c r="B919" t="s">
        <v>1127</v>
      </c>
      <c r="C919">
        <v>57193678960</v>
      </c>
      <c r="D919">
        <v>58511137000</v>
      </c>
      <c r="E919">
        <v>78</v>
      </c>
      <c r="F919" t="s">
        <v>1197</v>
      </c>
    </row>
    <row r="920" spans="1:6" x14ac:dyDescent="0.45">
      <c r="A920" t="s">
        <v>1104</v>
      </c>
      <c r="B920" t="s">
        <v>1112</v>
      </c>
      <c r="C920">
        <v>57193678960</v>
      </c>
      <c r="D920">
        <v>57220902381</v>
      </c>
      <c r="E920">
        <v>82</v>
      </c>
      <c r="F920" t="s">
        <v>1197</v>
      </c>
    </row>
    <row r="921" spans="1:6" x14ac:dyDescent="0.45">
      <c r="A921" t="s">
        <v>1104</v>
      </c>
      <c r="B921" t="s">
        <v>1128</v>
      </c>
      <c r="C921">
        <v>57193678960</v>
      </c>
      <c r="D921">
        <v>57222133578</v>
      </c>
      <c r="E921">
        <v>75</v>
      </c>
      <c r="F921" t="s">
        <v>1197</v>
      </c>
    </row>
    <row r="922" spans="1:6" x14ac:dyDescent="0.45">
      <c r="A922" t="s">
        <v>1129</v>
      </c>
      <c r="B922" t="s">
        <v>1130</v>
      </c>
      <c r="C922">
        <v>55723774600</v>
      </c>
      <c r="D922">
        <v>58250313900</v>
      </c>
      <c r="E922">
        <v>75</v>
      </c>
      <c r="F922" t="s">
        <v>1197</v>
      </c>
    </row>
    <row r="923" spans="1:6" x14ac:dyDescent="0.45">
      <c r="A923" t="s">
        <v>1129</v>
      </c>
      <c r="B923" t="s">
        <v>1131</v>
      </c>
      <c r="C923">
        <v>55723774600</v>
      </c>
      <c r="D923">
        <v>57195715824</v>
      </c>
      <c r="E923">
        <v>75</v>
      </c>
      <c r="F923" t="s">
        <v>1197</v>
      </c>
    </row>
    <row r="924" spans="1:6" x14ac:dyDescent="0.45">
      <c r="A924" t="s">
        <v>1132</v>
      </c>
      <c r="B924" t="s">
        <v>1133</v>
      </c>
      <c r="C924">
        <v>57209311451</v>
      </c>
      <c r="D924">
        <v>58835262000</v>
      </c>
      <c r="E924">
        <v>75</v>
      </c>
      <c r="F924" t="s">
        <v>1197</v>
      </c>
    </row>
    <row r="925" spans="1:6" x14ac:dyDescent="0.45">
      <c r="A925" t="s">
        <v>1134</v>
      </c>
      <c r="B925" t="s">
        <v>1135</v>
      </c>
      <c r="C925">
        <v>57202010045</v>
      </c>
      <c r="D925">
        <v>57234148200</v>
      </c>
      <c r="E925">
        <v>75</v>
      </c>
      <c r="F925" t="s">
        <v>1197</v>
      </c>
    </row>
    <row r="926" spans="1:6" x14ac:dyDescent="0.45">
      <c r="A926" t="s">
        <v>1134</v>
      </c>
      <c r="B926" t="s">
        <v>1136</v>
      </c>
      <c r="C926">
        <v>57202010045</v>
      </c>
      <c r="D926">
        <v>58484470900</v>
      </c>
      <c r="E926">
        <v>78</v>
      </c>
      <c r="F926" t="s">
        <v>1197</v>
      </c>
    </row>
    <row r="927" spans="1:6" x14ac:dyDescent="0.45">
      <c r="A927" t="s">
        <v>1134</v>
      </c>
      <c r="B927" t="s">
        <v>1137</v>
      </c>
      <c r="C927">
        <v>57202010045</v>
      </c>
      <c r="D927">
        <v>58659062200</v>
      </c>
      <c r="E927">
        <v>96</v>
      </c>
      <c r="F927" t="s">
        <v>1196</v>
      </c>
    </row>
    <row r="928" spans="1:6" x14ac:dyDescent="0.45">
      <c r="A928" t="s">
        <v>1134</v>
      </c>
      <c r="B928" t="s">
        <v>1138</v>
      </c>
      <c r="C928">
        <v>57202010045</v>
      </c>
      <c r="D928">
        <v>56420749300</v>
      </c>
      <c r="E928">
        <v>80</v>
      </c>
      <c r="F928" t="s">
        <v>1197</v>
      </c>
    </row>
    <row r="929" spans="1:6" x14ac:dyDescent="0.45">
      <c r="A929" t="s">
        <v>1139</v>
      </c>
      <c r="B929" t="s">
        <v>1115</v>
      </c>
      <c r="C929">
        <v>56341002700</v>
      </c>
      <c r="D929">
        <v>57464231000</v>
      </c>
      <c r="E929">
        <v>75</v>
      </c>
      <c r="F929" t="s">
        <v>1197</v>
      </c>
    </row>
    <row r="930" spans="1:6" x14ac:dyDescent="0.45">
      <c r="A930" t="s">
        <v>1140</v>
      </c>
      <c r="B930" t="s">
        <v>1141</v>
      </c>
      <c r="C930">
        <v>57227645300</v>
      </c>
      <c r="D930">
        <v>14833666800</v>
      </c>
      <c r="E930">
        <v>78</v>
      </c>
      <c r="F930" t="s">
        <v>1197</v>
      </c>
    </row>
    <row r="931" spans="1:6" x14ac:dyDescent="0.45">
      <c r="A931" t="s">
        <v>1105</v>
      </c>
      <c r="B931" t="s">
        <v>1126</v>
      </c>
      <c r="C931">
        <v>57192159108</v>
      </c>
      <c r="D931">
        <v>57202358222</v>
      </c>
      <c r="E931">
        <v>78</v>
      </c>
      <c r="F931" t="s">
        <v>1197</v>
      </c>
    </row>
    <row r="932" spans="1:6" x14ac:dyDescent="0.45">
      <c r="A932" t="s">
        <v>1105</v>
      </c>
      <c r="B932" t="s">
        <v>1108</v>
      </c>
      <c r="C932">
        <v>57192159108</v>
      </c>
      <c r="D932">
        <v>55330996300</v>
      </c>
      <c r="E932">
        <v>95</v>
      </c>
      <c r="F932" t="s">
        <v>1197</v>
      </c>
    </row>
    <row r="933" spans="1:6" x14ac:dyDescent="0.45">
      <c r="A933" t="s">
        <v>1105</v>
      </c>
      <c r="B933" t="s">
        <v>1127</v>
      </c>
      <c r="C933">
        <v>57192159108</v>
      </c>
      <c r="D933">
        <v>58511137000</v>
      </c>
      <c r="E933">
        <v>82</v>
      </c>
      <c r="F933" t="s">
        <v>1197</v>
      </c>
    </row>
    <row r="934" spans="1:6" x14ac:dyDescent="0.45">
      <c r="A934" t="s">
        <v>1105</v>
      </c>
      <c r="B934" t="s">
        <v>1112</v>
      </c>
      <c r="C934">
        <v>57192159108</v>
      </c>
      <c r="D934">
        <v>57220902381</v>
      </c>
      <c r="E934">
        <v>86</v>
      </c>
      <c r="F934" t="s">
        <v>1197</v>
      </c>
    </row>
    <row r="935" spans="1:6" x14ac:dyDescent="0.45">
      <c r="A935" t="s">
        <v>1105</v>
      </c>
      <c r="B935" t="s">
        <v>1128</v>
      </c>
      <c r="C935">
        <v>57192159108</v>
      </c>
      <c r="D935">
        <v>57222133578</v>
      </c>
      <c r="E935">
        <v>78</v>
      </c>
      <c r="F935" t="s">
        <v>1197</v>
      </c>
    </row>
    <row r="936" spans="1:6" x14ac:dyDescent="0.45">
      <c r="A936" t="s">
        <v>1105</v>
      </c>
      <c r="B936" t="s">
        <v>1142</v>
      </c>
      <c r="C936">
        <v>57192159108</v>
      </c>
      <c r="D936">
        <v>56591076800</v>
      </c>
      <c r="E936">
        <v>78</v>
      </c>
      <c r="F936" t="s">
        <v>1197</v>
      </c>
    </row>
    <row r="937" spans="1:6" x14ac:dyDescent="0.45">
      <c r="A937" t="s">
        <v>1106</v>
      </c>
      <c r="B937" t="s">
        <v>1143</v>
      </c>
      <c r="C937">
        <v>56675471800</v>
      </c>
      <c r="D937">
        <v>58148929600</v>
      </c>
      <c r="E937">
        <v>82</v>
      </c>
      <c r="F937" t="s">
        <v>1197</v>
      </c>
    </row>
    <row r="938" spans="1:6" x14ac:dyDescent="0.45">
      <c r="A938" t="s">
        <v>1106</v>
      </c>
      <c r="B938" t="s">
        <v>1107</v>
      </c>
      <c r="C938">
        <v>56675471800</v>
      </c>
      <c r="D938">
        <v>56083560200</v>
      </c>
      <c r="E938">
        <v>78</v>
      </c>
      <c r="F938" t="s">
        <v>1197</v>
      </c>
    </row>
    <row r="939" spans="1:6" x14ac:dyDescent="0.45">
      <c r="A939" t="s">
        <v>1106</v>
      </c>
      <c r="B939" t="s">
        <v>1144</v>
      </c>
      <c r="C939">
        <v>56675471800</v>
      </c>
      <c r="D939">
        <v>57219650380</v>
      </c>
      <c r="E939">
        <v>76</v>
      </c>
      <c r="F939" t="s">
        <v>1197</v>
      </c>
    </row>
    <row r="940" spans="1:6" x14ac:dyDescent="0.45">
      <c r="A940" t="s">
        <v>1106</v>
      </c>
      <c r="B940" t="s">
        <v>1145</v>
      </c>
      <c r="C940">
        <v>56675471800</v>
      </c>
      <c r="D940">
        <v>56066618800</v>
      </c>
      <c r="E940">
        <v>76</v>
      </c>
      <c r="F940" t="s">
        <v>1197</v>
      </c>
    </row>
    <row r="941" spans="1:6" x14ac:dyDescent="0.45">
      <c r="A941" t="s">
        <v>1106</v>
      </c>
      <c r="B941" t="s">
        <v>1146</v>
      </c>
      <c r="C941">
        <v>56675471800</v>
      </c>
      <c r="D941">
        <v>57732522100</v>
      </c>
      <c r="E941">
        <v>76</v>
      </c>
      <c r="F941" t="s">
        <v>1197</v>
      </c>
    </row>
    <row r="942" spans="1:6" x14ac:dyDescent="0.45">
      <c r="A942" t="s">
        <v>1106</v>
      </c>
      <c r="B942" t="s">
        <v>1147</v>
      </c>
      <c r="C942">
        <v>56675471800</v>
      </c>
      <c r="D942">
        <v>58538506600</v>
      </c>
      <c r="E942">
        <v>76</v>
      </c>
      <c r="F942" t="s">
        <v>1197</v>
      </c>
    </row>
    <row r="943" spans="1:6" x14ac:dyDescent="0.45">
      <c r="A943" t="s">
        <v>1106</v>
      </c>
      <c r="B943" t="s">
        <v>1109</v>
      </c>
      <c r="C943">
        <v>56675471800</v>
      </c>
      <c r="D943">
        <v>57217109201</v>
      </c>
      <c r="E943">
        <v>80</v>
      </c>
      <c r="F943" t="s">
        <v>1197</v>
      </c>
    </row>
    <row r="944" spans="1:6" x14ac:dyDescent="0.45">
      <c r="A944" t="s">
        <v>1106</v>
      </c>
      <c r="B944" t="s">
        <v>1111</v>
      </c>
      <c r="C944">
        <v>56675471800</v>
      </c>
      <c r="D944">
        <v>26023886900</v>
      </c>
      <c r="E944">
        <v>78</v>
      </c>
      <c r="F944" t="s">
        <v>1197</v>
      </c>
    </row>
    <row r="945" spans="1:6" x14ac:dyDescent="0.45">
      <c r="A945" t="s">
        <v>1106</v>
      </c>
      <c r="B945" t="s">
        <v>1148</v>
      </c>
      <c r="C945">
        <v>56675471800</v>
      </c>
      <c r="D945">
        <v>57215863345</v>
      </c>
      <c r="E945">
        <v>76</v>
      </c>
      <c r="F945" t="s">
        <v>1197</v>
      </c>
    </row>
    <row r="946" spans="1:6" x14ac:dyDescent="0.45">
      <c r="A946" t="s">
        <v>1106</v>
      </c>
      <c r="B946" t="s">
        <v>1102</v>
      </c>
      <c r="C946">
        <v>56675471800</v>
      </c>
      <c r="D946">
        <v>58368085700</v>
      </c>
      <c r="E946">
        <v>76</v>
      </c>
      <c r="F946" t="s">
        <v>1197</v>
      </c>
    </row>
    <row r="947" spans="1:6" x14ac:dyDescent="0.45">
      <c r="A947" t="s">
        <v>1106</v>
      </c>
      <c r="B947" t="s">
        <v>1149</v>
      </c>
      <c r="C947">
        <v>56675471800</v>
      </c>
      <c r="D947">
        <v>57445736500</v>
      </c>
      <c r="E947">
        <v>78</v>
      </c>
      <c r="F947" t="s">
        <v>1197</v>
      </c>
    </row>
    <row r="948" spans="1:6" x14ac:dyDescent="0.45">
      <c r="A948" t="s">
        <v>1150</v>
      </c>
      <c r="B948" t="s">
        <v>1151</v>
      </c>
      <c r="C948">
        <v>57195335713</v>
      </c>
      <c r="D948">
        <v>57210362788</v>
      </c>
      <c r="E948">
        <v>88</v>
      </c>
      <c r="F948" t="s">
        <v>1197</v>
      </c>
    </row>
    <row r="949" spans="1:6" x14ac:dyDescent="0.45">
      <c r="A949" t="s">
        <v>1150</v>
      </c>
      <c r="B949" t="s">
        <v>1152</v>
      </c>
      <c r="C949">
        <v>57195335713</v>
      </c>
      <c r="D949">
        <v>57197774098</v>
      </c>
      <c r="E949">
        <v>75</v>
      </c>
      <c r="F949" t="s">
        <v>1197</v>
      </c>
    </row>
    <row r="950" spans="1:6" x14ac:dyDescent="0.45">
      <c r="A950" t="s">
        <v>1150</v>
      </c>
      <c r="B950" t="s">
        <v>1153</v>
      </c>
      <c r="C950">
        <v>57195335713</v>
      </c>
      <c r="D950">
        <v>56652361000</v>
      </c>
      <c r="E950">
        <v>76</v>
      </c>
      <c r="F950" t="s">
        <v>1197</v>
      </c>
    </row>
    <row r="951" spans="1:6" x14ac:dyDescent="0.45">
      <c r="A951" t="s">
        <v>1150</v>
      </c>
      <c r="B951" t="s">
        <v>1154</v>
      </c>
      <c r="C951">
        <v>57195335713</v>
      </c>
      <c r="D951">
        <v>57654567800</v>
      </c>
      <c r="E951">
        <v>75</v>
      </c>
      <c r="F951" t="s">
        <v>1197</v>
      </c>
    </row>
    <row r="952" spans="1:6" x14ac:dyDescent="0.45">
      <c r="A952" t="s">
        <v>1150</v>
      </c>
      <c r="B952" t="s">
        <v>1155</v>
      </c>
      <c r="C952">
        <v>57195335713</v>
      </c>
      <c r="D952">
        <v>57216635351</v>
      </c>
      <c r="E952">
        <v>83</v>
      </c>
      <c r="F952" t="s">
        <v>1197</v>
      </c>
    </row>
    <row r="953" spans="1:6" x14ac:dyDescent="0.45">
      <c r="A953" t="s">
        <v>1150</v>
      </c>
      <c r="B953" t="s">
        <v>1156</v>
      </c>
      <c r="C953">
        <v>57195335713</v>
      </c>
      <c r="D953">
        <v>57545971500</v>
      </c>
      <c r="E953">
        <v>78</v>
      </c>
      <c r="F953" t="s">
        <v>1197</v>
      </c>
    </row>
    <row r="954" spans="1:6" x14ac:dyDescent="0.45">
      <c r="A954" t="s">
        <v>1150</v>
      </c>
      <c r="B954" t="s">
        <v>1157</v>
      </c>
      <c r="C954">
        <v>57195335713</v>
      </c>
      <c r="D954">
        <v>57951956700</v>
      </c>
      <c r="E954">
        <v>75</v>
      </c>
      <c r="F954" t="s">
        <v>1197</v>
      </c>
    </row>
    <row r="955" spans="1:6" x14ac:dyDescent="0.45">
      <c r="A955" t="s">
        <v>1150</v>
      </c>
      <c r="B955" t="s">
        <v>1158</v>
      </c>
      <c r="C955">
        <v>57195335713</v>
      </c>
      <c r="D955">
        <v>54390643800</v>
      </c>
      <c r="E955">
        <v>78</v>
      </c>
      <c r="F955" t="s">
        <v>1197</v>
      </c>
    </row>
    <row r="956" spans="1:6" x14ac:dyDescent="0.45">
      <c r="A956" t="s">
        <v>1150</v>
      </c>
      <c r="B956" t="s">
        <v>1142</v>
      </c>
      <c r="C956">
        <v>57195335713</v>
      </c>
      <c r="D956">
        <v>56591076800</v>
      </c>
      <c r="E956">
        <v>76</v>
      </c>
      <c r="F956" t="s">
        <v>1197</v>
      </c>
    </row>
    <row r="957" spans="1:6" x14ac:dyDescent="0.45">
      <c r="A957" t="s">
        <v>1150</v>
      </c>
      <c r="B957" t="s">
        <v>1159</v>
      </c>
      <c r="C957">
        <v>57195335713</v>
      </c>
      <c r="D957">
        <v>59814155200</v>
      </c>
      <c r="E957">
        <v>86</v>
      </c>
      <c r="F957" t="s">
        <v>1197</v>
      </c>
    </row>
    <row r="958" spans="1:6" x14ac:dyDescent="0.45">
      <c r="A958" t="s">
        <v>1160</v>
      </c>
      <c r="B958" t="s">
        <v>1161</v>
      </c>
      <c r="C958">
        <v>56963027800</v>
      </c>
      <c r="D958">
        <v>57214091117</v>
      </c>
      <c r="E958">
        <v>83</v>
      </c>
      <c r="F958" t="s">
        <v>1196</v>
      </c>
    </row>
    <row r="959" spans="1:6" x14ac:dyDescent="0.45">
      <c r="A959" t="s">
        <v>1160</v>
      </c>
      <c r="B959" t="s">
        <v>1162</v>
      </c>
      <c r="C959">
        <v>56963027800</v>
      </c>
      <c r="D959">
        <v>57221753163</v>
      </c>
      <c r="E959">
        <v>78</v>
      </c>
      <c r="F959" t="s">
        <v>1197</v>
      </c>
    </row>
    <row r="960" spans="1:6" x14ac:dyDescent="0.45">
      <c r="A960" t="s">
        <v>1160</v>
      </c>
      <c r="B960" t="s">
        <v>1163</v>
      </c>
      <c r="C960">
        <v>56963027800</v>
      </c>
      <c r="D960">
        <v>59315530000</v>
      </c>
      <c r="E960">
        <v>78</v>
      </c>
      <c r="F960" t="s">
        <v>1197</v>
      </c>
    </row>
    <row r="961" spans="1:6" x14ac:dyDescent="0.45">
      <c r="A961" t="s">
        <v>1160</v>
      </c>
      <c r="B961" t="s">
        <v>1133</v>
      </c>
      <c r="C961">
        <v>56963027800</v>
      </c>
      <c r="D961">
        <v>58835262000</v>
      </c>
      <c r="E961">
        <v>78</v>
      </c>
      <c r="F961" t="s">
        <v>1197</v>
      </c>
    </row>
    <row r="962" spans="1:6" x14ac:dyDescent="0.45">
      <c r="A962" t="s">
        <v>1164</v>
      </c>
      <c r="B962" t="s">
        <v>1165</v>
      </c>
      <c r="C962">
        <v>57195805279</v>
      </c>
      <c r="D962">
        <v>59155003900</v>
      </c>
      <c r="E962">
        <v>76</v>
      </c>
      <c r="F962" t="s">
        <v>1196</v>
      </c>
    </row>
    <row r="963" spans="1:6" x14ac:dyDescent="0.45">
      <c r="A963" t="s">
        <v>1166</v>
      </c>
      <c r="B963" t="s">
        <v>1167</v>
      </c>
      <c r="C963">
        <v>56595915000</v>
      </c>
      <c r="D963">
        <v>59234627600</v>
      </c>
      <c r="E963">
        <v>75</v>
      </c>
      <c r="F963" t="s">
        <v>1197</v>
      </c>
    </row>
    <row r="964" spans="1:6" x14ac:dyDescent="0.45">
      <c r="A964" t="s">
        <v>1101</v>
      </c>
      <c r="B964" t="s">
        <v>1102</v>
      </c>
      <c r="C964">
        <v>57219838274</v>
      </c>
      <c r="D964">
        <v>58368085700</v>
      </c>
      <c r="E964">
        <v>80</v>
      </c>
      <c r="F964" t="s">
        <v>1197</v>
      </c>
    </row>
    <row r="965" spans="1:6" x14ac:dyDescent="0.45">
      <c r="A965" t="s">
        <v>1168</v>
      </c>
      <c r="B965" t="s">
        <v>1117</v>
      </c>
      <c r="C965">
        <v>57565427400</v>
      </c>
      <c r="D965">
        <v>58809508500</v>
      </c>
      <c r="E965">
        <v>83</v>
      </c>
      <c r="F965" t="s">
        <v>1197</v>
      </c>
    </row>
    <row r="966" spans="1:6" x14ac:dyDescent="0.45">
      <c r="A966" t="s">
        <v>1114</v>
      </c>
      <c r="B966" t="s">
        <v>1169</v>
      </c>
      <c r="C966">
        <v>56963102300</v>
      </c>
      <c r="D966">
        <v>59138795000</v>
      </c>
      <c r="E966">
        <v>75</v>
      </c>
      <c r="F966" t="s">
        <v>1197</v>
      </c>
    </row>
    <row r="967" spans="1:6" x14ac:dyDescent="0.45">
      <c r="A967" t="s">
        <v>1114</v>
      </c>
      <c r="B967" t="s">
        <v>1119</v>
      </c>
      <c r="C967">
        <v>56963102300</v>
      </c>
      <c r="D967">
        <v>57225984973</v>
      </c>
      <c r="E967">
        <v>76</v>
      </c>
      <c r="F967" t="s">
        <v>1197</v>
      </c>
    </row>
    <row r="968" spans="1:6" x14ac:dyDescent="0.45">
      <c r="A968" t="s">
        <v>1151</v>
      </c>
      <c r="B968" t="s">
        <v>1109</v>
      </c>
      <c r="C968">
        <v>57210362788</v>
      </c>
      <c r="D968">
        <v>57217109201</v>
      </c>
      <c r="E968">
        <v>75</v>
      </c>
      <c r="F968" t="s">
        <v>1197</v>
      </c>
    </row>
    <row r="969" spans="1:6" x14ac:dyDescent="0.45">
      <c r="A969" t="s">
        <v>1151</v>
      </c>
      <c r="B969" t="s">
        <v>1148</v>
      </c>
      <c r="C969">
        <v>57210362788</v>
      </c>
      <c r="D969">
        <v>57215863345</v>
      </c>
      <c r="E969">
        <v>80</v>
      </c>
      <c r="F969" t="s">
        <v>1197</v>
      </c>
    </row>
    <row r="970" spans="1:6" x14ac:dyDescent="0.45">
      <c r="A970" t="s">
        <v>1151</v>
      </c>
      <c r="B970" t="s">
        <v>1158</v>
      </c>
      <c r="C970">
        <v>57210362788</v>
      </c>
      <c r="D970">
        <v>54390643800</v>
      </c>
      <c r="E970">
        <v>75</v>
      </c>
      <c r="F970" t="s">
        <v>1197</v>
      </c>
    </row>
    <row r="971" spans="1:6" x14ac:dyDescent="0.45">
      <c r="A971" t="s">
        <v>1143</v>
      </c>
      <c r="B971" t="s">
        <v>1146</v>
      </c>
      <c r="C971">
        <v>58148929600</v>
      </c>
      <c r="D971">
        <v>57732522100</v>
      </c>
      <c r="E971">
        <v>88</v>
      </c>
      <c r="F971" t="s">
        <v>1197</v>
      </c>
    </row>
    <row r="972" spans="1:6" x14ac:dyDescent="0.45">
      <c r="A972" t="s">
        <v>1143</v>
      </c>
      <c r="B972" t="s">
        <v>1109</v>
      </c>
      <c r="C972">
        <v>58148929600</v>
      </c>
      <c r="D972">
        <v>57217109201</v>
      </c>
      <c r="E972">
        <v>75</v>
      </c>
      <c r="F972" t="s">
        <v>1197</v>
      </c>
    </row>
    <row r="973" spans="1:6" x14ac:dyDescent="0.45">
      <c r="A973" t="s">
        <v>1143</v>
      </c>
      <c r="B973" t="s">
        <v>1170</v>
      </c>
      <c r="C973">
        <v>58148929600</v>
      </c>
      <c r="D973">
        <v>57191914913</v>
      </c>
      <c r="E973">
        <v>77</v>
      </c>
      <c r="F973" t="s">
        <v>1197</v>
      </c>
    </row>
    <row r="974" spans="1:6" x14ac:dyDescent="0.45">
      <c r="A974" t="s">
        <v>1107</v>
      </c>
      <c r="B974" t="s">
        <v>1171</v>
      </c>
      <c r="C974">
        <v>56083560200</v>
      </c>
      <c r="D974">
        <v>58669484300</v>
      </c>
      <c r="E974">
        <v>76</v>
      </c>
      <c r="F974" t="s">
        <v>1197</v>
      </c>
    </row>
    <row r="975" spans="1:6" x14ac:dyDescent="0.45">
      <c r="A975" t="s">
        <v>1107</v>
      </c>
      <c r="B975" t="s">
        <v>1172</v>
      </c>
      <c r="C975">
        <v>56083560200</v>
      </c>
      <c r="D975">
        <v>57226464367</v>
      </c>
      <c r="E975">
        <v>80</v>
      </c>
      <c r="F975" t="s">
        <v>1197</v>
      </c>
    </row>
    <row r="976" spans="1:6" x14ac:dyDescent="0.45">
      <c r="A976" t="s">
        <v>1107</v>
      </c>
      <c r="B976" t="s">
        <v>1110</v>
      </c>
      <c r="C976">
        <v>56083560200</v>
      </c>
      <c r="D976">
        <v>59259099400</v>
      </c>
      <c r="E976">
        <v>76</v>
      </c>
      <c r="F976" t="s">
        <v>1197</v>
      </c>
    </row>
    <row r="977" spans="1:6" x14ac:dyDescent="0.45">
      <c r="A977" t="s">
        <v>1107</v>
      </c>
      <c r="B977" t="s">
        <v>1111</v>
      </c>
      <c r="C977">
        <v>56083560200</v>
      </c>
      <c r="D977">
        <v>26023886900</v>
      </c>
      <c r="E977">
        <v>78</v>
      </c>
      <c r="F977" t="s">
        <v>1197</v>
      </c>
    </row>
    <row r="978" spans="1:6" x14ac:dyDescent="0.45">
      <c r="A978" t="s">
        <v>1107</v>
      </c>
      <c r="B978" t="s">
        <v>1112</v>
      </c>
      <c r="C978">
        <v>56083560200</v>
      </c>
      <c r="D978">
        <v>57220902381</v>
      </c>
      <c r="E978">
        <v>76</v>
      </c>
      <c r="F978" t="s">
        <v>1197</v>
      </c>
    </row>
    <row r="979" spans="1:6" x14ac:dyDescent="0.45">
      <c r="A979" t="s">
        <v>1107</v>
      </c>
      <c r="B979" t="s">
        <v>1149</v>
      </c>
      <c r="C979">
        <v>56083560200</v>
      </c>
      <c r="D979">
        <v>57445736500</v>
      </c>
      <c r="E979">
        <v>78</v>
      </c>
      <c r="F979" t="s">
        <v>1197</v>
      </c>
    </row>
    <row r="980" spans="1:6" x14ac:dyDescent="0.45">
      <c r="A980" t="s">
        <v>1152</v>
      </c>
      <c r="B980" t="s">
        <v>1153</v>
      </c>
      <c r="C980">
        <v>57197774098</v>
      </c>
      <c r="D980">
        <v>56652361000</v>
      </c>
      <c r="E980">
        <v>76</v>
      </c>
      <c r="F980" t="s">
        <v>1197</v>
      </c>
    </row>
    <row r="981" spans="1:6" x14ac:dyDescent="0.45">
      <c r="A981" t="s">
        <v>1152</v>
      </c>
      <c r="B981" t="s">
        <v>1162</v>
      </c>
      <c r="C981">
        <v>57197774098</v>
      </c>
      <c r="D981">
        <v>57221753163</v>
      </c>
      <c r="E981">
        <v>88</v>
      </c>
      <c r="F981" t="s">
        <v>1197</v>
      </c>
    </row>
    <row r="982" spans="1:6" x14ac:dyDescent="0.45">
      <c r="A982" t="s">
        <v>1152</v>
      </c>
      <c r="B982" t="s">
        <v>1155</v>
      </c>
      <c r="C982">
        <v>57197774098</v>
      </c>
      <c r="D982">
        <v>57216635351</v>
      </c>
      <c r="E982">
        <v>75</v>
      </c>
      <c r="F982" t="s">
        <v>1197</v>
      </c>
    </row>
    <row r="983" spans="1:6" x14ac:dyDescent="0.45">
      <c r="A983" t="s">
        <v>1152</v>
      </c>
      <c r="B983" t="s">
        <v>1138</v>
      </c>
      <c r="C983">
        <v>57197774098</v>
      </c>
      <c r="D983">
        <v>56420749300</v>
      </c>
      <c r="E983">
        <v>76</v>
      </c>
      <c r="F983" t="s">
        <v>1197</v>
      </c>
    </row>
    <row r="984" spans="1:6" x14ac:dyDescent="0.45">
      <c r="A984" t="s">
        <v>1152</v>
      </c>
      <c r="B984" t="s">
        <v>1142</v>
      </c>
      <c r="C984">
        <v>57197774098</v>
      </c>
      <c r="D984">
        <v>56591076800</v>
      </c>
      <c r="E984">
        <v>76</v>
      </c>
      <c r="F984" t="s">
        <v>1197</v>
      </c>
    </row>
    <row r="985" spans="1:6" x14ac:dyDescent="0.45">
      <c r="A985" t="s">
        <v>1152</v>
      </c>
      <c r="B985" t="s">
        <v>1159</v>
      </c>
      <c r="C985">
        <v>57197774098</v>
      </c>
      <c r="D985">
        <v>59814155200</v>
      </c>
      <c r="E985">
        <v>86</v>
      </c>
      <c r="F985" t="s">
        <v>1197</v>
      </c>
    </row>
    <row r="986" spans="1:6" x14ac:dyDescent="0.45">
      <c r="A986" t="s">
        <v>1173</v>
      </c>
      <c r="B986" t="s">
        <v>1174</v>
      </c>
      <c r="C986">
        <v>57219121549</v>
      </c>
      <c r="D986">
        <v>57207793264</v>
      </c>
      <c r="E986">
        <v>77</v>
      </c>
      <c r="F986" t="s">
        <v>1197</v>
      </c>
    </row>
    <row r="987" spans="1:6" x14ac:dyDescent="0.45">
      <c r="A987" t="s">
        <v>1144</v>
      </c>
      <c r="B987" t="s">
        <v>1171</v>
      </c>
      <c r="C987">
        <v>57219650380</v>
      </c>
      <c r="D987">
        <v>58669484300</v>
      </c>
      <c r="E987">
        <v>75</v>
      </c>
      <c r="F987" t="s">
        <v>1197</v>
      </c>
    </row>
    <row r="988" spans="1:6" x14ac:dyDescent="0.45">
      <c r="A988" t="s">
        <v>1144</v>
      </c>
      <c r="B988" t="s">
        <v>1145</v>
      </c>
      <c r="C988">
        <v>57219650380</v>
      </c>
      <c r="D988">
        <v>56066618800</v>
      </c>
      <c r="E988">
        <v>75</v>
      </c>
      <c r="F988" t="s">
        <v>1197</v>
      </c>
    </row>
    <row r="989" spans="1:6" x14ac:dyDescent="0.45">
      <c r="A989" t="s">
        <v>1144</v>
      </c>
      <c r="B989" t="s">
        <v>1154</v>
      </c>
      <c r="C989">
        <v>57219650380</v>
      </c>
      <c r="D989">
        <v>57654567800</v>
      </c>
      <c r="E989">
        <v>75</v>
      </c>
      <c r="F989" t="s">
        <v>1197</v>
      </c>
    </row>
    <row r="990" spans="1:6" x14ac:dyDescent="0.45">
      <c r="A990" t="s">
        <v>1144</v>
      </c>
      <c r="B990" t="s">
        <v>1146</v>
      </c>
      <c r="C990">
        <v>57219650380</v>
      </c>
      <c r="D990">
        <v>57732522100</v>
      </c>
      <c r="E990">
        <v>75</v>
      </c>
      <c r="F990" t="s">
        <v>1197</v>
      </c>
    </row>
    <row r="991" spans="1:6" x14ac:dyDescent="0.45">
      <c r="A991" t="s">
        <v>1144</v>
      </c>
      <c r="B991" t="s">
        <v>1130</v>
      </c>
      <c r="C991">
        <v>57219650380</v>
      </c>
      <c r="D991">
        <v>58250313900</v>
      </c>
      <c r="E991">
        <v>80</v>
      </c>
      <c r="F991" t="s">
        <v>1197</v>
      </c>
    </row>
    <row r="992" spans="1:6" x14ac:dyDescent="0.45">
      <c r="A992" t="s">
        <v>1144</v>
      </c>
      <c r="B992" t="s">
        <v>1147</v>
      </c>
      <c r="C992">
        <v>57219650380</v>
      </c>
      <c r="D992">
        <v>58538506600</v>
      </c>
      <c r="E992">
        <v>75</v>
      </c>
      <c r="F992" t="s">
        <v>1197</v>
      </c>
    </row>
    <row r="993" spans="1:6" x14ac:dyDescent="0.45">
      <c r="A993" t="s">
        <v>1144</v>
      </c>
      <c r="B993" t="s">
        <v>1163</v>
      </c>
      <c r="C993">
        <v>57219650380</v>
      </c>
      <c r="D993">
        <v>59315530000</v>
      </c>
      <c r="E993">
        <v>80</v>
      </c>
      <c r="F993" t="s">
        <v>1197</v>
      </c>
    </row>
    <row r="994" spans="1:6" x14ac:dyDescent="0.45">
      <c r="A994" t="s">
        <v>1144</v>
      </c>
      <c r="B994" t="s">
        <v>1111</v>
      </c>
      <c r="C994">
        <v>57219650380</v>
      </c>
      <c r="D994">
        <v>26023886900</v>
      </c>
      <c r="E994">
        <v>76</v>
      </c>
      <c r="F994" t="s">
        <v>1197</v>
      </c>
    </row>
    <row r="995" spans="1:6" x14ac:dyDescent="0.45">
      <c r="A995" t="s">
        <v>1144</v>
      </c>
      <c r="B995" t="s">
        <v>1148</v>
      </c>
      <c r="C995">
        <v>57219650380</v>
      </c>
      <c r="D995">
        <v>57215863345</v>
      </c>
      <c r="E995">
        <v>75</v>
      </c>
      <c r="F995" t="s">
        <v>1197</v>
      </c>
    </row>
    <row r="996" spans="1:6" x14ac:dyDescent="0.45">
      <c r="A996" t="s">
        <v>1175</v>
      </c>
      <c r="B996" t="s">
        <v>1123</v>
      </c>
      <c r="C996">
        <v>57215871469</v>
      </c>
      <c r="D996">
        <v>57388977900</v>
      </c>
      <c r="E996">
        <v>84</v>
      </c>
      <c r="F996" t="s">
        <v>1196</v>
      </c>
    </row>
    <row r="997" spans="1:6" x14ac:dyDescent="0.45">
      <c r="A997" t="s">
        <v>1175</v>
      </c>
      <c r="B997" t="s">
        <v>1176</v>
      </c>
      <c r="C997">
        <v>57215871469</v>
      </c>
      <c r="D997">
        <v>59469547500</v>
      </c>
      <c r="E997">
        <v>91</v>
      </c>
      <c r="F997" t="s">
        <v>1197</v>
      </c>
    </row>
    <row r="998" spans="1:6" x14ac:dyDescent="0.45">
      <c r="A998" t="s">
        <v>1153</v>
      </c>
      <c r="B998" t="s">
        <v>1145</v>
      </c>
      <c r="C998">
        <v>56652361000</v>
      </c>
      <c r="D998">
        <v>56066618800</v>
      </c>
      <c r="E998">
        <v>76</v>
      </c>
      <c r="F998" t="s">
        <v>1197</v>
      </c>
    </row>
    <row r="999" spans="1:6" x14ac:dyDescent="0.45">
      <c r="A999" t="s">
        <v>1153</v>
      </c>
      <c r="B999" t="s">
        <v>1154</v>
      </c>
      <c r="C999">
        <v>56652361000</v>
      </c>
      <c r="D999">
        <v>57654567800</v>
      </c>
      <c r="E999">
        <v>76</v>
      </c>
      <c r="F999" t="s">
        <v>1197</v>
      </c>
    </row>
    <row r="1000" spans="1:6" x14ac:dyDescent="0.45">
      <c r="A1000" t="s">
        <v>1153</v>
      </c>
      <c r="B1000" t="s">
        <v>1135</v>
      </c>
      <c r="C1000">
        <v>56652361000</v>
      </c>
      <c r="D1000">
        <v>57234148200</v>
      </c>
      <c r="E1000">
        <v>82</v>
      </c>
      <c r="F1000" t="s">
        <v>1197</v>
      </c>
    </row>
    <row r="1001" spans="1:6" x14ac:dyDescent="0.45">
      <c r="A1001" s="2" t="s">
        <v>1153</v>
      </c>
      <c r="B1001" s="2" t="s">
        <v>1155</v>
      </c>
      <c r="C1001" s="2">
        <v>56652361000</v>
      </c>
      <c r="D1001" s="2">
        <v>57216635351</v>
      </c>
      <c r="E1001" s="2">
        <v>76</v>
      </c>
      <c r="F1001" t="s">
        <v>1197</v>
      </c>
    </row>
    <row r="1002" spans="1:6" x14ac:dyDescent="0.45">
      <c r="A1002" t="s">
        <v>1153</v>
      </c>
      <c r="B1002" t="s">
        <v>1136</v>
      </c>
      <c r="C1002">
        <v>56652361000</v>
      </c>
      <c r="D1002">
        <v>58484470900</v>
      </c>
      <c r="E1002">
        <v>76</v>
      </c>
      <c r="F1002" t="s">
        <v>1197</v>
      </c>
    </row>
    <row r="1003" spans="1:6" x14ac:dyDescent="0.45">
      <c r="A1003" t="s">
        <v>1153</v>
      </c>
      <c r="B1003" t="s">
        <v>1137</v>
      </c>
      <c r="C1003">
        <v>56652361000</v>
      </c>
      <c r="D1003">
        <v>58659062200</v>
      </c>
      <c r="E1003">
        <v>76</v>
      </c>
      <c r="F1003" t="s">
        <v>1197</v>
      </c>
    </row>
    <row r="1004" spans="1:6" x14ac:dyDescent="0.45">
      <c r="A1004" t="s">
        <v>1153</v>
      </c>
      <c r="B1004" t="s">
        <v>1177</v>
      </c>
      <c r="C1004">
        <v>56652361000</v>
      </c>
      <c r="D1004">
        <v>59151047800</v>
      </c>
      <c r="E1004">
        <v>76</v>
      </c>
      <c r="F1004" t="s">
        <v>1197</v>
      </c>
    </row>
    <row r="1005" spans="1:6" x14ac:dyDescent="0.45">
      <c r="A1005" t="s">
        <v>1153</v>
      </c>
      <c r="B1005" t="s">
        <v>1156</v>
      </c>
      <c r="C1005">
        <v>56652361000</v>
      </c>
      <c r="D1005">
        <v>57545971500</v>
      </c>
      <c r="E1005">
        <v>80</v>
      </c>
      <c r="F1005" t="s">
        <v>1197</v>
      </c>
    </row>
    <row r="1006" spans="1:6" x14ac:dyDescent="0.45">
      <c r="A1006" t="s">
        <v>1153</v>
      </c>
      <c r="B1006" t="s">
        <v>1111</v>
      </c>
      <c r="C1006">
        <v>56652361000</v>
      </c>
      <c r="D1006">
        <v>26023886900</v>
      </c>
      <c r="E1006">
        <v>78</v>
      </c>
      <c r="F1006" t="s">
        <v>1197</v>
      </c>
    </row>
    <row r="1007" spans="1:6" x14ac:dyDescent="0.45">
      <c r="A1007" t="s">
        <v>1153</v>
      </c>
      <c r="B1007" t="s">
        <v>1148</v>
      </c>
      <c r="C1007">
        <v>56652361000</v>
      </c>
      <c r="D1007">
        <v>57215863345</v>
      </c>
      <c r="E1007">
        <v>76</v>
      </c>
      <c r="F1007" t="s">
        <v>1197</v>
      </c>
    </row>
    <row r="1008" spans="1:6" x14ac:dyDescent="0.45">
      <c r="A1008" t="s">
        <v>1153</v>
      </c>
      <c r="B1008" t="s">
        <v>1157</v>
      </c>
      <c r="C1008">
        <v>56652361000</v>
      </c>
      <c r="D1008">
        <v>57951956700</v>
      </c>
      <c r="E1008">
        <v>76</v>
      </c>
      <c r="F1008" t="s">
        <v>1197</v>
      </c>
    </row>
    <row r="1009" spans="1:6" x14ac:dyDescent="0.45">
      <c r="A1009" t="s">
        <v>1153</v>
      </c>
      <c r="B1009" t="s">
        <v>1138</v>
      </c>
      <c r="C1009">
        <v>56652361000</v>
      </c>
      <c r="D1009">
        <v>56420749300</v>
      </c>
      <c r="E1009">
        <v>89</v>
      </c>
      <c r="F1009" t="s">
        <v>1197</v>
      </c>
    </row>
    <row r="1010" spans="1:6" x14ac:dyDescent="0.45">
      <c r="A1010" t="s">
        <v>1153</v>
      </c>
      <c r="B1010" t="s">
        <v>1178</v>
      </c>
      <c r="C1010">
        <v>56652361000</v>
      </c>
      <c r="D1010">
        <v>59359288300</v>
      </c>
      <c r="E1010">
        <v>80</v>
      </c>
      <c r="F1010" t="s">
        <v>1197</v>
      </c>
    </row>
    <row r="1011" spans="1:6" x14ac:dyDescent="0.45">
      <c r="A1011" t="s">
        <v>1153</v>
      </c>
      <c r="B1011" t="s">
        <v>1142</v>
      </c>
      <c r="C1011">
        <v>56652361000</v>
      </c>
      <c r="D1011">
        <v>56591076800</v>
      </c>
      <c r="E1011">
        <v>89</v>
      </c>
      <c r="F1011" t="s">
        <v>1197</v>
      </c>
    </row>
    <row r="1012" spans="1:6" x14ac:dyDescent="0.45">
      <c r="A1012" t="s">
        <v>1153</v>
      </c>
      <c r="B1012" t="s">
        <v>1149</v>
      </c>
      <c r="C1012">
        <v>56652361000</v>
      </c>
      <c r="D1012">
        <v>57445736500</v>
      </c>
      <c r="E1012">
        <v>78</v>
      </c>
      <c r="F1012" t="s">
        <v>1197</v>
      </c>
    </row>
    <row r="1013" spans="1:6" x14ac:dyDescent="0.45">
      <c r="A1013" t="s">
        <v>1153</v>
      </c>
      <c r="B1013" t="s">
        <v>1159</v>
      </c>
      <c r="C1013">
        <v>56652361000</v>
      </c>
      <c r="D1013">
        <v>59814155200</v>
      </c>
      <c r="E1013">
        <v>89</v>
      </c>
      <c r="F1013" t="s">
        <v>1197</v>
      </c>
    </row>
    <row r="1014" spans="1:6" x14ac:dyDescent="0.45">
      <c r="A1014" t="s">
        <v>1171</v>
      </c>
      <c r="B1014" t="s">
        <v>1145</v>
      </c>
      <c r="C1014">
        <v>58669484300</v>
      </c>
      <c r="D1014">
        <v>56066618800</v>
      </c>
      <c r="E1014">
        <v>75</v>
      </c>
      <c r="F1014" t="s">
        <v>1197</v>
      </c>
    </row>
    <row r="1015" spans="1:6" x14ac:dyDescent="0.45">
      <c r="A1015" t="s">
        <v>1171</v>
      </c>
      <c r="B1015" t="s">
        <v>1146</v>
      </c>
      <c r="C1015">
        <v>58669484300</v>
      </c>
      <c r="D1015">
        <v>57732522100</v>
      </c>
      <c r="E1015">
        <v>75</v>
      </c>
      <c r="F1015" t="s">
        <v>1197</v>
      </c>
    </row>
    <row r="1016" spans="1:6" x14ac:dyDescent="0.45">
      <c r="A1016" t="s">
        <v>1171</v>
      </c>
      <c r="B1016" t="s">
        <v>1130</v>
      </c>
      <c r="C1016">
        <v>58669484300</v>
      </c>
      <c r="D1016">
        <v>58250313900</v>
      </c>
      <c r="E1016">
        <v>80</v>
      </c>
      <c r="F1016" t="s">
        <v>1197</v>
      </c>
    </row>
    <row r="1017" spans="1:6" x14ac:dyDescent="0.45">
      <c r="A1017" t="s">
        <v>1171</v>
      </c>
      <c r="B1017" t="s">
        <v>1147</v>
      </c>
      <c r="C1017">
        <v>58669484300</v>
      </c>
      <c r="D1017">
        <v>58538506600</v>
      </c>
      <c r="E1017">
        <v>75</v>
      </c>
      <c r="F1017" t="s">
        <v>1197</v>
      </c>
    </row>
    <row r="1018" spans="1:6" x14ac:dyDescent="0.45">
      <c r="A1018" t="s">
        <v>1171</v>
      </c>
      <c r="B1018" t="s">
        <v>1111</v>
      </c>
      <c r="C1018">
        <v>58669484300</v>
      </c>
      <c r="D1018">
        <v>26023886900</v>
      </c>
      <c r="E1018">
        <v>86</v>
      </c>
      <c r="F1018" t="s">
        <v>1197</v>
      </c>
    </row>
    <row r="1019" spans="1:6" x14ac:dyDescent="0.45">
      <c r="A1019" t="s">
        <v>1171</v>
      </c>
      <c r="B1019" t="s">
        <v>1148</v>
      </c>
      <c r="C1019">
        <v>58669484300</v>
      </c>
      <c r="D1019">
        <v>57215863345</v>
      </c>
      <c r="E1019">
        <v>75</v>
      </c>
      <c r="F1019" t="s">
        <v>1197</v>
      </c>
    </row>
    <row r="1020" spans="1:6" x14ac:dyDescent="0.45">
      <c r="A1020" t="s">
        <v>1145</v>
      </c>
      <c r="B1020" t="s">
        <v>1154</v>
      </c>
      <c r="C1020">
        <v>56066618800</v>
      </c>
      <c r="D1020">
        <v>57654567800</v>
      </c>
      <c r="E1020">
        <v>75</v>
      </c>
      <c r="F1020" t="s">
        <v>1197</v>
      </c>
    </row>
    <row r="1021" spans="1:6" x14ac:dyDescent="0.45">
      <c r="A1021" t="s">
        <v>1145</v>
      </c>
      <c r="B1021" t="s">
        <v>1146</v>
      </c>
      <c r="C1021">
        <v>56066618800</v>
      </c>
      <c r="D1021">
        <v>57732522100</v>
      </c>
      <c r="E1021">
        <v>83</v>
      </c>
      <c r="F1021" t="s">
        <v>1197</v>
      </c>
    </row>
    <row r="1022" spans="1:6" x14ac:dyDescent="0.45">
      <c r="A1022" t="s">
        <v>1145</v>
      </c>
      <c r="B1022" t="s">
        <v>1147</v>
      </c>
      <c r="C1022">
        <v>56066618800</v>
      </c>
      <c r="D1022">
        <v>58538506600</v>
      </c>
      <c r="E1022">
        <v>75</v>
      </c>
      <c r="F1022" t="s">
        <v>1197</v>
      </c>
    </row>
    <row r="1023" spans="1:6" x14ac:dyDescent="0.45">
      <c r="A1023" t="s">
        <v>1145</v>
      </c>
      <c r="B1023" t="s">
        <v>1156</v>
      </c>
      <c r="C1023">
        <v>56066618800</v>
      </c>
      <c r="D1023">
        <v>57545971500</v>
      </c>
      <c r="E1023">
        <v>78</v>
      </c>
      <c r="F1023" t="s">
        <v>1197</v>
      </c>
    </row>
    <row r="1024" spans="1:6" x14ac:dyDescent="0.45">
      <c r="A1024" t="s">
        <v>1145</v>
      </c>
      <c r="B1024" t="s">
        <v>1111</v>
      </c>
      <c r="C1024">
        <v>56066618800</v>
      </c>
      <c r="D1024">
        <v>26023886900</v>
      </c>
      <c r="E1024">
        <v>76</v>
      </c>
      <c r="F1024" t="s">
        <v>1197</v>
      </c>
    </row>
    <row r="1025" spans="1:6" x14ac:dyDescent="0.45">
      <c r="A1025" t="s">
        <v>1145</v>
      </c>
      <c r="B1025" t="s">
        <v>1148</v>
      </c>
      <c r="C1025">
        <v>56066618800</v>
      </c>
      <c r="D1025">
        <v>57215863345</v>
      </c>
      <c r="E1025">
        <v>83</v>
      </c>
      <c r="F1025" t="s">
        <v>1197</v>
      </c>
    </row>
    <row r="1026" spans="1:6" x14ac:dyDescent="0.45">
      <c r="A1026" t="s">
        <v>1145</v>
      </c>
      <c r="B1026" t="s">
        <v>1170</v>
      </c>
      <c r="C1026">
        <v>56066618800</v>
      </c>
      <c r="D1026">
        <v>57191914913</v>
      </c>
      <c r="E1026">
        <v>80</v>
      </c>
      <c r="F1026" t="s">
        <v>1197</v>
      </c>
    </row>
    <row r="1027" spans="1:6" x14ac:dyDescent="0.45">
      <c r="A1027" t="s">
        <v>1145</v>
      </c>
      <c r="B1027" t="s">
        <v>1142</v>
      </c>
      <c r="C1027">
        <v>56066618800</v>
      </c>
      <c r="D1027">
        <v>56591076800</v>
      </c>
      <c r="E1027">
        <v>76</v>
      </c>
      <c r="F1027" t="s">
        <v>1197</v>
      </c>
    </row>
    <row r="1028" spans="1:6" x14ac:dyDescent="0.45">
      <c r="A1028" t="s">
        <v>1145</v>
      </c>
      <c r="B1028" t="s">
        <v>1159</v>
      </c>
      <c r="C1028">
        <v>56066618800</v>
      </c>
      <c r="D1028">
        <v>59814155200</v>
      </c>
      <c r="E1028">
        <v>76</v>
      </c>
      <c r="F1028" t="s">
        <v>1197</v>
      </c>
    </row>
    <row r="1029" spans="1:6" x14ac:dyDescent="0.45">
      <c r="A1029" t="s">
        <v>1179</v>
      </c>
      <c r="B1029" t="s">
        <v>1162</v>
      </c>
      <c r="C1029">
        <v>59622258600</v>
      </c>
      <c r="D1029">
        <v>57221753163</v>
      </c>
      <c r="E1029">
        <v>78</v>
      </c>
      <c r="F1029" t="s">
        <v>1197</v>
      </c>
    </row>
    <row r="1030" spans="1:6" x14ac:dyDescent="0.45">
      <c r="A1030" t="s">
        <v>1126</v>
      </c>
      <c r="B1030" t="s">
        <v>1108</v>
      </c>
      <c r="C1030">
        <v>57202358222</v>
      </c>
      <c r="D1030">
        <v>55330996300</v>
      </c>
      <c r="E1030">
        <v>83</v>
      </c>
      <c r="F1030" t="s">
        <v>1197</v>
      </c>
    </row>
    <row r="1031" spans="1:6" x14ac:dyDescent="0.45">
      <c r="A1031" t="s">
        <v>1126</v>
      </c>
      <c r="B1031" t="s">
        <v>1154</v>
      </c>
      <c r="C1031">
        <v>57202358222</v>
      </c>
      <c r="D1031">
        <v>57654567800</v>
      </c>
      <c r="E1031">
        <v>77</v>
      </c>
      <c r="F1031" t="s">
        <v>1197</v>
      </c>
    </row>
    <row r="1032" spans="1:6" x14ac:dyDescent="0.45">
      <c r="A1032" t="s">
        <v>1126</v>
      </c>
      <c r="B1032" t="s">
        <v>1127</v>
      </c>
      <c r="C1032">
        <v>57202358222</v>
      </c>
      <c r="D1032">
        <v>58511137000</v>
      </c>
      <c r="E1032">
        <v>81</v>
      </c>
      <c r="F1032" t="s">
        <v>1197</v>
      </c>
    </row>
    <row r="1033" spans="1:6" x14ac:dyDescent="0.45">
      <c r="A1033" t="s">
        <v>1126</v>
      </c>
      <c r="B1033" t="s">
        <v>1157</v>
      </c>
      <c r="C1033">
        <v>57202358222</v>
      </c>
      <c r="D1033">
        <v>57951956700</v>
      </c>
      <c r="E1033">
        <v>77</v>
      </c>
      <c r="F1033" t="s">
        <v>1197</v>
      </c>
    </row>
    <row r="1034" spans="1:6" x14ac:dyDescent="0.45">
      <c r="A1034" t="s">
        <v>1126</v>
      </c>
      <c r="B1034" t="s">
        <v>1112</v>
      </c>
      <c r="C1034">
        <v>57202358222</v>
      </c>
      <c r="D1034">
        <v>57220902381</v>
      </c>
      <c r="E1034">
        <v>77</v>
      </c>
      <c r="F1034" t="s">
        <v>1197</v>
      </c>
    </row>
    <row r="1035" spans="1:6" x14ac:dyDescent="0.45">
      <c r="A1035" t="s">
        <v>1126</v>
      </c>
      <c r="B1035" t="s">
        <v>1128</v>
      </c>
      <c r="C1035">
        <v>57202358222</v>
      </c>
      <c r="D1035">
        <v>57222133578</v>
      </c>
      <c r="E1035">
        <v>86</v>
      </c>
      <c r="F1035" t="s">
        <v>1197</v>
      </c>
    </row>
    <row r="1036" spans="1:6" x14ac:dyDescent="0.45">
      <c r="A1036" t="s">
        <v>1126</v>
      </c>
      <c r="B1036" t="s">
        <v>1142</v>
      </c>
      <c r="C1036">
        <v>57202358222</v>
      </c>
      <c r="D1036">
        <v>56591076800</v>
      </c>
      <c r="E1036">
        <v>78</v>
      </c>
      <c r="F1036" t="s">
        <v>1197</v>
      </c>
    </row>
    <row r="1037" spans="1:6" x14ac:dyDescent="0.45">
      <c r="A1037" t="s">
        <v>1108</v>
      </c>
      <c r="B1037" t="s">
        <v>1156</v>
      </c>
      <c r="C1037">
        <v>55330996300</v>
      </c>
      <c r="D1037">
        <v>57545971500</v>
      </c>
      <c r="E1037">
        <v>76</v>
      </c>
      <c r="F1037" t="s">
        <v>1197</v>
      </c>
    </row>
    <row r="1038" spans="1:6" x14ac:dyDescent="0.45">
      <c r="A1038" t="s">
        <v>1108</v>
      </c>
      <c r="B1038" t="s">
        <v>1127</v>
      </c>
      <c r="C1038">
        <v>55330996300</v>
      </c>
      <c r="D1038">
        <v>58511137000</v>
      </c>
      <c r="E1038">
        <v>87</v>
      </c>
      <c r="F1038" t="s">
        <v>1197</v>
      </c>
    </row>
    <row r="1039" spans="1:6" x14ac:dyDescent="0.45">
      <c r="A1039" t="s">
        <v>1108</v>
      </c>
      <c r="B1039" t="s">
        <v>1112</v>
      </c>
      <c r="C1039">
        <v>55330996300</v>
      </c>
      <c r="D1039">
        <v>57220902381</v>
      </c>
      <c r="E1039">
        <v>91</v>
      </c>
      <c r="F1039" t="s">
        <v>1197</v>
      </c>
    </row>
    <row r="1040" spans="1:6" x14ac:dyDescent="0.45">
      <c r="A1040" t="s">
        <v>1108</v>
      </c>
      <c r="B1040" t="s">
        <v>1128</v>
      </c>
      <c r="C1040">
        <v>55330996300</v>
      </c>
      <c r="D1040">
        <v>57222133578</v>
      </c>
      <c r="E1040">
        <v>83</v>
      </c>
      <c r="F1040" t="s">
        <v>1197</v>
      </c>
    </row>
    <row r="1041" spans="1:6" x14ac:dyDescent="0.45">
      <c r="A1041" t="s">
        <v>1108</v>
      </c>
      <c r="B1041" t="s">
        <v>1142</v>
      </c>
      <c r="C1041">
        <v>55330996300</v>
      </c>
      <c r="D1041">
        <v>56591076800</v>
      </c>
      <c r="E1041">
        <v>84</v>
      </c>
      <c r="F1041" t="s">
        <v>1197</v>
      </c>
    </row>
    <row r="1042" spans="1:6" x14ac:dyDescent="0.45">
      <c r="A1042" t="s">
        <v>1121</v>
      </c>
      <c r="B1042" t="s">
        <v>1180</v>
      </c>
      <c r="C1042">
        <v>56149865900</v>
      </c>
      <c r="D1042">
        <v>58438192400</v>
      </c>
      <c r="E1042">
        <v>76</v>
      </c>
      <c r="F1042" t="s">
        <v>1197</v>
      </c>
    </row>
    <row r="1043" spans="1:6" x14ac:dyDescent="0.45">
      <c r="A1043" t="s">
        <v>1181</v>
      </c>
      <c r="B1043" t="s">
        <v>1154</v>
      </c>
      <c r="C1043">
        <v>56503285300</v>
      </c>
      <c r="D1043">
        <v>57654567800</v>
      </c>
      <c r="E1043">
        <v>77</v>
      </c>
      <c r="F1043" t="s">
        <v>1197</v>
      </c>
    </row>
    <row r="1044" spans="1:6" x14ac:dyDescent="0.45">
      <c r="A1044" t="s">
        <v>1181</v>
      </c>
      <c r="B1044" t="s">
        <v>1182</v>
      </c>
      <c r="C1044">
        <v>56503285300</v>
      </c>
      <c r="D1044">
        <v>57609969300</v>
      </c>
      <c r="E1044">
        <v>81</v>
      </c>
      <c r="F1044" t="s">
        <v>1197</v>
      </c>
    </row>
    <row r="1045" spans="1:6" x14ac:dyDescent="0.45">
      <c r="A1045" t="s">
        <v>1181</v>
      </c>
      <c r="B1045" t="s">
        <v>1159</v>
      </c>
      <c r="C1045">
        <v>56503285300</v>
      </c>
      <c r="D1045">
        <v>59814155200</v>
      </c>
      <c r="E1045">
        <v>78</v>
      </c>
      <c r="F1045" t="s">
        <v>1197</v>
      </c>
    </row>
    <row r="1046" spans="1:6" x14ac:dyDescent="0.45">
      <c r="A1046" t="s">
        <v>1154</v>
      </c>
      <c r="B1046" t="s">
        <v>1130</v>
      </c>
      <c r="C1046">
        <v>57654567800</v>
      </c>
      <c r="D1046">
        <v>58250313900</v>
      </c>
      <c r="E1046">
        <v>80</v>
      </c>
      <c r="F1046" t="s">
        <v>1197</v>
      </c>
    </row>
    <row r="1047" spans="1:6" x14ac:dyDescent="0.45">
      <c r="A1047" t="s">
        <v>1154</v>
      </c>
      <c r="B1047" t="s">
        <v>1155</v>
      </c>
      <c r="C1047">
        <v>57654567800</v>
      </c>
      <c r="D1047">
        <v>57216635351</v>
      </c>
      <c r="E1047">
        <v>75</v>
      </c>
      <c r="F1047" t="s">
        <v>1197</v>
      </c>
    </row>
    <row r="1048" spans="1:6" x14ac:dyDescent="0.45">
      <c r="A1048" t="s">
        <v>1154</v>
      </c>
      <c r="B1048" t="s">
        <v>1163</v>
      </c>
      <c r="C1048">
        <v>57654567800</v>
      </c>
      <c r="D1048">
        <v>59315530000</v>
      </c>
      <c r="E1048">
        <v>80</v>
      </c>
      <c r="F1048" t="s">
        <v>1197</v>
      </c>
    </row>
    <row r="1049" spans="1:6" x14ac:dyDescent="0.45">
      <c r="A1049" t="s">
        <v>1154</v>
      </c>
      <c r="B1049" t="s">
        <v>1177</v>
      </c>
      <c r="C1049">
        <v>57654567800</v>
      </c>
      <c r="D1049">
        <v>59151047800</v>
      </c>
      <c r="E1049">
        <v>75</v>
      </c>
      <c r="F1049" t="s">
        <v>1197</v>
      </c>
    </row>
    <row r="1050" spans="1:6" x14ac:dyDescent="0.45">
      <c r="A1050" t="s">
        <v>1154</v>
      </c>
      <c r="B1050" t="s">
        <v>1183</v>
      </c>
      <c r="C1050">
        <v>57654567800</v>
      </c>
      <c r="D1050">
        <v>59538089800</v>
      </c>
      <c r="E1050">
        <v>76</v>
      </c>
      <c r="F1050" t="s">
        <v>1197</v>
      </c>
    </row>
    <row r="1051" spans="1:6" x14ac:dyDescent="0.45">
      <c r="A1051" t="s">
        <v>1154</v>
      </c>
      <c r="B1051" t="s">
        <v>1148</v>
      </c>
      <c r="C1051">
        <v>57654567800</v>
      </c>
      <c r="D1051">
        <v>57215863345</v>
      </c>
      <c r="E1051">
        <v>75</v>
      </c>
      <c r="F1051" t="s">
        <v>1197</v>
      </c>
    </row>
    <row r="1052" spans="1:6" x14ac:dyDescent="0.45">
      <c r="A1052" t="s">
        <v>1154</v>
      </c>
      <c r="B1052" t="s">
        <v>1157</v>
      </c>
      <c r="C1052">
        <v>57654567800</v>
      </c>
      <c r="D1052">
        <v>57951956700</v>
      </c>
      <c r="E1052">
        <v>75</v>
      </c>
      <c r="F1052" t="s">
        <v>1197</v>
      </c>
    </row>
    <row r="1053" spans="1:6" x14ac:dyDescent="0.45">
      <c r="A1053" t="s">
        <v>1154</v>
      </c>
      <c r="B1053" t="s">
        <v>1142</v>
      </c>
      <c r="C1053">
        <v>57654567800</v>
      </c>
      <c r="D1053">
        <v>56591076800</v>
      </c>
      <c r="E1053">
        <v>76</v>
      </c>
      <c r="F1053" t="s">
        <v>1197</v>
      </c>
    </row>
    <row r="1054" spans="1:6" x14ac:dyDescent="0.45">
      <c r="A1054" t="s">
        <v>1154</v>
      </c>
      <c r="B1054" t="s">
        <v>1159</v>
      </c>
      <c r="C1054">
        <v>57654567800</v>
      </c>
      <c r="D1054">
        <v>59814155200</v>
      </c>
      <c r="E1054">
        <v>76</v>
      </c>
      <c r="F1054" t="s">
        <v>1197</v>
      </c>
    </row>
    <row r="1055" spans="1:6" x14ac:dyDescent="0.45">
      <c r="A1055" t="s">
        <v>1146</v>
      </c>
      <c r="B1055" t="s">
        <v>1147</v>
      </c>
      <c r="C1055">
        <v>57732522100</v>
      </c>
      <c r="D1055">
        <v>58538506600</v>
      </c>
      <c r="E1055">
        <v>75</v>
      </c>
      <c r="F1055" t="s">
        <v>1197</v>
      </c>
    </row>
    <row r="1056" spans="1:6" x14ac:dyDescent="0.45">
      <c r="A1056" t="s">
        <v>1146</v>
      </c>
      <c r="B1056" t="s">
        <v>1111</v>
      </c>
      <c r="C1056">
        <v>57732522100</v>
      </c>
      <c r="D1056">
        <v>26023886900</v>
      </c>
      <c r="E1056">
        <v>76</v>
      </c>
      <c r="F1056" t="s">
        <v>1197</v>
      </c>
    </row>
    <row r="1057" spans="1:6" x14ac:dyDescent="0.45">
      <c r="A1057" t="s">
        <v>1146</v>
      </c>
      <c r="B1057" t="s">
        <v>1148</v>
      </c>
      <c r="C1057">
        <v>57732522100</v>
      </c>
      <c r="D1057">
        <v>57215863345</v>
      </c>
      <c r="E1057">
        <v>83</v>
      </c>
      <c r="F1057" t="s">
        <v>1197</v>
      </c>
    </row>
    <row r="1058" spans="1:6" x14ac:dyDescent="0.45">
      <c r="A1058" t="s">
        <v>1146</v>
      </c>
      <c r="B1058" t="s">
        <v>1170</v>
      </c>
      <c r="C1058">
        <v>57732522100</v>
      </c>
      <c r="D1058">
        <v>57191914913</v>
      </c>
      <c r="E1058">
        <v>80</v>
      </c>
      <c r="F1058" t="s">
        <v>1197</v>
      </c>
    </row>
    <row r="1059" spans="1:6" x14ac:dyDescent="0.45">
      <c r="A1059" t="s">
        <v>1146</v>
      </c>
      <c r="B1059" t="s">
        <v>1142</v>
      </c>
      <c r="C1059">
        <v>57732522100</v>
      </c>
      <c r="D1059">
        <v>56591076800</v>
      </c>
      <c r="E1059">
        <v>76</v>
      </c>
      <c r="F1059" t="s">
        <v>1197</v>
      </c>
    </row>
    <row r="1060" spans="1:6" x14ac:dyDescent="0.45">
      <c r="A1060" t="s">
        <v>1130</v>
      </c>
      <c r="B1060" t="s">
        <v>1184</v>
      </c>
      <c r="C1060">
        <v>58250313900</v>
      </c>
      <c r="D1060">
        <v>59305816100</v>
      </c>
      <c r="E1060">
        <v>80</v>
      </c>
      <c r="F1060" t="s">
        <v>1197</v>
      </c>
    </row>
    <row r="1061" spans="1:6" x14ac:dyDescent="0.45">
      <c r="A1061" t="s">
        <v>1130</v>
      </c>
      <c r="B1061" t="s">
        <v>1135</v>
      </c>
      <c r="C1061">
        <v>58250313900</v>
      </c>
      <c r="D1061">
        <v>57234148200</v>
      </c>
      <c r="E1061">
        <v>77</v>
      </c>
      <c r="F1061" t="s">
        <v>1197</v>
      </c>
    </row>
    <row r="1062" spans="1:6" x14ac:dyDescent="0.45">
      <c r="A1062" t="s">
        <v>1130</v>
      </c>
      <c r="B1062" t="s">
        <v>1163</v>
      </c>
      <c r="C1062">
        <v>58250313900</v>
      </c>
      <c r="D1062">
        <v>59315530000</v>
      </c>
      <c r="E1062">
        <v>77</v>
      </c>
      <c r="F1062" t="s">
        <v>1197</v>
      </c>
    </row>
    <row r="1063" spans="1:6" x14ac:dyDescent="0.45">
      <c r="A1063" t="s">
        <v>1130</v>
      </c>
      <c r="B1063" t="s">
        <v>1182</v>
      </c>
      <c r="C1063">
        <v>58250313900</v>
      </c>
      <c r="D1063">
        <v>57609969300</v>
      </c>
      <c r="E1063">
        <v>77</v>
      </c>
      <c r="F1063" t="s">
        <v>1197</v>
      </c>
    </row>
    <row r="1064" spans="1:6" x14ac:dyDescent="0.45">
      <c r="A1064" t="s">
        <v>1130</v>
      </c>
      <c r="B1064" t="s">
        <v>1131</v>
      </c>
      <c r="C1064">
        <v>58250313900</v>
      </c>
      <c r="D1064">
        <v>57195715824</v>
      </c>
      <c r="E1064">
        <v>85</v>
      </c>
      <c r="F1064" t="s">
        <v>1197</v>
      </c>
    </row>
    <row r="1065" spans="1:6" x14ac:dyDescent="0.45">
      <c r="A1065" t="s">
        <v>1122</v>
      </c>
      <c r="B1065" t="s">
        <v>1125</v>
      </c>
      <c r="C1065">
        <v>57216204512</v>
      </c>
      <c r="D1065">
        <v>59504639600</v>
      </c>
      <c r="E1065">
        <v>75</v>
      </c>
      <c r="F1065" t="s">
        <v>1197</v>
      </c>
    </row>
    <row r="1066" spans="1:6" x14ac:dyDescent="0.45">
      <c r="A1066" t="s">
        <v>1184</v>
      </c>
      <c r="B1066" t="s">
        <v>1131</v>
      </c>
      <c r="C1066">
        <v>59305816100</v>
      </c>
      <c r="D1066">
        <v>57195715824</v>
      </c>
      <c r="E1066">
        <v>88</v>
      </c>
      <c r="F1066" t="s">
        <v>1197</v>
      </c>
    </row>
    <row r="1067" spans="1:6" x14ac:dyDescent="0.45">
      <c r="A1067" t="s">
        <v>1162</v>
      </c>
      <c r="B1067" t="s">
        <v>1159</v>
      </c>
      <c r="C1067">
        <v>57221753163</v>
      </c>
      <c r="D1067">
        <v>59814155200</v>
      </c>
      <c r="E1067">
        <v>82</v>
      </c>
      <c r="F1067" t="s">
        <v>1197</v>
      </c>
    </row>
    <row r="1068" spans="1:6" x14ac:dyDescent="0.45">
      <c r="A1068" t="s">
        <v>1135</v>
      </c>
      <c r="B1068" t="s">
        <v>1136</v>
      </c>
      <c r="C1068">
        <v>57234148200</v>
      </c>
      <c r="D1068">
        <v>58484470900</v>
      </c>
      <c r="E1068">
        <v>80</v>
      </c>
      <c r="F1068" t="s">
        <v>1197</v>
      </c>
    </row>
    <row r="1069" spans="1:6" x14ac:dyDescent="0.45">
      <c r="A1069" t="s">
        <v>1135</v>
      </c>
      <c r="B1069" t="s">
        <v>1137</v>
      </c>
      <c r="C1069">
        <v>57234148200</v>
      </c>
      <c r="D1069">
        <v>58659062200</v>
      </c>
      <c r="E1069">
        <v>80</v>
      </c>
      <c r="F1069" t="s">
        <v>1197</v>
      </c>
    </row>
    <row r="1070" spans="1:6" x14ac:dyDescent="0.45">
      <c r="A1070" t="s">
        <v>1147</v>
      </c>
      <c r="B1070" t="s">
        <v>1111</v>
      </c>
      <c r="C1070">
        <v>58538506600</v>
      </c>
      <c r="D1070">
        <v>26023886900</v>
      </c>
      <c r="E1070">
        <v>76</v>
      </c>
      <c r="F1070" t="s">
        <v>1197</v>
      </c>
    </row>
    <row r="1071" spans="1:6" x14ac:dyDescent="0.45">
      <c r="A1071" t="s">
        <v>1147</v>
      </c>
      <c r="B1071" t="s">
        <v>1148</v>
      </c>
      <c r="C1071">
        <v>58538506600</v>
      </c>
      <c r="D1071">
        <v>57215863345</v>
      </c>
      <c r="E1071">
        <v>75</v>
      </c>
      <c r="F1071" t="s">
        <v>1197</v>
      </c>
    </row>
    <row r="1072" spans="1:6" x14ac:dyDescent="0.45">
      <c r="A1072" t="s">
        <v>1109</v>
      </c>
      <c r="B1072" t="s">
        <v>1111</v>
      </c>
      <c r="C1072">
        <v>57217109201</v>
      </c>
      <c r="D1072">
        <v>26023886900</v>
      </c>
      <c r="E1072">
        <v>80</v>
      </c>
      <c r="F1072" t="s">
        <v>1197</v>
      </c>
    </row>
    <row r="1073" spans="1:6" x14ac:dyDescent="0.45">
      <c r="A1073" t="s">
        <v>1109</v>
      </c>
      <c r="B1073" t="s">
        <v>1170</v>
      </c>
      <c r="C1073">
        <v>57217109201</v>
      </c>
      <c r="D1073">
        <v>57191914913</v>
      </c>
      <c r="E1073">
        <v>75</v>
      </c>
      <c r="F1073" t="s">
        <v>1197</v>
      </c>
    </row>
    <row r="1074" spans="1:6" x14ac:dyDescent="0.45">
      <c r="A1074" t="s">
        <v>1185</v>
      </c>
      <c r="B1074" t="s">
        <v>1178</v>
      </c>
      <c r="C1074">
        <v>57226844642</v>
      </c>
      <c r="D1074">
        <v>59359288300</v>
      </c>
      <c r="E1074">
        <v>75</v>
      </c>
      <c r="F1074" t="s">
        <v>1197</v>
      </c>
    </row>
    <row r="1075" spans="1:6" x14ac:dyDescent="0.45">
      <c r="A1075" t="s">
        <v>1186</v>
      </c>
      <c r="B1075" t="s">
        <v>1187</v>
      </c>
      <c r="C1075">
        <v>57206898889</v>
      </c>
      <c r="D1075">
        <v>58746456100</v>
      </c>
      <c r="E1075">
        <v>75</v>
      </c>
      <c r="F1075" t="s">
        <v>1197</v>
      </c>
    </row>
    <row r="1076" spans="1:6" x14ac:dyDescent="0.45">
      <c r="A1076" t="s">
        <v>1123</v>
      </c>
      <c r="B1076" t="s">
        <v>1188</v>
      </c>
      <c r="C1076">
        <v>57388977900</v>
      </c>
      <c r="D1076">
        <v>57215719895</v>
      </c>
      <c r="E1076">
        <v>82</v>
      </c>
      <c r="F1076" t="s">
        <v>1197</v>
      </c>
    </row>
    <row r="1077" spans="1:6" x14ac:dyDescent="0.45">
      <c r="A1077" t="s">
        <v>1123</v>
      </c>
      <c r="B1077" t="s">
        <v>1124</v>
      </c>
      <c r="C1077">
        <v>57388977900</v>
      </c>
      <c r="D1077">
        <v>57770966500</v>
      </c>
      <c r="E1077">
        <v>75</v>
      </c>
      <c r="F1077" t="s">
        <v>1197</v>
      </c>
    </row>
    <row r="1078" spans="1:6" x14ac:dyDescent="0.45">
      <c r="A1078" t="s">
        <v>1123</v>
      </c>
      <c r="B1078" t="s">
        <v>1125</v>
      </c>
      <c r="C1078">
        <v>57388977900</v>
      </c>
      <c r="D1078">
        <v>59504639600</v>
      </c>
      <c r="E1078">
        <v>80</v>
      </c>
      <c r="F1078" t="s">
        <v>1197</v>
      </c>
    </row>
    <row r="1079" spans="1:6" x14ac:dyDescent="0.45">
      <c r="A1079" t="s">
        <v>1123</v>
      </c>
      <c r="B1079" t="s">
        <v>1176</v>
      </c>
      <c r="C1079">
        <v>57388977900</v>
      </c>
      <c r="D1079">
        <v>59469547500</v>
      </c>
      <c r="E1079">
        <v>84</v>
      </c>
      <c r="F1079" t="s">
        <v>1197</v>
      </c>
    </row>
    <row r="1080" spans="1:6" x14ac:dyDescent="0.45">
      <c r="A1080" t="s">
        <v>1155</v>
      </c>
      <c r="B1080" t="s">
        <v>1136</v>
      </c>
      <c r="C1080">
        <v>57216635351</v>
      </c>
      <c r="D1080">
        <v>58484470900</v>
      </c>
      <c r="E1080">
        <v>75</v>
      </c>
      <c r="F1080" t="s">
        <v>1197</v>
      </c>
    </row>
    <row r="1081" spans="1:6" x14ac:dyDescent="0.45">
      <c r="A1081" t="s">
        <v>1155</v>
      </c>
      <c r="B1081" t="s">
        <v>1156</v>
      </c>
      <c r="C1081">
        <v>57216635351</v>
      </c>
      <c r="D1081">
        <v>57545971500</v>
      </c>
      <c r="E1081">
        <v>78</v>
      </c>
      <c r="F1081" t="s">
        <v>1197</v>
      </c>
    </row>
    <row r="1082" spans="1:6" x14ac:dyDescent="0.45">
      <c r="A1082" t="s">
        <v>1155</v>
      </c>
      <c r="B1082" t="s">
        <v>1148</v>
      </c>
      <c r="C1082">
        <v>57216635351</v>
      </c>
      <c r="D1082">
        <v>57215863345</v>
      </c>
      <c r="E1082">
        <v>75</v>
      </c>
      <c r="F1082" t="s">
        <v>1197</v>
      </c>
    </row>
    <row r="1083" spans="1:6" x14ac:dyDescent="0.45">
      <c r="A1083" t="s">
        <v>1155</v>
      </c>
      <c r="B1083" t="s">
        <v>1142</v>
      </c>
      <c r="C1083">
        <v>57216635351</v>
      </c>
      <c r="D1083">
        <v>56591076800</v>
      </c>
      <c r="E1083">
        <v>76</v>
      </c>
      <c r="F1083" t="s">
        <v>1197</v>
      </c>
    </row>
    <row r="1084" spans="1:6" x14ac:dyDescent="0.45">
      <c r="A1084" t="s">
        <v>1155</v>
      </c>
      <c r="B1084" t="s">
        <v>1149</v>
      </c>
      <c r="C1084">
        <v>57216635351</v>
      </c>
      <c r="D1084">
        <v>57445736500</v>
      </c>
      <c r="E1084">
        <v>86</v>
      </c>
      <c r="F1084" t="s">
        <v>1197</v>
      </c>
    </row>
    <row r="1085" spans="1:6" x14ac:dyDescent="0.45">
      <c r="A1085" t="s">
        <v>1155</v>
      </c>
      <c r="B1085" t="s">
        <v>1159</v>
      </c>
      <c r="C1085">
        <v>57216635351</v>
      </c>
      <c r="D1085">
        <v>59814155200</v>
      </c>
      <c r="E1085">
        <v>86</v>
      </c>
      <c r="F1085" t="s">
        <v>1197</v>
      </c>
    </row>
    <row r="1086" spans="1:6" x14ac:dyDescent="0.45">
      <c r="A1086" t="s">
        <v>1189</v>
      </c>
      <c r="B1086" t="s">
        <v>1138</v>
      </c>
      <c r="C1086">
        <v>57221559134</v>
      </c>
      <c r="D1086">
        <v>56420749300</v>
      </c>
      <c r="E1086">
        <v>76</v>
      </c>
      <c r="F1086" t="s">
        <v>1197</v>
      </c>
    </row>
    <row r="1087" spans="1:6" x14ac:dyDescent="0.45">
      <c r="A1087" t="s">
        <v>1189</v>
      </c>
      <c r="B1087" t="s">
        <v>1149</v>
      </c>
      <c r="C1087">
        <v>57221559134</v>
      </c>
      <c r="D1087">
        <v>57445736500</v>
      </c>
      <c r="E1087">
        <v>76</v>
      </c>
      <c r="F1087" t="s">
        <v>1197</v>
      </c>
    </row>
    <row r="1088" spans="1:6" x14ac:dyDescent="0.45">
      <c r="A1088" t="s">
        <v>1190</v>
      </c>
      <c r="B1088" t="s">
        <v>1191</v>
      </c>
      <c r="C1088">
        <v>57203870410</v>
      </c>
      <c r="D1088">
        <v>56565802200</v>
      </c>
      <c r="E1088">
        <v>84</v>
      </c>
      <c r="F1088" t="s">
        <v>1197</v>
      </c>
    </row>
    <row r="1089" spans="1:6" x14ac:dyDescent="0.45">
      <c r="A1089" t="s">
        <v>1110</v>
      </c>
      <c r="B1089" t="s">
        <v>1102</v>
      </c>
      <c r="C1089">
        <v>59259099400</v>
      </c>
      <c r="D1089">
        <v>58368085700</v>
      </c>
      <c r="E1089">
        <v>75</v>
      </c>
      <c r="F1089" t="s">
        <v>1197</v>
      </c>
    </row>
    <row r="1090" spans="1:6" x14ac:dyDescent="0.45">
      <c r="A1090" t="s">
        <v>1163</v>
      </c>
      <c r="B1090" t="s">
        <v>1156</v>
      </c>
      <c r="C1090">
        <v>59315530000</v>
      </c>
      <c r="D1090">
        <v>57545971500</v>
      </c>
      <c r="E1090">
        <v>75</v>
      </c>
      <c r="F1090" t="s">
        <v>1197</v>
      </c>
    </row>
    <row r="1091" spans="1:6" x14ac:dyDescent="0.45">
      <c r="A1091" t="s">
        <v>1163</v>
      </c>
      <c r="B1091" t="s">
        <v>1142</v>
      </c>
      <c r="C1091">
        <v>59315530000</v>
      </c>
      <c r="D1091">
        <v>56591076800</v>
      </c>
      <c r="E1091">
        <v>82</v>
      </c>
      <c r="F1091" t="s">
        <v>1197</v>
      </c>
    </row>
    <row r="1092" spans="1:6" x14ac:dyDescent="0.45">
      <c r="A1092" t="s">
        <v>1188</v>
      </c>
      <c r="B1092" t="s">
        <v>1124</v>
      </c>
      <c r="C1092">
        <v>57215719895</v>
      </c>
      <c r="D1092">
        <v>57770966500</v>
      </c>
      <c r="E1092">
        <v>82</v>
      </c>
      <c r="F1092" t="s">
        <v>1197</v>
      </c>
    </row>
    <row r="1093" spans="1:6" x14ac:dyDescent="0.45">
      <c r="A1093" t="s">
        <v>1188</v>
      </c>
      <c r="B1093" t="s">
        <v>1125</v>
      </c>
      <c r="C1093">
        <v>57215719895</v>
      </c>
      <c r="D1093">
        <v>59504639600</v>
      </c>
      <c r="E1093">
        <v>75</v>
      </c>
      <c r="F1093" t="s">
        <v>1197</v>
      </c>
    </row>
    <row r="1094" spans="1:6" x14ac:dyDescent="0.45">
      <c r="A1094" t="s">
        <v>1116</v>
      </c>
      <c r="B1094" t="s">
        <v>1118</v>
      </c>
      <c r="C1094">
        <v>57490488200</v>
      </c>
      <c r="D1094">
        <v>57928856000</v>
      </c>
      <c r="E1094">
        <v>75</v>
      </c>
      <c r="F1094" t="s">
        <v>1197</v>
      </c>
    </row>
    <row r="1095" spans="1:6" x14ac:dyDescent="0.45">
      <c r="A1095" t="s">
        <v>1136</v>
      </c>
      <c r="B1095" t="s">
        <v>1137</v>
      </c>
      <c r="C1095">
        <v>58484470900</v>
      </c>
      <c r="D1095">
        <v>58659062200</v>
      </c>
      <c r="E1095">
        <v>83</v>
      </c>
      <c r="F1095" t="s">
        <v>1197</v>
      </c>
    </row>
    <row r="1096" spans="1:6" x14ac:dyDescent="0.45">
      <c r="A1096" t="s">
        <v>1136</v>
      </c>
      <c r="B1096" t="s">
        <v>1138</v>
      </c>
      <c r="C1096">
        <v>58484470900</v>
      </c>
      <c r="D1096">
        <v>56420749300</v>
      </c>
      <c r="E1096">
        <v>76</v>
      </c>
      <c r="F1096" t="s">
        <v>1197</v>
      </c>
    </row>
    <row r="1097" spans="1:6" x14ac:dyDescent="0.45">
      <c r="A1097" t="s">
        <v>1136</v>
      </c>
      <c r="B1097" t="s">
        <v>1149</v>
      </c>
      <c r="C1097">
        <v>58484470900</v>
      </c>
      <c r="D1097">
        <v>57445736500</v>
      </c>
      <c r="E1097">
        <v>86</v>
      </c>
      <c r="F1097" t="s">
        <v>1197</v>
      </c>
    </row>
    <row r="1098" spans="1:6" x14ac:dyDescent="0.45">
      <c r="A1098" t="s">
        <v>1137</v>
      </c>
      <c r="B1098" t="s">
        <v>1138</v>
      </c>
      <c r="C1098">
        <v>58659062200</v>
      </c>
      <c r="D1098">
        <v>56420749300</v>
      </c>
      <c r="E1098">
        <v>86</v>
      </c>
      <c r="F1098" t="s">
        <v>1197</v>
      </c>
    </row>
    <row r="1099" spans="1:6" x14ac:dyDescent="0.45">
      <c r="A1099" t="s">
        <v>1177</v>
      </c>
      <c r="B1099" t="s">
        <v>1148</v>
      </c>
      <c r="C1099">
        <v>59151047800</v>
      </c>
      <c r="D1099">
        <v>57215863345</v>
      </c>
      <c r="E1099">
        <v>75</v>
      </c>
      <c r="F1099" t="s">
        <v>1197</v>
      </c>
    </row>
    <row r="1100" spans="1:6" x14ac:dyDescent="0.45">
      <c r="A1100" t="s">
        <v>1177</v>
      </c>
      <c r="B1100" t="s">
        <v>1157</v>
      </c>
      <c r="C1100">
        <v>59151047800</v>
      </c>
      <c r="D1100">
        <v>57951956700</v>
      </c>
      <c r="E1100">
        <v>75</v>
      </c>
      <c r="F1100" t="s">
        <v>1197</v>
      </c>
    </row>
    <row r="1101" spans="1:6" x14ac:dyDescent="0.45">
      <c r="A1101" s="2" t="s">
        <v>1177</v>
      </c>
      <c r="B1101" s="2" t="s">
        <v>1142</v>
      </c>
      <c r="C1101" s="2">
        <v>59151047800</v>
      </c>
      <c r="D1101" s="2">
        <v>56591076800</v>
      </c>
      <c r="E1101" s="2">
        <v>76</v>
      </c>
      <c r="F1101" t="s">
        <v>1197</v>
      </c>
    </row>
    <row r="1102" spans="1:6" x14ac:dyDescent="0.45">
      <c r="A1102" t="s">
        <v>1177</v>
      </c>
      <c r="B1102" t="s">
        <v>1159</v>
      </c>
      <c r="C1102">
        <v>59151047800</v>
      </c>
      <c r="D1102">
        <v>59814155200</v>
      </c>
      <c r="E1102">
        <v>76</v>
      </c>
      <c r="F1102" t="s">
        <v>1197</v>
      </c>
    </row>
    <row r="1103" spans="1:6" x14ac:dyDescent="0.45">
      <c r="A1103" t="s">
        <v>1124</v>
      </c>
      <c r="B1103" t="s">
        <v>1180</v>
      </c>
      <c r="C1103">
        <v>57770966500</v>
      </c>
      <c r="D1103">
        <v>58438192400</v>
      </c>
      <c r="E1103">
        <v>89</v>
      </c>
      <c r="F1103" t="s">
        <v>1197</v>
      </c>
    </row>
    <row r="1104" spans="1:6" x14ac:dyDescent="0.45">
      <c r="A1104" t="s">
        <v>1124</v>
      </c>
      <c r="B1104" t="s">
        <v>1125</v>
      </c>
      <c r="C1104">
        <v>57770966500</v>
      </c>
      <c r="D1104">
        <v>59504639600</v>
      </c>
      <c r="E1104">
        <v>80</v>
      </c>
      <c r="F1104" t="s">
        <v>1197</v>
      </c>
    </row>
    <row r="1105" spans="1:6" x14ac:dyDescent="0.45">
      <c r="A1105" t="s">
        <v>1124</v>
      </c>
      <c r="B1105" t="s">
        <v>1142</v>
      </c>
      <c r="C1105">
        <v>57770966500</v>
      </c>
      <c r="D1105">
        <v>56591076800</v>
      </c>
      <c r="E1105">
        <v>82</v>
      </c>
      <c r="F1105" t="s">
        <v>1197</v>
      </c>
    </row>
    <row r="1106" spans="1:6" x14ac:dyDescent="0.45">
      <c r="A1106" t="s">
        <v>1180</v>
      </c>
      <c r="B1106" t="s">
        <v>1192</v>
      </c>
      <c r="C1106">
        <v>58438192400</v>
      </c>
      <c r="D1106">
        <v>57846861700</v>
      </c>
      <c r="E1106">
        <v>76</v>
      </c>
      <c r="F1106" t="s">
        <v>1197</v>
      </c>
    </row>
    <row r="1107" spans="1:6" x14ac:dyDescent="0.45">
      <c r="A1107" t="s">
        <v>1156</v>
      </c>
      <c r="B1107" t="s">
        <v>1182</v>
      </c>
      <c r="C1107">
        <v>57545971500</v>
      </c>
      <c r="D1107">
        <v>57609969300</v>
      </c>
      <c r="E1107">
        <v>75</v>
      </c>
      <c r="F1107" t="s">
        <v>1197</v>
      </c>
    </row>
    <row r="1108" spans="1:6" x14ac:dyDescent="0.45">
      <c r="A1108" t="s">
        <v>1156</v>
      </c>
      <c r="B1108" t="s">
        <v>1127</v>
      </c>
      <c r="C1108">
        <v>57545971500</v>
      </c>
      <c r="D1108">
        <v>58511137000</v>
      </c>
      <c r="E1108">
        <v>75</v>
      </c>
      <c r="F1108" t="s">
        <v>1197</v>
      </c>
    </row>
    <row r="1109" spans="1:6" x14ac:dyDescent="0.45">
      <c r="A1109" t="s">
        <v>1156</v>
      </c>
      <c r="B1109" t="s">
        <v>1142</v>
      </c>
      <c r="C1109">
        <v>57545971500</v>
      </c>
      <c r="D1109">
        <v>56591076800</v>
      </c>
      <c r="E1109">
        <v>90</v>
      </c>
      <c r="F1109" t="s">
        <v>1197</v>
      </c>
    </row>
    <row r="1110" spans="1:6" x14ac:dyDescent="0.45">
      <c r="A1110" t="s">
        <v>1156</v>
      </c>
      <c r="B1110" t="s">
        <v>1159</v>
      </c>
      <c r="C1110">
        <v>57545971500</v>
      </c>
      <c r="D1110">
        <v>59814155200</v>
      </c>
      <c r="E1110">
        <v>80</v>
      </c>
      <c r="F1110" t="s">
        <v>1197</v>
      </c>
    </row>
    <row r="1111" spans="1:6" x14ac:dyDescent="0.45">
      <c r="A1111" t="s">
        <v>1182</v>
      </c>
      <c r="B1111" t="s">
        <v>1142</v>
      </c>
      <c r="C1111">
        <v>57609969300</v>
      </c>
      <c r="D1111">
        <v>56591076800</v>
      </c>
      <c r="E1111">
        <v>82</v>
      </c>
      <c r="F1111" t="s">
        <v>1197</v>
      </c>
    </row>
    <row r="1112" spans="1:6" x14ac:dyDescent="0.45">
      <c r="A1112" t="s">
        <v>1127</v>
      </c>
      <c r="B1112" t="s">
        <v>1112</v>
      </c>
      <c r="C1112">
        <v>58511137000</v>
      </c>
      <c r="D1112">
        <v>57220902381</v>
      </c>
      <c r="E1112">
        <v>80</v>
      </c>
      <c r="F1112" t="s">
        <v>1197</v>
      </c>
    </row>
    <row r="1113" spans="1:6" x14ac:dyDescent="0.45">
      <c r="A1113" t="s">
        <v>1127</v>
      </c>
      <c r="B1113" t="s">
        <v>1128</v>
      </c>
      <c r="C1113">
        <v>58511137000</v>
      </c>
      <c r="D1113">
        <v>57222133578</v>
      </c>
      <c r="E1113">
        <v>81</v>
      </c>
      <c r="F1113" t="s">
        <v>1197</v>
      </c>
    </row>
    <row r="1114" spans="1:6" x14ac:dyDescent="0.45">
      <c r="A1114" t="s">
        <v>1127</v>
      </c>
      <c r="B1114" t="s">
        <v>1142</v>
      </c>
      <c r="C1114">
        <v>58511137000</v>
      </c>
      <c r="D1114">
        <v>56591076800</v>
      </c>
      <c r="E1114">
        <v>82</v>
      </c>
      <c r="F1114" t="s">
        <v>1197</v>
      </c>
    </row>
    <row r="1115" spans="1:6" x14ac:dyDescent="0.45">
      <c r="A1115" t="s">
        <v>1111</v>
      </c>
      <c r="B1115" t="s">
        <v>1148</v>
      </c>
      <c r="C1115">
        <v>26023886900</v>
      </c>
      <c r="D1115">
        <v>57215863345</v>
      </c>
      <c r="E1115">
        <v>76</v>
      </c>
      <c r="F1115" t="s">
        <v>1197</v>
      </c>
    </row>
    <row r="1116" spans="1:6" x14ac:dyDescent="0.45">
      <c r="A1116" t="s">
        <v>1111</v>
      </c>
      <c r="B1116" t="s">
        <v>1142</v>
      </c>
      <c r="C1116">
        <v>26023886900</v>
      </c>
      <c r="D1116">
        <v>56591076800</v>
      </c>
      <c r="E1116">
        <v>78</v>
      </c>
      <c r="F1116" t="s">
        <v>1197</v>
      </c>
    </row>
    <row r="1117" spans="1:6" x14ac:dyDescent="0.45">
      <c r="A1117" t="s">
        <v>1111</v>
      </c>
      <c r="B1117" t="s">
        <v>1159</v>
      </c>
      <c r="C1117">
        <v>26023886900</v>
      </c>
      <c r="D1117">
        <v>59814155200</v>
      </c>
      <c r="E1117">
        <v>78</v>
      </c>
      <c r="F1117" t="s">
        <v>1197</v>
      </c>
    </row>
    <row r="1118" spans="1:6" x14ac:dyDescent="0.45">
      <c r="A1118" t="s">
        <v>1148</v>
      </c>
      <c r="B1118" t="s">
        <v>1158</v>
      </c>
      <c r="C1118">
        <v>57215863345</v>
      </c>
      <c r="D1118">
        <v>54390643800</v>
      </c>
      <c r="E1118">
        <v>78</v>
      </c>
      <c r="F1118" t="s">
        <v>1197</v>
      </c>
    </row>
    <row r="1119" spans="1:6" x14ac:dyDescent="0.45">
      <c r="A1119" t="s">
        <v>1148</v>
      </c>
      <c r="B1119" t="s">
        <v>1142</v>
      </c>
      <c r="C1119">
        <v>57215863345</v>
      </c>
      <c r="D1119">
        <v>56591076800</v>
      </c>
      <c r="E1119">
        <v>76</v>
      </c>
      <c r="F1119" t="s">
        <v>1197</v>
      </c>
    </row>
    <row r="1120" spans="1:6" x14ac:dyDescent="0.45">
      <c r="A1120" t="s">
        <v>1148</v>
      </c>
      <c r="B1120" t="s">
        <v>1149</v>
      </c>
      <c r="C1120">
        <v>57215863345</v>
      </c>
      <c r="D1120">
        <v>57445736500</v>
      </c>
      <c r="E1120">
        <v>76</v>
      </c>
      <c r="F1120" t="s">
        <v>1197</v>
      </c>
    </row>
    <row r="1121" spans="1:6" x14ac:dyDescent="0.45">
      <c r="A1121" t="s">
        <v>1148</v>
      </c>
      <c r="B1121" t="s">
        <v>1159</v>
      </c>
      <c r="C1121">
        <v>57215863345</v>
      </c>
      <c r="D1121">
        <v>59814155200</v>
      </c>
      <c r="E1121">
        <v>76</v>
      </c>
      <c r="F1121" t="s">
        <v>1197</v>
      </c>
    </row>
    <row r="1122" spans="1:6" x14ac:dyDescent="0.45">
      <c r="A1122" t="s">
        <v>1157</v>
      </c>
      <c r="B1122" t="s">
        <v>1128</v>
      </c>
      <c r="C1122">
        <v>57951956700</v>
      </c>
      <c r="D1122">
        <v>57222133578</v>
      </c>
      <c r="E1122">
        <v>77</v>
      </c>
      <c r="F1122" t="s">
        <v>1197</v>
      </c>
    </row>
    <row r="1123" spans="1:6" x14ac:dyDescent="0.45">
      <c r="A1123" t="s">
        <v>1157</v>
      </c>
      <c r="B1123" t="s">
        <v>1142</v>
      </c>
      <c r="C1123">
        <v>57951956700</v>
      </c>
      <c r="D1123">
        <v>56591076800</v>
      </c>
      <c r="E1123">
        <v>76</v>
      </c>
      <c r="F1123" t="s">
        <v>1197</v>
      </c>
    </row>
    <row r="1124" spans="1:6" x14ac:dyDescent="0.45">
      <c r="A1124" t="s">
        <v>1157</v>
      </c>
      <c r="B1124" t="s">
        <v>1159</v>
      </c>
      <c r="C1124">
        <v>57951956700</v>
      </c>
      <c r="D1124">
        <v>59814155200</v>
      </c>
      <c r="E1124">
        <v>76</v>
      </c>
      <c r="F1124" t="s">
        <v>1197</v>
      </c>
    </row>
    <row r="1125" spans="1:6" x14ac:dyDescent="0.45">
      <c r="A1125" t="s">
        <v>1112</v>
      </c>
      <c r="B1125" t="s">
        <v>1128</v>
      </c>
      <c r="C1125">
        <v>57220902381</v>
      </c>
      <c r="D1125">
        <v>57222133578</v>
      </c>
      <c r="E1125">
        <v>77</v>
      </c>
      <c r="F1125" t="s">
        <v>1197</v>
      </c>
    </row>
    <row r="1126" spans="1:6" x14ac:dyDescent="0.45">
      <c r="A1126" t="s">
        <v>1112</v>
      </c>
      <c r="B1126" t="s">
        <v>1142</v>
      </c>
      <c r="C1126">
        <v>57220902381</v>
      </c>
      <c r="D1126">
        <v>56591076800</v>
      </c>
      <c r="E1126">
        <v>76</v>
      </c>
      <c r="F1126" t="s">
        <v>1197</v>
      </c>
    </row>
    <row r="1127" spans="1:6" x14ac:dyDescent="0.45">
      <c r="A1127" t="s">
        <v>1192</v>
      </c>
      <c r="B1127" t="s">
        <v>1142</v>
      </c>
      <c r="C1127">
        <v>57846861700</v>
      </c>
      <c r="D1127">
        <v>56591076800</v>
      </c>
      <c r="E1127">
        <v>80</v>
      </c>
      <c r="F1127" t="s">
        <v>1197</v>
      </c>
    </row>
    <row r="1128" spans="1:6" x14ac:dyDescent="0.45">
      <c r="A1128" t="s">
        <v>1158</v>
      </c>
      <c r="B1128" t="s">
        <v>1193</v>
      </c>
      <c r="C1128">
        <v>54390643800</v>
      </c>
      <c r="D1128">
        <v>37084737400</v>
      </c>
      <c r="E1128">
        <v>82</v>
      </c>
      <c r="F1128" t="s">
        <v>1197</v>
      </c>
    </row>
    <row r="1129" spans="1:6" x14ac:dyDescent="0.45">
      <c r="A1129" t="s">
        <v>1158</v>
      </c>
      <c r="B1129" t="s">
        <v>1149</v>
      </c>
      <c r="C1129">
        <v>54390643800</v>
      </c>
      <c r="D1129">
        <v>57445736500</v>
      </c>
      <c r="E1129">
        <v>80</v>
      </c>
      <c r="F1129" t="s">
        <v>1197</v>
      </c>
    </row>
    <row r="1130" spans="1:6" x14ac:dyDescent="0.45">
      <c r="A1130" t="s">
        <v>1138</v>
      </c>
      <c r="B1130" t="s">
        <v>1133</v>
      </c>
      <c r="C1130">
        <v>56420749300</v>
      </c>
      <c r="D1130">
        <v>58835262000</v>
      </c>
      <c r="E1130">
        <v>82</v>
      </c>
      <c r="F1130" t="s">
        <v>1197</v>
      </c>
    </row>
    <row r="1131" spans="1:6" x14ac:dyDescent="0.45">
      <c r="A1131" t="s">
        <v>1138</v>
      </c>
      <c r="B1131" t="s">
        <v>1178</v>
      </c>
      <c r="C1131">
        <v>56420749300</v>
      </c>
      <c r="D1131">
        <v>59359288300</v>
      </c>
      <c r="E1131">
        <v>80</v>
      </c>
      <c r="F1131" t="s">
        <v>1197</v>
      </c>
    </row>
    <row r="1132" spans="1:6" x14ac:dyDescent="0.45">
      <c r="A1132" t="s">
        <v>1138</v>
      </c>
      <c r="B1132" t="s">
        <v>1142</v>
      </c>
      <c r="C1132">
        <v>56420749300</v>
      </c>
      <c r="D1132">
        <v>56591076800</v>
      </c>
      <c r="E1132">
        <v>78</v>
      </c>
      <c r="F1132" t="s">
        <v>1197</v>
      </c>
    </row>
    <row r="1133" spans="1:6" x14ac:dyDescent="0.45">
      <c r="A1133" t="s">
        <v>1138</v>
      </c>
      <c r="B1133" t="s">
        <v>1149</v>
      </c>
      <c r="C1133">
        <v>56420749300</v>
      </c>
      <c r="D1133">
        <v>57445736500</v>
      </c>
      <c r="E1133">
        <v>78</v>
      </c>
      <c r="F1133" t="s">
        <v>1197</v>
      </c>
    </row>
    <row r="1134" spans="1:6" x14ac:dyDescent="0.45">
      <c r="A1134" t="s">
        <v>1138</v>
      </c>
      <c r="B1134" t="s">
        <v>1159</v>
      </c>
      <c r="C1134">
        <v>56420749300</v>
      </c>
      <c r="D1134">
        <v>59814155200</v>
      </c>
      <c r="E1134">
        <v>78</v>
      </c>
      <c r="F1134" t="s">
        <v>1197</v>
      </c>
    </row>
    <row r="1135" spans="1:6" x14ac:dyDescent="0.45">
      <c r="A1135" t="s">
        <v>1118</v>
      </c>
      <c r="B1135" t="s">
        <v>1191</v>
      </c>
      <c r="C1135">
        <v>57928856000</v>
      </c>
      <c r="D1135">
        <v>56565802200</v>
      </c>
      <c r="E1135">
        <v>75</v>
      </c>
      <c r="F1135" t="s">
        <v>1197</v>
      </c>
    </row>
    <row r="1136" spans="1:6" x14ac:dyDescent="0.45">
      <c r="A1136" t="s">
        <v>1194</v>
      </c>
      <c r="B1136" t="s">
        <v>1187</v>
      </c>
      <c r="C1136">
        <v>57218401531</v>
      </c>
      <c r="D1136">
        <v>58746456100</v>
      </c>
      <c r="E1136">
        <v>84</v>
      </c>
      <c r="F1136" t="s">
        <v>1197</v>
      </c>
    </row>
    <row r="1137" spans="1:6" x14ac:dyDescent="0.45">
      <c r="A1137" t="s">
        <v>1128</v>
      </c>
      <c r="B1137" t="s">
        <v>1142</v>
      </c>
      <c r="C1137">
        <v>57222133578</v>
      </c>
      <c r="D1137">
        <v>56591076800</v>
      </c>
      <c r="E1137">
        <v>78</v>
      </c>
      <c r="F1137" t="s">
        <v>1197</v>
      </c>
    </row>
    <row r="1138" spans="1:6" x14ac:dyDescent="0.45">
      <c r="A1138" t="s">
        <v>1169</v>
      </c>
      <c r="B1138" t="s">
        <v>1191</v>
      </c>
      <c r="C1138">
        <v>59138795000</v>
      </c>
      <c r="D1138">
        <v>56565802200</v>
      </c>
      <c r="E1138">
        <v>80</v>
      </c>
      <c r="F1138" t="s">
        <v>1197</v>
      </c>
    </row>
    <row r="1139" spans="1:6" x14ac:dyDescent="0.45">
      <c r="A1139" t="s">
        <v>1119</v>
      </c>
      <c r="B1139" t="s">
        <v>1191</v>
      </c>
      <c r="C1139">
        <v>57225984973</v>
      </c>
      <c r="D1139">
        <v>56565802200</v>
      </c>
      <c r="E1139">
        <v>82</v>
      </c>
      <c r="F1139" t="s">
        <v>1197</v>
      </c>
    </row>
    <row r="1140" spans="1:6" x14ac:dyDescent="0.45">
      <c r="A1140" t="s">
        <v>1142</v>
      </c>
      <c r="B1140" t="s">
        <v>1149</v>
      </c>
      <c r="C1140">
        <v>56591076800</v>
      </c>
      <c r="D1140">
        <v>57445736500</v>
      </c>
      <c r="E1140">
        <v>78</v>
      </c>
      <c r="F1140" t="s">
        <v>1197</v>
      </c>
    </row>
    <row r="1141" spans="1:6" x14ac:dyDescent="0.45">
      <c r="A1141" t="s">
        <v>1142</v>
      </c>
      <c r="B1141" t="s">
        <v>1159</v>
      </c>
      <c r="C1141">
        <v>56591076800</v>
      </c>
      <c r="D1141">
        <v>59814155200</v>
      </c>
      <c r="E1141">
        <v>89</v>
      </c>
      <c r="F1141" t="s">
        <v>1197</v>
      </c>
    </row>
    <row r="1142" spans="1:6" x14ac:dyDescent="0.45">
      <c r="A1142" t="s">
        <v>1149</v>
      </c>
      <c r="B1142" t="s">
        <v>1159</v>
      </c>
      <c r="C1142">
        <v>57445736500</v>
      </c>
      <c r="D1142">
        <v>59814155200</v>
      </c>
      <c r="E1142">
        <v>78</v>
      </c>
      <c r="F1142" t="s">
        <v>1197</v>
      </c>
    </row>
  </sheetData>
  <autoFilter ref="A1:F1" xr:uid="{061C51ED-3E61-426D-8FD7-D580A386B67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3D76-1D06-4D3C-BF0D-80120EC929BF}">
  <dimension ref="A1:J665"/>
  <sheetViews>
    <sheetView workbookViewId="0">
      <selection activeCell="F3" sqref="F3"/>
    </sheetView>
  </sheetViews>
  <sheetFormatPr defaultRowHeight="14.25" x14ac:dyDescent="0.45"/>
  <cols>
    <col min="1" max="1" width="26.53125" bestFit="1" customWidth="1"/>
    <col min="2" max="2" width="23.6640625" bestFit="1" customWidth="1"/>
    <col min="3" max="4" width="11.73046875" bestFit="1" customWidth="1"/>
    <col min="5" max="5" width="13.464843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1200</v>
      </c>
    </row>
    <row r="2" spans="1:10" x14ac:dyDescent="0.45">
      <c r="A2" t="s">
        <v>5</v>
      </c>
      <c r="B2" t="s">
        <v>6</v>
      </c>
      <c r="C2">
        <v>55683085700</v>
      </c>
      <c r="D2">
        <v>59265299800</v>
      </c>
      <c r="E2">
        <v>79</v>
      </c>
      <c r="F2" t="str">
        <f>_xlfn.XLOOKUP(C2, '75'!$C$2:$C$1142, '75'!$F$2:$F$1142)</f>
        <v>ok</v>
      </c>
      <c r="H2" t="s">
        <v>1198</v>
      </c>
      <c r="I2">
        <f>COUNTIF(F2:F665, "ok")/664</f>
        <v>0.18222891566265059</v>
      </c>
      <c r="J2">
        <f>I2*664</f>
        <v>121</v>
      </c>
    </row>
    <row r="3" spans="1:10" x14ac:dyDescent="0.45">
      <c r="A3" t="s">
        <v>7</v>
      </c>
      <c r="B3" t="s">
        <v>8</v>
      </c>
      <c r="C3">
        <v>25930284300</v>
      </c>
      <c r="D3">
        <v>57194637587</v>
      </c>
      <c r="E3">
        <v>84</v>
      </c>
      <c r="F3" t="str">
        <f>_xlfn.XLOOKUP(C3, '75'!$C$2:$C$1142, '75'!$F$2:$F$1142)</f>
        <v>no</v>
      </c>
      <c r="H3" t="s">
        <v>1199</v>
      </c>
      <c r="I3">
        <f>COUNTIF(F2:F665, "no")/664</f>
        <v>0.81777108433734935</v>
      </c>
      <c r="J3">
        <f>I3*664</f>
        <v>543</v>
      </c>
    </row>
    <row r="4" spans="1:10" x14ac:dyDescent="0.45">
      <c r="A4" t="s">
        <v>7</v>
      </c>
      <c r="B4" t="s">
        <v>9</v>
      </c>
      <c r="C4">
        <v>25930284300</v>
      </c>
      <c r="D4">
        <v>57204007272</v>
      </c>
      <c r="E4">
        <v>81</v>
      </c>
      <c r="F4" t="str">
        <f>_xlfn.XLOOKUP(C4, '75'!$C$2:$C$1142, '75'!$F$2:$F$1142)</f>
        <v>no</v>
      </c>
    </row>
    <row r="5" spans="1:10" x14ac:dyDescent="0.45">
      <c r="A5" t="s">
        <v>19</v>
      </c>
      <c r="B5" t="s">
        <v>20</v>
      </c>
      <c r="C5">
        <v>57212395140</v>
      </c>
      <c r="D5">
        <v>56239028500</v>
      </c>
      <c r="E5">
        <v>83</v>
      </c>
      <c r="F5" t="str">
        <f>_xlfn.XLOOKUP(C5, '75'!$C$2:$C$1142, '75'!$F$2:$F$1142)</f>
        <v>no</v>
      </c>
    </row>
    <row r="6" spans="1:10" x14ac:dyDescent="0.45">
      <c r="A6" t="s">
        <v>21</v>
      </c>
      <c r="B6" t="s">
        <v>22</v>
      </c>
      <c r="C6">
        <v>55105815400</v>
      </c>
      <c r="D6">
        <v>57216688017</v>
      </c>
      <c r="E6">
        <v>90</v>
      </c>
      <c r="F6" t="str">
        <f>_xlfn.XLOOKUP(C6, '75'!$C$2:$C$1142, '75'!$F$2:$F$1142)</f>
        <v>ok</v>
      </c>
    </row>
    <row r="7" spans="1:10" x14ac:dyDescent="0.45">
      <c r="A7" t="s">
        <v>25</v>
      </c>
      <c r="B7" t="s">
        <v>26</v>
      </c>
      <c r="C7">
        <v>57218423351</v>
      </c>
      <c r="D7">
        <v>56965067200</v>
      </c>
      <c r="E7">
        <v>95</v>
      </c>
      <c r="F7" t="str">
        <f>_xlfn.XLOOKUP(C7, '75'!$C$2:$C$1142, '75'!$F$2:$F$1142)</f>
        <v>ok</v>
      </c>
    </row>
    <row r="8" spans="1:10" x14ac:dyDescent="0.45">
      <c r="A8" t="s">
        <v>29</v>
      </c>
      <c r="B8" t="s">
        <v>30</v>
      </c>
      <c r="C8">
        <v>57194972852</v>
      </c>
      <c r="D8">
        <v>59422200500</v>
      </c>
      <c r="E8">
        <v>79</v>
      </c>
      <c r="F8" t="str">
        <f>_xlfn.XLOOKUP(C8, '75'!$C$2:$C$1142, '75'!$F$2:$F$1142)</f>
        <v>no</v>
      </c>
    </row>
    <row r="9" spans="1:10" x14ac:dyDescent="0.45">
      <c r="A9" t="s">
        <v>31</v>
      </c>
      <c r="B9" t="s">
        <v>32</v>
      </c>
      <c r="C9">
        <v>58066423600</v>
      </c>
      <c r="D9">
        <v>57217853663</v>
      </c>
      <c r="E9">
        <v>79</v>
      </c>
      <c r="F9" t="str">
        <f>_xlfn.XLOOKUP(C9, '75'!$C$2:$C$1142, '75'!$F$2:$F$1142)</f>
        <v>no</v>
      </c>
    </row>
    <row r="10" spans="1:10" x14ac:dyDescent="0.45">
      <c r="A10" t="s">
        <v>8</v>
      </c>
      <c r="B10" t="s">
        <v>9</v>
      </c>
      <c r="C10">
        <v>57194637587</v>
      </c>
      <c r="D10">
        <v>57204007272</v>
      </c>
      <c r="E10">
        <v>79</v>
      </c>
      <c r="F10" t="str">
        <f>_xlfn.XLOOKUP(C10, '75'!$C$2:$C$1142, '75'!$F$2:$F$1142)</f>
        <v>no</v>
      </c>
    </row>
    <row r="11" spans="1:10" x14ac:dyDescent="0.45">
      <c r="A11" t="s">
        <v>35</v>
      </c>
      <c r="B11" t="s">
        <v>36</v>
      </c>
      <c r="C11">
        <v>56654006700</v>
      </c>
      <c r="D11">
        <v>7102310616</v>
      </c>
      <c r="E11">
        <v>93</v>
      </c>
      <c r="F11" t="str">
        <f>_xlfn.XLOOKUP(C11, '75'!$C$2:$C$1142, '75'!$F$2:$F$1142)</f>
        <v>ok</v>
      </c>
    </row>
    <row r="12" spans="1:10" x14ac:dyDescent="0.45">
      <c r="A12" t="s">
        <v>38</v>
      </c>
      <c r="B12" t="s">
        <v>39</v>
      </c>
      <c r="C12">
        <v>57226561776</v>
      </c>
      <c r="D12">
        <v>57216630328</v>
      </c>
      <c r="E12">
        <v>78</v>
      </c>
      <c r="F12" t="str">
        <f>_xlfn.XLOOKUP(C12, '75'!$C$2:$C$1142, '75'!$F$2:$F$1142)</f>
        <v>no</v>
      </c>
    </row>
    <row r="13" spans="1:10" x14ac:dyDescent="0.45">
      <c r="A13" t="s">
        <v>40</v>
      </c>
      <c r="B13" t="s">
        <v>41</v>
      </c>
      <c r="C13">
        <v>17344924200</v>
      </c>
      <c r="D13">
        <v>59806848700</v>
      </c>
      <c r="E13">
        <v>85</v>
      </c>
      <c r="F13" t="str">
        <f>_xlfn.XLOOKUP(C13, '75'!$C$2:$C$1142, '75'!$F$2:$F$1142)</f>
        <v>ok</v>
      </c>
    </row>
    <row r="14" spans="1:10" x14ac:dyDescent="0.45">
      <c r="A14" t="s">
        <v>42</v>
      </c>
      <c r="B14" t="s">
        <v>43</v>
      </c>
      <c r="C14">
        <v>6602479101</v>
      </c>
      <c r="D14">
        <v>59465106300</v>
      </c>
      <c r="E14">
        <v>92</v>
      </c>
      <c r="F14" t="str">
        <f>_xlfn.XLOOKUP(C14, '75'!$C$2:$C$1142, '75'!$F$2:$F$1142)</f>
        <v>ok</v>
      </c>
    </row>
    <row r="15" spans="1:10" x14ac:dyDescent="0.45">
      <c r="A15" t="s">
        <v>42</v>
      </c>
      <c r="B15" t="s">
        <v>44</v>
      </c>
      <c r="C15">
        <v>6602479101</v>
      </c>
      <c r="D15">
        <v>59119893600</v>
      </c>
      <c r="E15">
        <v>92</v>
      </c>
      <c r="F15" t="str">
        <f>_xlfn.XLOOKUP(C15, '75'!$C$2:$C$1142, '75'!$F$2:$F$1142)</f>
        <v>ok</v>
      </c>
    </row>
    <row r="16" spans="1:10" x14ac:dyDescent="0.45">
      <c r="A16" t="s">
        <v>45</v>
      </c>
      <c r="B16" t="s">
        <v>46</v>
      </c>
      <c r="C16">
        <v>7101816384</v>
      </c>
      <c r="D16">
        <v>57207558396</v>
      </c>
      <c r="E16">
        <v>80</v>
      </c>
      <c r="F16" t="str">
        <f>_xlfn.XLOOKUP(C16, '75'!$C$2:$C$1142, '75'!$F$2:$F$1142)</f>
        <v>no</v>
      </c>
    </row>
    <row r="17" spans="1:6" x14ac:dyDescent="0.45">
      <c r="A17" t="s">
        <v>49</v>
      </c>
      <c r="B17" t="s">
        <v>50</v>
      </c>
      <c r="C17">
        <v>42760951000</v>
      </c>
      <c r="D17">
        <v>57937968100</v>
      </c>
      <c r="E17">
        <v>91</v>
      </c>
      <c r="F17" t="str">
        <f>_xlfn.XLOOKUP(C17, '75'!$C$2:$C$1142, '75'!$F$2:$F$1142)</f>
        <v>ok</v>
      </c>
    </row>
    <row r="18" spans="1:6" x14ac:dyDescent="0.45">
      <c r="A18" t="s">
        <v>51</v>
      </c>
      <c r="B18" t="s">
        <v>52</v>
      </c>
      <c r="C18">
        <v>57204216471</v>
      </c>
      <c r="D18">
        <v>7004856179</v>
      </c>
      <c r="E18">
        <v>93</v>
      </c>
      <c r="F18" t="str">
        <f>_xlfn.XLOOKUP(C18, '75'!$C$2:$C$1142, '75'!$F$2:$F$1142)</f>
        <v>ok</v>
      </c>
    </row>
    <row r="19" spans="1:6" x14ac:dyDescent="0.45">
      <c r="A19" t="s">
        <v>55</v>
      </c>
      <c r="B19" t="s">
        <v>56</v>
      </c>
      <c r="C19">
        <v>24402486100</v>
      </c>
      <c r="D19">
        <v>59751141900</v>
      </c>
      <c r="E19">
        <v>81</v>
      </c>
      <c r="F19" t="str">
        <f>_xlfn.XLOOKUP(C19, '75'!$C$2:$C$1142, '75'!$F$2:$F$1142)</f>
        <v>no</v>
      </c>
    </row>
    <row r="20" spans="1:6" x14ac:dyDescent="0.45">
      <c r="A20" t="s">
        <v>59</v>
      </c>
      <c r="B20" t="s">
        <v>60</v>
      </c>
      <c r="C20">
        <v>7004232335</v>
      </c>
      <c r="D20">
        <v>57218515194</v>
      </c>
      <c r="E20">
        <v>96</v>
      </c>
      <c r="F20" t="str">
        <f>_xlfn.XLOOKUP(C20, '75'!$C$2:$C$1142, '75'!$F$2:$F$1142)</f>
        <v>ok</v>
      </c>
    </row>
    <row r="21" spans="1:6" x14ac:dyDescent="0.45">
      <c r="A21" t="s">
        <v>61</v>
      </c>
      <c r="B21" t="s">
        <v>62</v>
      </c>
      <c r="C21">
        <v>56452760200</v>
      </c>
      <c r="D21">
        <v>57215308262</v>
      </c>
      <c r="E21">
        <v>80</v>
      </c>
      <c r="F21" t="str">
        <f>_xlfn.XLOOKUP(C21, '75'!$C$2:$C$1142, '75'!$F$2:$F$1142)</f>
        <v>no</v>
      </c>
    </row>
    <row r="22" spans="1:6" x14ac:dyDescent="0.45">
      <c r="A22" t="s">
        <v>65</v>
      </c>
      <c r="B22" t="s">
        <v>66</v>
      </c>
      <c r="C22">
        <v>6701548100</v>
      </c>
      <c r="D22">
        <v>57568954200</v>
      </c>
      <c r="E22">
        <v>78</v>
      </c>
      <c r="F22" t="str">
        <f>_xlfn.XLOOKUP(C22, '75'!$C$2:$C$1142, '75'!$F$2:$F$1142)</f>
        <v>no</v>
      </c>
    </row>
    <row r="23" spans="1:6" x14ac:dyDescent="0.45">
      <c r="A23" t="s">
        <v>71</v>
      </c>
      <c r="B23" t="s">
        <v>72</v>
      </c>
      <c r="C23">
        <v>24433859000</v>
      </c>
      <c r="D23">
        <v>57225808826</v>
      </c>
      <c r="E23">
        <v>90</v>
      </c>
      <c r="F23" t="str">
        <f>_xlfn.XLOOKUP(C23, '75'!$C$2:$C$1142, '75'!$F$2:$F$1142)</f>
        <v>ok</v>
      </c>
    </row>
    <row r="24" spans="1:6" x14ac:dyDescent="0.45">
      <c r="A24" t="s">
        <v>75</v>
      </c>
      <c r="B24" t="s">
        <v>76</v>
      </c>
      <c r="C24">
        <v>35767452200</v>
      </c>
      <c r="D24">
        <v>59551498500</v>
      </c>
      <c r="E24">
        <v>80</v>
      </c>
      <c r="F24" t="str">
        <f>_xlfn.XLOOKUP(C24, '75'!$C$2:$C$1142, '75'!$F$2:$F$1142)</f>
        <v>no</v>
      </c>
    </row>
    <row r="25" spans="1:6" x14ac:dyDescent="0.45">
      <c r="A25" t="s">
        <v>64</v>
      </c>
      <c r="B25" t="s">
        <v>77</v>
      </c>
      <c r="C25">
        <v>59467571400</v>
      </c>
      <c r="D25">
        <v>57543086500</v>
      </c>
      <c r="E25">
        <v>86</v>
      </c>
      <c r="F25" t="str">
        <f>_xlfn.XLOOKUP(C25, '75'!$C$2:$C$1142, '75'!$F$2:$F$1142)</f>
        <v>no</v>
      </c>
    </row>
    <row r="26" spans="1:6" x14ac:dyDescent="0.45">
      <c r="A26" t="s">
        <v>43</v>
      </c>
      <c r="B26" t="s">
        <v>44</v>
      </c>
      <c r="C26">
        <v>59465106300</v>
      </c>
      <c r="D26">
        <v>59119893600</v>
      </c>
      <c r="E26">
        <v>83</v>
      </c>
      <c r="F26" t="str">
        <f>_xlfn.XLOOKUP(C26, '75'!$C$2:$C$1142, '75'!$F$2:$F$1142)</f>
        <v>ok</v>
      </c>
    </row>
    <row r="27" spans="1:6" x14ac:dyDescent="0.45">
      <c r="A27" t="s">
        <v>80</v>
      </c>
      <c r="B27" t="s">
        <v>81</v>
      </c>
      <c r="C27">
        <v>58480796700</v>
      </c>
      <c r="D27">
        <v>59482580700</v>
      </c>
      <c r="E27">
        <v>92</v>
      </c>
      <c r="F27" t="str">
        <f>_xlfn.XLOOKUP(C27, '75'!$C$2:$C$1142, '75'!$F$2:$F$1142)</f>
        <v>ok</v>
      </c>
    </row>
    <row r="28" spans="1:6" x14ac:dyDescent="0.45">
      <c r="A28" t="s">
        <v>82</v>
      </c>
      <c r="B28" t="s">
        <v>83</v>
      </c>
      <c r="C28">
        <v>57195104543</v>
      </c>
      <c r="D28">
        <v>59812475700</v>
      </c>
      <c r="E28">
        <v>96</v>
      </c>
      <c r="F28" t="str">
        <f>_xlfn.XLOOKUP(C28, '75'!$C$2:$C$1142, '75'!$F$2:$F$1142)</f>
        <v>ok</v>
      </c>
    </row>
    <row r="29" spans="1:6" x14ac:dyDescent="0.45">
      <c r="A29" t="s">
        <v>84</v>
      </c>
      <c r="B29" t="s">
        <v>85</v>
      </c>
      <c r="C29">
        <v>7005488549</v>
      </c>
      <c r="D29">
        <v>58680470600</v>
      </c>
      <c r="E29">
        <v>93</v>
      </c>
      <c r="F29" t="str">
        <f>_xlfn.XLOOKUP(C29, '75'!$C$2:$C$1142, '75'!$F$2:$F$1142)</f>
        <v>ok</v>
      </c>
    </row>
    <row r="30" spans="1:6" x14ac:dyDescent="0.45">
      <c r="A30" t="s">
        <v>86</v>
      </c>
      <c r="B30" t="s">
        <v>87</v>
      </c>
      <c r="C30">
        <v>16416871500</v>
      </c>
      <c r="D30">
        <v>57221322504</v>
      </c>
      <c r="E30">
        <v>93</v>
      </c>
      <c r="F30" t="str">
        <f>_xlfn.XLOOKUP(C30, '75'!$C$2:$C$1142, '75'!$F$2:$F$1142)</f>
        <v>ok</v>
      </c>
    </row>
    <row r="31" spans="1:6" x14ac:dyDescent="0.45">
      <c r="A31" t="s">
        <v>101</v>
      </c>
      <c r="B31" t="s">
        <v>102</v>
      </c>
      <c r="C31">
        <v>12645477200</v>
      </c>
      <c r="D31">
        <v>58313184000</v>
      </c>
      <c r="E31">
        <v>89</v>
      </c>
      <c r="F31" t="str">
        <f>_xlfn.XLOOKUP(C31, '75'!$C$2:$C$1142, '75'!$F$2:$F$1142)</f>
        <v>no</v>
      </c>
    </row>
    <row r="32" spans="1:6" x14ac:dyDescent="0.45">
      <c r="A32" t="s">
        <v>103</v>
      </c>
      <c r="B32" t="s">
        <v>104</v>
      </c>
      <c r="C32">
        <v>6506306176</v>
      </c>
      <c r="D32">
        <v>57222191447</v>
      </c>
      <c r="E32">
        <v>81</v>
      </c>
      <c r="F32" t="str">
        <f>_xlfn.XLOOKUP(C32, '75'!$C$2:$C$1142, '75'!$F$2:$F$1142)</f>
        <v>no</v>
      </c>
    </row>
    <row r="33" spans="1:6" x14ac:dyDescent="0.45">
      <c r="A33" t="s">
        <v>107</v>
      </c>
      <c r="B33" t="s">
        <v>109</v>
      </c>
      <c r="C33">
        <v>57189582857</v>
      </c>
      <c r="D33">
        <v>58030531600</v>
      </c>
      <c r="E33">
        <v>78</v>
      </c>
      <c r="F33" t="str">
        <f>_xlfn.XLOOKUP(C33, '75'!$C$2:$C$1142, '75'!$F$2:$F$1142)</f>
        <v>no</v>
      </c>
    </row>
    <row r="34" spans="1:6" x14ac:dyDescent="0.45">
      <c r="A34" t="s">
        <v>110</v>
      </c>
      <c r="B34" t="s">
        <v>111</v>
      </c>
      <c r="C34">
        <v>57202919677</v>
      </c>
      <c r="D34">
        <v>57209555584</v>
      </c>
      <c r="E34">
        <v>85</v>
      </c>
      <c r="F34" t="str">
        <f>_xlfn.XLOOKUP(C34, '75'!$C$2:$C$1142, '75'!$F$2:$F$1142)</f>
        <v>no</v>
      </c>
    </row>
    <row r="35" spans="1:6" x14ac:dyDescent="0.45">
      <c r="A35" t="s">
        <v>110</v>
      </c>
      <c r="B35" t="s">
        <v>112</v>
      </c>
      <c r="C35">
        <v>57202919677</v>
      </c>
      <c r="D35">
        <v>59135252300</v>
      </c>
      <c r="E35">
        <v>81</v>
      </c>
      <c r="F35" t="str">
        <f>_xlfn.XLOOKUP(C35, '75'!$C$2:$C$1142, '75'!$F$2:$F$1142)</f>
        <v>no</v>
      </c>
    </row>
    <row r="36" spans="1:6" x14ac:dyDescent="0.45">
      <c r="A36" t="s">
        <v>113</v>
      </c>
      <c r="B36" t="s">
        <v>115</v>
      </c>
      <c r="C36">
        <v>57200504717</v>
      </c>
      <c r="D36">
        <v>56612496600</v>
      </c>
      <c r="E36">
        <v>80</v>
      </c>
      <c r="F36" t="str">
        <f>_xlfn.XLOOKUP(C36, '75'!$C$2:$C$1142, '75'!$F$2:$F$1142)</f>
        <v>no</v>
      </c>
    </row>
    <row r="37" spans="1:6" x14ac:dyDescent="0.45">
      <c r="A37" t="s">
        <v>113</v>
      </c>
      <c r="B37" t="s">
        <v>120</v>
      </c>
      <c r="C37">
        <v>57200504717</v>
      </c>
      <c r="D37">
        <v>57464181400</v>
      </c>
      <c r="E37">
        <v>86</v>
      </c>
      <c r="F37" t="str">
        <f>_xlfn.XLOOKUP(C37, '75'!$C$2:$C$1142, '75'!$F$2:$F$1142)</f>
        <v>no</v>
      </c>
    </row>
    <row r="38" spans="1:6" x14ac:dyDescent="0.45">
      <c r="A38" t="s">
        <v>113</v>
      </c>
      <c r="B38" t="s">
        <v>121</v>
      </c>
      <c r="C38">
        <v>57200504717</v>
      </c>
      <c r="D38">
        <v>59817205600</v>
      </c>
      <c r="E38">
        <v>78</v>
      </c>
      <c r="F38" t="str">
        <f>_xlfn.XLOOKUP(C38, '75'!$C$2:$C$1142, '75'!$F$2:$F$1142)</f>
        <v>no</v>
      </c>
    </row>
    <row r="39" spans="1:6" x14ac:dyDescent="0.45">
      <c r="A39" t="s">
        <v>114</v>
      </c>
      <c r="B39" t="s">
        <v>95</v>
      </c>
      <c r="C39">
        <v>56040387500</v>
      </c>
      <c r="D39">
        <v>35306560600</v>
      </c>
      <c r="E39">
        <v>78</v>
      </c>
      <c r="F39" t="str">
        <f>_xlfn.XLOOKUP(C39, '75'!$C$2:$C$1142, '75'!$F$2:$F$1142)</f>
        <v>no</v>
      </c>
    </row>
    <row r="40" spans="1:6" x14ac:dyDescent="0.45">
      <c r="A40" t="s">
        <v>114</v>
      </c>
      <c r="B40" t="s">
        <v>96</v>
      </c>
      <c r="C40">
        <v>56040387500</v>
      </c>
      <c r="D40">
        <v>57202349101</v>
      </c>
      <c r="E40">
        <v>78</v>
      </c>
      <c r="F40" t="str">
        <f>_xlfn.XLOOKUP(C40, '75'!$C$2:$C$1142, '75'!$F$2:$F$1142)</f>
        <v>no</v>
      </c>
    </row>
    <row r="41" spans="1:6" x14ac:dyDescent="0.45">
      <c r="A41" t="s">
        <v>114</v>
      </c>
      <c r="B41" t="s">
        <v>124</v>
      </c>
      <c r="C41">
        <v>56040387500</v>
      </c>
      <c r="D41">
        <v>57328681600</v>
      </c>
      <c r="E41">
        <v>80</v>
      </c>
      <c r="F41" t="str">
        <f>_xlfn.XLOOKUP(C41, '75'!$C$2:$C$1142, '75'!$F$2:$F$1142)</f>
        <v>no</v>
      </c>
    </row>
    <row r="42" spans="1:6" x14ac:dyDescent="0.45">
      <c r="A42" t="s">
        <v>114</v>
      </c>
      <c r="B42" t="s">
        <v>116</v>
      </c>
      <c r="C42">
        <v>56040387500</v>
      </c>
      <c r="D42">
        <v>57220043419</v>
      </c>
      <c r="E42">
        <v>78</v>
      </c>
      <c r="F42" t="str">
        <f>_xlfn.XLOOKUP(C42, '75'!$C$2:$C$1142, '75'!$F$2:$F$1142)</f>
        <v>no</v>
      </c>
    </row>
    <row r="43" spans="1:6" x14ac:dyDescent="0.45">
      <c r="A43" t="s">
        <v>114</v>
      </c>
      <c r="B43" t="s">
        <v>125</v>
      </c>
      <c r="C43">
        <v>56040387500</v>
      </c>
      <c r="D43">
        <v>57214459624</v>
      </c>
      <c r="E43">
        <v>80</v>
      </c>
      <c r="F43" t="str">
        <f>_xlfn.XLOOKUP(C43, '75'!$C$2:$C$1142, '75'!$F$2:$F$1142)</f>
        <v>no</v>
      </c>
    </row>
    <row r="44" spans="1:6" x14ac:dyDescent="0.45">
      <c r="A44" t="s">
        <v>114</v>
      </c>
      <c r="B44" t="s">
        <v>99</v>
      </c>
      <c r="C44">
        <v>56040387500</v>
      </c>
      <c r="D44">
        <v>57221774756</v>
      </c>
      <c r="E44">
        <v>78</v>
      </c>
      <c r="F44" t="str">
        <f>_xlfn.XLOOKUP(C44, '75'!$C$2:$C$1142, '75'!$F$2:$F$1142)</f>
        <v>no</v>
      </c>
    </row>
    <row r="45" spans="1:6" x14ac:dyDescent="0.45">
      <c r="A45" t="s">
        <v>114</v>
      </c>
      <c r="B45" t="s">
        <v>118</v>
      </c>
      <c r="C45">
        <v>56040387500</v>
      </c>
      <c r="D45">
        <v>59549734700</v>
      </c>
      <c r="E45">
        <v>78</v>
      </c>
      <c r="F45" t="str">
        <f>_xlfn.XLOOKUP(C45, '75'!$C$2:$C$1142, '75'!$F$2:$F$1142)</f>
        <v>no</v>
      </c>
    </row>
    <row r="46" spans="1:6" x14ac:dyDescent="0.45">
      <c r="A46" t="s">
        <v>114</v>
      </c>
      <c r="B46" t="s">
        <v>119</v>
      </c>
      <c r="C46">
        <v>56040387500</v>
      </c>
      <c r="D46">
        <v>55049017000</v>
      </c>
      <c r="E46">
        <v>89</v>
      </c>
      <c r="F46" t="str">
        <f>_xlfn.XLOOKUP(C46, '75'!$C$2:$C$1142, '75'!$F$2:$F$1142)</f>
        <v>no</v>
      </c>
    </row>
    <row r="47" spans="1:6" x14ac:dyDescent="0.45">
      <c r="A47" t="s">
        <v>114</v>
      </c>
      <c r="B47" t="s">
        <v>126</v>
      </c>
      <c r="C47">
        <v>56040387500</v>
      </c>
      <c r="D47">
        <v>57198649249</v>
      </c>
      <c r="E47">
        <v>78</v>
      </c>
      <c r="F47" t="str">
        <f>_xlfn.XLOOKUP(C47, '75'!$C$2:$C$1142, '75'!$F$2:$F$1142)</f>
        <v>no</v>
      </c>
    </row>
    <row r="48" spans="1:6" x14ac:dyDescent="0.45">
      <c r="A48" t="s">
        <v>114</v>
      </c>
      <c r="B48" t="s">
        <v>127</v>
      </c>
      <c r="C48">
        <v>56040387500</v>
      </c>
      <c r="D48">
        <v>59353414700</v>
      </c>
      <c r="E48">
        <v>90</v>
      </c>
      <c r="F48" t="str">
        <f>_xlfn.XLOOKUP(C48, '75'!$C$2:$C$1142, '75'!$F$2:$F$1142)</f>
        <v>no</v>
      </c>
    </row>
    <row r="49" spans="1:6" x14ac:dyDescent="0.45">
      <c r="A49" t="s">
        <v>95</v>
      </c>
      <c r="B49" t="s">
        <v>128</v>
      </c>
      <c r="C49">
        <v>35306560600</v>
      </c>
      <c r="D49">
        <v>57214778958</v>
      </c>
      <c r="E49">
        <v>80</v>
      </c>
      <c r="F49" t="str">
        <f>_xlfn.XLOOKUP(C49, '75'!$C$2:$C$1142, '75'!$F$2:$F$1142)</f>
        <v>no</v>
      </c>
    </row>
    <row r="50" spans="1:6" x14ac:dyDescent="0.45">
      <c r="A50" t="s">
        <v>95</v>
      </c>
      <c r="B50" t="s">
        <v>129</v>
      </c>
      <c r="C50">
        <v>35306560600</v>
      </c>
      <c r="D50">
        <v>57382754500</v>
      </c>
      <c r="E50">
        <v>95</v>
      </c>
      <c r="F50" t="str">
        <f>_xlfn.XLOOKUP(C50, '75'!$C$2:$C$1142, '75'!$F$2:$F$1142)</f>
        <v>no</v>
      </c>
    </row>
    <row r="51" spans="1:6" x14ac:dyDescent="0.45">
      <c r="A51" t="s">
        <v>95</v>
      </c>
      <c r="B51" t="s">
        <v>116</v>
      </c>
      <c r="C51">
        <v>35306560600</v>
      </c>
      <c r="D51">
        <v>57220043419</v>
      </c>
      <c r="E51">
        <v>78</v>
      </c>
      <c r="F51" t="str">
        <f>_xlfn.XLOOKUP(C51, '75'!$C$2:$C$1142, '75'!$F$2:$F$1142)</f>
        <v>no</v>
      </c>
    </row>
    <row r="52" spans="1:6" x14ac:dyDescent="0.45">
      <c r="A52" t="s">
        <v>95</v>
      </c>
      <c r="B52" t="s">
        <v>130</v>
      </c>
      <c r="C52">
        <v>35306560600</v>
      </c>
      <c r="D52">
        <v>55447267000</v>
      </c>
      <c r="E52">
        <v>95</v>
      </c>
      <c r="F52" t="str">
        <f>_xlfn.XLOOKUP(C52, '75'!$C$2:$C$1142, '75'!$F$2:$F$1142)</f>
        <v>no</v>
      </c>
    </row>
    <row r="53" spans="1:6" x14ac:dyDescent="0.45">
      <c r="A53" t="s">
        <v>95</v>
      </c>
      <c r="B53" t="s">
        <v>119</v>
      </c>
      <c r="C53">
        <v>35306560600</v>
      </c>
      <c r="D53">
        <v>55049017000</v>
      </c>
      <c r="E53">
        <v>78</v>
      </c>
      <c r="F53" t="str">
        <f>_xlfn.XLOOKUP(C53, '75'!$C$2:$C$1142, '75'!$F$2:$F$1142)</f>
        <v>no</v>
      </c>
    </row>
    <row r="54" spans="1:6" x14ac:dyDescent="0.45">
      <c r="A54" t="s">
        <v>95</v>
      </c>
      <c r="B54" t="s">
        <v>127</v>
      </c>
      <c r="C54">
        <v>35306560600</v>
      </c>
      <c r="D54">
        <v>59353414700</v>
      </c>
      <c r="E54">
        <v>80</v>
      </c>
      <c r="F54" t="str">
        <f>_xlfn.XLOOKUP(C54, '75'!$C$2:$C$1142, '75'!$F$2:$F$1142)</f>
        <v>no</v>
      </c>
    </row>
    <row r="55" spans="1:6" x14ac:dyDescent="0.45">
      <c r="A55" t="s">
        <v>96</v>
      </c>
      <c r="B55" t="s">
        <v>99</v>
      </c>
      <c r="C55">
        <v>57202349101</v>
      </c>
      <c r="D55">
        <v>57221774756</v>
      </c>
      <c r="E55">
        <v>89</v>
      </c>
      <c r="F55" t="str">
        <f>_xlfn.XLOOKUP(C55, '75'!$C$2:$C$1142, '75'!$F$2:$F$1142)</f>
        <v>no</v>
      </c>
    </row>
    <row r="56" spans="1:6" x14ac:dyDescent="0.45">
      <c r="A56" t="s">
        <v>96</v>
      </c>
      <c r="B56" t="s">
        <v>119</v>
      </c>
      <c r="C56">
        <v>57202349101</v>
      </c>
      <c r="D56">
        <v>55049017000</v>
      </c>
      <c r="E56">
        <v>78</v>
      </c>
      <c r="F56" t="str">
        <f>_xlfn.XLOOKUP(C56, '75'!$C$2:$C$1142, '75'!$F$2:$F$1142)</f>
        <v>no</v>
      </c>
    </row>
    <row r="57" spans="1:6" x14ac:dyDescent="0.45">
      <c r="A57" t="s">
        <v>96</v>
      </c>
      <c r="B57" t="s">
        <v>126</v>
      </c>
      <c r="C57">
        <v>57202349101</v>
      </c>
      <c r="D57">
        <v>57198649249</v>
      </c>
      <c r="E57">
        <v>78</v>
      </c>
      <c r="F57" t="str">
        <f>_xlfn.XLOOKUP(C57, '75'!$C$2:$C$1142, '75'!$F$2:$F$1142)</f>
        <v>no</v>
      </c>
    </row>
    <row r="58" spans="1:6" x14ac:dyDescent="0.45">
      <c r="A58" t="s">
        <v>115</v>
      </c>
      <c r="B58" t="s">
        <v>120</v>
      </c>
      <c r="C58">
        <v>56612496600</v>
      </c>
      <c r="D58">
        <v>57464181400</v>
      </c>
      <c r="E58">
        <v>80</v>
      </c>
      <c r="F58" t="str">
        <f>_xlfn.XLOOKUP(C58, '75'!$C$2:$C$1142, '75'!$F$2:$F$1142)</f>
        <v>no</v>
      </c>
    </row>
    <row r="59" spans="1:6" x14ac:dyDescent="0.45">
      <c r="A59" t="s">
        <v>135</v>
      </c>
      <c r="B59" t="s">
        <v>136</v>
      </c>
      <c r="C59">
        <v>14059835000</v>
      </c>
      <c r="D59">
        <v>30467559600</v>
      </c>
      <c r="E59">
        <v>81</v>
      </c>
      <c r="F59" t="str">
        <f>_xlfn.XLOOKUP(C59, '75'!$C$2:$C$1142, '75'!$F$2:$F$1142)</f>
        <v>no</v>
      </c>
    </row>
    <row r="60" spans="1:6" x14ac:dyDescent="0.45">
      <c r="A60" t="s">
        <v>139</v>
      </c>
      <c r="B60" t="s">
        <v>140</v>
      </c>
      <c r="C60">
        <v>57211297356</v>
      </c>
      <c r="D60">
        <v>58042961200</v>
      </c>
      <c r="E60">
        <v>89</v>
      </c>
      <c r="F60" t="str">
        <f>_xlfn.XLOOKUP(C60, '75'!$C$2:$C$1142, '75'!$F$2:$F$1142)</f>
        <v>no</v>
      </c>
    </row>
    <row r="61" spans="1:6" x14ac:dyDescent="0.45">
      <c r="A61" t="s">
        <v>141</v>
      </c>
      <c r="B61" t="s">
        <v>131</v>
      </c>
      <c r="C61">
        <v>57217236520</v>
      </c>
      <c r="D61">
        <v>57432972100</v>
      </c>
      <c r="E61">
        <v>80</v>
      </c>
      <c r="F61" t="str">
        <f>_xlfn.XLOOKUP(C61, '75'!$C$2:$C$1142, '75'!$F$2:$F$1142)</f>
        <v>no</v>
      </c>
    </row>
    <row r="62" spans="1:6" x14ac:dyDescent="0.45">
      <c r="A62" t="s">
        <v>141</v>
      </c>
      <c r="B62" t="s">
        <v>134</v>
      </c>
      <c r="C62">
        <v>57217236520</v>
      </c>
      <c r="D62">
        <v>57216638641</v>
      </c>
      <c r="E62">
        <v>78</v>
      </c>
      <c r="F62" t="str">
        <f>_xlfn.XLOOKUP(C62, '75'!$C$2:$C$1142, '75'!$F$2:$F$1142)</f>
        <v>no</v>
      </c>
    </row>
    <row r="63" spans="1:6" x14ac:dyDescent="0.45">
      <c r="A63" t="s">
        <v>143</v>
      </c>
      <c r="B63" t="s">
        <v>144</v>
      </c>
      <c r="C63">
        <v>55520207400</v>
      </c>
      <c r="D63">
        <v>57040127500</v>
      </c>
      <c r="E63">
        <v>82</v>
      </c>
      <c r="F63" t="str">
        <f>_xlfn.XLOOKUP(C63, '75'!$C$2:$C$1142, '75'!$F$2:$F$1142)</f>
        <v>no</v>
      </c>
    </row>
    <row r="64" spans="1:6" x14ac:dyDescent="0.45">
      <c r="A64" t="s">
        <v>89</v>
      </c>
      <c r="B64" t="s">
        <v>119</v>
      </c>
      <c r="C64">
        <v>57203151209</v>
      </c>
      <c r="D64">
        <v>55049017000</v>
      </c>
      <c r="E64">
        <v>82</v>
      </c>
      <c r="F64" t="str">
        <f>_xlfn.XLOOKUP(C64, '75'!$C$2:$C$1142, '75'!$F$2:$F$1142)</f>
        <v>no</v>
      </c>
    </row>
    <row r="65" spans="1:6" x14ac:dyDescent="0.45">
      <c r="A65" t="s">
        <v>146</v>
      </c>
      <c r="B65" t="s">
        <v>147</v>
      </c>
      <c r="C65">
        <v>56572138800</v>
      </c>
      <c r="D65">
        <v>57917651800</v>
      </c>
      <c r="E65">
        <v>83</v>
      </c>
      <c r="F65" t="str">
        <f>_xlfn.XLOOKUP(C65, '75'!$C$2:$C$1142, '75'!$F$2:$F$1142)</f>
        <v>no</v>
      </c>
    </row>
    <row r="66" spans="1:6" x14ac:dyDescent="0.45">
      <c r="A66" t="s">
        <v>148</v>
      </c>
      <c r="B66" t="s">
        <v>118</v>
      </c>
      <c r="C66">
        <v>57193485712</v>
      </c>
      <c r="D66">
        <v>59549734700</v>
      </c>
      <c r="E66">
        <v>84</v>
      </c>
      <c r="F66" t="str">
        <f>_xlfn.XLOOKUP(C66, '75'!$C$2:$C$1142, '75'!$F$2:$F$1142)</f>
        <v>no</v>
      </c>
    </row>
    <row r="67" spans="1:6" x14ac:dyDescent="0.45">
      <c r="A67" t="s">
        <v>148</v>
      </c>
      <c r="B67" t="s">
        <v>134</v>
      </c>
      <c r="C67">
        <v>57193485712</v>
      </c>
      <c r="D67">
        <v>57216638641</v>
      </c>
      <c r="E67">
        <v>78</v>
      </c>
      <c r="F67" t="str">
        <f>_xlfn.XLOOKUP(C67, '75'!$C$2:$C$1142, '75'!$F$2:$F$1142)</f>
        <v>no</v>
      </c>
    </row>
    <row r="68" spans="1:6" x14ac:dyDescent="0.45">
      <c r="A68" t="s">
        <v>149</v>
      </c>
      <c r="B68" t="s">
        <v>109</v>
      </c>
      <c r="C68">
        <v>55440932400</v>
      </c>
      <c r="D68">
        <v>58030531600</v>
      </c>
      <c r="E68">
        <v>78</v>
      </c>
      <c r="F68" t="str">
        <f>_xlfn.XLOOKUP(C68, '75'!$C$2:$C$1142, '75'!$F$2:$F$1142)</f>
        <v>no</v>
      </c>
    </row>
    <row r="69" spans="1:6" x14ac:dyDescent="0.45">
      <c r="A69" t="s">
        <v>150</v>
      </c>
      <c r="B69" t="s">
        <v>151</v>
      </c>
      <c r="C69">
        <v>56536183200</v>
      </c>
      <c r="D69">
        <v>55120681800</v>
      </c>
      <c r="E69">
        <v>78</v>
      </c>
      <c r="F69" t="str">
        <f>_xlfn.XLOOKUP(C69, '75'!$C$2:$C$1142, '75'!$F$2:$F$1142)</f>
        <v>no</v>
      </c>
    </row>
    <row r="70" spans="1:6" x14ac:dyDescent="0.45">
      <c r="A70" t="s">
        <v>154</v>
      </c>
      <c r="B70" t="s">
        <v>155</v>
      </c>
      <c r="C70">
        <v>56085514500</v>
      </c>
      <c r="D70">
        <v>59501786900</v>
      </c>
      <c r="E70">
        <v>92</v>
      </c>
      <c r="F70" t="str">
        <f>_xlfn.XLOOKUP(C70, '75'!$C$2:$C$1142, '75'!$F$2:$F$1142)</f>
        <v>ok</v>
      </c>
    </row>
    <row r="71" spans="1:6" x14ac:dyDescent="0.45">
      <c r="A71" t="s">
        <v>156</v>
      </c>
      <c r="B71" t="s">
        <v>157</v>
      </c>
      <c r="C71">
        <v>56714593900</v>
      </c>
      <c r="D71">
        <v>57951745400</v>
      </c>
      <c r="E71">
        <v>79</v>
      </c>
      <c r="F71" t="str">
        <f>_xlfn.XLOOKUP(C71, '75'!$C$2:$C$1142, '75'!$F$2:$F$1142)</f>
        <v>no</v>
      </c>
    </row>
    <row r="72" spans="1:6" x14ac:dyDescent="0.45">
      <c r="A72" t="s">
        <v>158</v>
      </c>
      <c r="B72" t="s">
        <v>159</v>
      </c>
      <c r="C72">
        <v>57581194600</v>
      </c>
      <c r="D72">
        <v>57217373503</v>
      </c>
      <c r="E72">
        <v>80</v>
      </c>
      <c r="F72" t="str">
        <f>_xlfn.XLOOKUP(C72, '75'!$C$2:$C$1142, '75'!$F$2:$F$1142)</f>
        <v>no</v>
      </c>
    </row>
    <row r="73" spans="1:6" x14ac:dyDescent="0.45">
      <c r="A73" t="s">
        <v>144</v>
      </c>
      <c r="B73" t="s">
        <v>160</v>
      </c>
      <c r="C73">
        <v>57040127500</v>
      </c>
      <c r="D73">
        <v>57219783123</v>
      </c>
      <c r="E73">
        <v>78</v>
      </c>
      <c r="F73" t="str">
        <f>_xlfn.XLOOKUP(C73, '75'!$C$2:$C$1142, '75'!$F$2:$F$1142)</f>
        <v>no</v>
      </c>
    </row>
    <row r="74" spans="1:6" x14ac:dyDescent="0.45">
      <c r="A74" t="s">
        <v>124</v>
      </c>
      <c r="B74" t="s">
        <v>116</v>
      </c>
      <c r="C74">
        <v>57328681600</v>
      </c>
      <c r="D74">
        <v>57220043419</v>
      </c>
      <c r="E74">
        <v>80</v>
      </c>
      <c r="F74" t="str">
        <f>_xlfn.XLOOKUP(C74, '75'!$C$2:$C$1142, '75'!$F$2:$F$1142)</f>
        <v>no</v>
      </c>
    </row>
    <row r="75" spans="1:6" x14ac:dyDescent="0.45">
      <c r="A75" t="s">
        <v>124</v>
      </c>
      <c r="B75" t="s">
        <v>121</v>
      </c>
      <c r="C75">
        <v>57328681600</v>
      </c>
      <c r="D75">
        <v>59817205600</v>
      </c>
      <c r="E75">
        <v>82</v>
      </c>
      <c r="F75" t="str">
        <f>_xlfn.XLOOKUP(C75, '75'!$C$2:$C$1142, '75'!$F$2:$F$1142)</f>
        <v>no</v>
      </c>
    </row>
    <row r="76" spans="1:6" x14ac:dyDescent="0.45">
      <c r="A76" t="s">
        <v>163</v>
      </c>
      <c r="B76" t="s">
        <v>164</v>
      </c>
      <c r="C76">
        <v>57200559685</v>
      </c>
      <c r="D76">
        <v>57197862831</v>
      </c>
      <c r="E76">
        <v>78</v>
      </c>
      <c r="F76" t="str">
        <f>_xlfn.XLOOKUP(C76, '75'!$C$2:$C$1142, '75'!$F$2:$F$1142)</f>
        <v>no</v>
      </c>
    </row>
    <row r="77" spans="1:6" x14ac:dyDescent="0.45">
      <c r="A77" t="s">
        <v>129</v>
      </c>
      <c r="B77" t="s">
        <v>130</v>
      </c>
      <c r="C77">
        <v>57382754500</v>
      </c>
      <c r="D77">
        <v>55447267000</v>
      </c>
      <c r="E77">
        <v>90</v>
      </c>
      <c r="F77" t="str">
        <f>_xlfn.XLOOKUP(C77, '75'!$C$2:$C$1142, '75'!$F$2:$F$1142)</f>
        <v>no</v>
      </c>
    </row>
    <row r="78" spans="1:6" x14ac:dyDescent="0.45">
      <c r="A78" t="s">
        <v>169</v>
      </c>
      <c r="B78" t="s">
        <v>170</v>
      </c>
      <c r="C78">
        <v>58827810200</v>
      </c>
      <c r="D78">
        <v>56719213100</v>
      </c>
      <c r="E78">
        <v>92</v>
      </c>
      <c r="F78" t="str">
        <f>_xlfn.XLOOKUP(C78, '75'!$C$2:$C$1142, '75'!$F$2:$F$1142)</f>
        <v>ok</v>
      </c>
    </row>
    <row r="79" spans="1:6" x14ac:dyDescent="0.45">
      <c r="A79" t="s">
        <v>116</v>
      </c>
      <c r="B79" t="s">
        <v>117</v>
      </c>
      <c r="C79">
        <v>57220043419</v>
      </c>
      <c r="D79">
        <v>57219394662</v>
      </c>
      <c r="E79">
        <v>78</v>
      </c>
      <c r="F79" t="str">
        <f>_xlfn.XLOOKUP(C79, '75'!$C$2:$C$1142, '75'!$F$2:$F$1142)</f>
        <v>no</v>
      </c>
    </row>
    <row r="80" spans="1:6" x14ac:dyDescent="0.45">
      <c r="A80" t="s">
        <v>116</v>
      </c>
      <c r="B80" t="s">
        <v>172</v>
      </c>
      <c r="C80">
        <v>57220043419</v>
      </c>
      <c r="D80">
        <v>59352990300</v>
      </c>
      <c r="E80">
        <v>90</v>
      </c>
      <c r="F80" t="str">
        <f>_xlfn.XLOOKUP(C80, '75'!$C$2:$C$1142, '75'!$F$2:$F$1142)</f>
        <v>no</v>
      </c>
    </row>
    <row r="81" spans="1:6" x14ac:dyDescent="0.45">
      <c r="A81" t="s">
        <v>116</v>
      </c>
      <c r="B81" t="s">
        <v>119</v>
      </c>
      <c r="C81">
        <v>57220043419</v>
      </c>
      <c r="D81">
        <v>55049017000</v>
      </c>
      <c r="E81">
        <v>78</v>
      </c>
      <c r="F81" t="str">
        <f>_xlfn.XLOOKUP(C81, '75'!$C$2:$C$1142, '75'!$F$2:$F$1142)</f>
        <v>no</v>
      </c>
    </row>
    <row r="82" spans="1:6" x14ac:dyDescent="0.45">
      <c r="A82" t="s">
        <v>116</v>
      </c>
      <c r="B82" t="s">
        <v>126</v>
      </c>
      <c r="C82">
        <v>57220043419</v>
      </c>
      <c r="D82">
        <v>57198649249</v>
      </c>
      <c r="E82">
        <v>78</v>
      </c>
      <c r="F82" t="str">
        <f>_xlfn.XLOOKUP(C82, '75'!$C$2:$C$1142, '75'!$F$2:$F$1142)</f>
        <v>no</v>
      </c>
    </row>
    <row r="83" spans="1:6" x14ac:dyDescent="0.45">
      <c r="A83" t="s">
        <v>116</v>
      </c>
      <c r="B83" t="s">
        <v>121</v>
      </c>
      <c r="C83">
        <v>57220043419</v>
      </c>
      <c r="D83">
        <v>59817205600</v>
      </c>
      <c r="E83">
        <v>80</v>
      </c>
      <c r="F83" t="str">
        <f>_xlfn.XLOOKUP(C83, '75'!$C$2:$C$1142, '75'!$F$2:$F$1142)</f>
        <v>no</v>
      </c>
    </row>
    <row r="84" spans="1:6" x14ac:dyDescent="0.45">
      <c r="A84" t="s">
        <v>116</v>
      </c>
      <c r="B84" t="s">
        <v>127</v>
      </c>
      <c r="C84">
        <v>57220043419</v>
      </c>
      <c r="D84">
        <v>59353414700</v>
      </c>
      <c r="E84">
        <v>80</v>
      </c>
      <c r="F84" t="str">
        <f>_xlfn.XLOOKUP(C84, '75'!$C$2:$C$1142, '75'!$F$2:$F$1142)</f>
        <v>no</v>
      </c>
    </row>
    <row r="85" spans="1:6" x14ac:dyDescent="0.45">
      <c r="A85" t="s">
        <v>173</v>
      </c>
      <c r="B85" t="s">
        <v>117</v>
      </c>
      <c r="C85">
        <v>58830295700</v>
      </c>
      <c r="D85">
        <v>57219394662</v>
      </c>
      <c r="E85">
        <v>90</v>
      </c>
      <c r="F85" t="str">
        <f>_xlfn.XLOOKUP(C85, '75'!$C$2:$C$1142, '75'!$F$2:$F$1142)</f>
        <v>ok</v>
      </c>
    </row>
    <row r="86" spans="1:6" x14ac:dyDescent="0.45">
      <c r="A86" t="s">
        <v>97</v>
      </c>
      <c r="B86" t="s">
        <v>98</v>
      </c>
      <c r="C86">
        <v>57842429100</v>
      </c>
      <c r="D86">
        <v>57218701161</v>
      </c>
      <c r="E86">
        <v>78</v>
      </c>
      <c r="F86" t="str">
        <f>_xlfn.XLOOKUP(C86, '75'!$C$2:$C$1142, '75'!$F$2:$F$1142)</f>
        <v>no</v>
      </c>
    </row>
    <row r="87" spans="1:6" x14ac:dyDescent="0.45">
      <c r="A87" t="s">
        <v>125</v>
      </c>
      <c r="B87" t="s">
        <v>174</v>
      </c>
      <c r="C87">
        <v>57214459624</v>
      </c>
      <c r="D87">
        <v>57209849920</v>
      </c>
      <c r="E87">
        <v>82</v>
      </c>
      <c r="F87" t="str">
        <f>_xlfn.XLOOKUP(C87, '75'!$C$2:$C$1142, '75'!$F$2:$F$1142)</f>
        <v>no</v>
      </c>
    </row>
    <row r="88" spans="1:6" x14ac:dyDescent="0.45">
      <c r="A88" t="s">
        <v>125</v>
      </c>
      <c r="B88" t="s">
        <v>126</v>
      </c>
      <c r="C88">
        <v>57214459624</v>
      </c>
      <c r="D88">
        <v>57198649249</v>
      </c>
      <c r="E88">
        <v>80</v>
      </c>
      <c r="F88" t="str">
        <f>_xlfn.XLOOKUP(C88, '75'!$C$2:$C$1142, '75'!$F$2:$F$1142)</f>
        <v>no</v>
      </c>
    </row>
    <row r="89" spans="1:6" x14ac:dyDescent="0.45">
      <c r="A89" t="s">
        <v>93</v>
      </c>
      <c r="B89" t="s">
        <v>178</v>
      </c>
      <c r="C89">
        <v>56997016900</v>
      </c>
      <c r="D89">
        <v>57222103241</v>
      </c>
      <c r="E89">
        <v>83</v>
      </c>
      <c r="F89" t="str">
        <f>_xlfn.XLOOKUP(C89, '75'!$C$2:$C$1142, '75'!$F$2:$F$1142)</f>
        <v>no</v>
      </c>
    </row>
    <row r="90" spans="1:6" x14ac:dyDescent="0.45">
      <c r="A90" t="s">
        <v>171</v>
      </c>
      <c r="B90" t="s">
        <v>181</v>
      </c>
      <c r="C90">
        <v>57218999689</v>
      </c>
      <c r="D90">
        <v>57222864840</v>
      </c>
      <c r="E90">
        <v>80</v>
      </c>
      <c r="F90" t="str">
        <f>_xlfn.XLOOKUP(C90, '75'!$C$2:$C$1142, '75'!$F$2:$F$1142)</f>
        <v>no</v>
      </c>
    </row>
    <row r="91" spans="1:6" x14ac:dyDescent="0.45">
      <c r="A91" t="s">
        <v>171</v>
      </c>
      <c r="B91" t="s">
        <v>172</v>
      </c>
      <c r="C91">
        <v>57218999689</v>
      </c>
      <c r="D91">
        <v>59352990300</v>
      </c>
      <c r="E91">
        <v>78</v>
      </c>
      <c r="F91" t="str">
        <f>_xlfn.XLOOKUP(C91, '75'!$C$2:$C$1142, '75'!$F$2:$F$1142)</f>
        <v>no</v>
      </c>
    </row>
    <row r="92" spans="1:6" x14ac:dyDescent="0.45">
      <c r="A92" t="s">
        <v>177</v>
      </c>
      <c r="B92" t="s">
        <v>178</v>
      </c>
      <c r="C92">
        <v>57974985600</v>
      </c>
      <c r="D92">
        <v>57222103241</v>
      </c>
      <c r="E92">
        <v>86</v>
      </c>
      <c r="F92" t="str">
        <f>_xlfn.XLOOKUP(C92, '75'!$C$2:$C$1142, '75'!$F$2:$F$1142)</f>
        <v>no</v>
      </c>
    </row>
    <row r="93" spans="1:6" x14ac:dyDescent="0.45">
      <c r="A93" t="s">
        <v>184</v>
      </c>
      <c r="B93" t="s">
        <v>174</v>
      </c>
      <c r="C93">
        <v>57219740329</v>
      </c>
      <c r="D93">
        <v>57209849920</v>
      </c>
      <c r="E93">
        <v>78</v>
      </c>
      <c r="F93" t="str">
        <f>_xlfn.XLOOKUP(C93, '75'!$C$2:$C$1142, '75'!$F$2:$F$1142)</f>
        <v>no</v>
      </c>
    </row>
    <row r="94" spans="1:6" x14ac:dyDescent="0.45">
      <c r="A94" t="s">
        <v>185</v>
      </c>
      <c r="B94" t="s">
        <v>186</v>
      </c>
      <c r="C94">
        <v>57200793821</v>
      </c>
      <c r="D94">
        <v>56246965800</v>
      </c>
      <c r="E94">
        <v>80</v>
      </c>
      <c r="F94" t="str">
        <f>_xlfn.XLOOKUP(C94, '75'!$C$2:$C$1142, '75'!$F$2:$F$1142)</f>
        <v>no</v>
      </c>
    </row>
    <row r="95" spans="1:6" x14ac:dyDescent="0.45">
      <c r="A95" t="s">
        <v>187</v>
      </c>
      <c r="B95" t="s">
        <v>188</v>
      </c>
      <c r="C95">
        <v>59336849800</v>
      </c>
      <c r="D95">
        <v>59676745300</v>
      </c>
      <c r="E95">
        <v>80</v>
      </c>
      <c r="F95" t="str">
        <f>_xlfn.XLOOKUP(C95, '75'!$C$2:$C$1142, '75'!$F$2:$F$1142)</f>
        <v>ok</v>
      </c>
    </row>
    <row r="96" spans="1:6" x14ac:dyDescent="0.45">
      <c r="A96" t="s">
        <v>111</v>
      </c>
      <c r="B96" t="s">
        <v>112</v>
      </c>
      <c r="C96">
        <v>57209555584</v>
      </c>
      <c r="D96">
        <v>59135252300</v>
      </c>
      <c r="E96">
        <v>89</v>
      </c>
      <c r="F96" t="str">
        <f>_xlfn.XLOOKUP(C96, '75'!$C$2:$C$1142, '75'!$F$2:$F$1142)</f>
        <v>no</v>
      </c>
    </row>
    <row r="97" spans="1:6" x14ac:dyDescent="0.45">
      <c r="A97" t="s">
        <v>117</v>
      </c>
      <c r="B97" t="s">
        <v>132</v>
      </c>
      <c r="C97">
        <v>57219394662</v>
      </c>
      <c r="D97">
        <v>58018476700</v>
      </c>
      <c r="E97">
        <v>84</v>
      </c>
      <c r="F97" t="str">
        <f>_xlfn.XLOOKUP(C97, '75'!$C$2:$C$1142, '75'!$F$2:$F$1142)</f>
        <v>no</v>
      </c>
    </row>
    <row r="98" spans="1:6" x14ac:dyDescent="0.45">
      <c r="A98" t="s">
        <v>117</v>
      </c>
      <c r="B98" t="s">
        <v>126</v>
      </c>
      <c r="C98">
        <v>57219394662</v>
      </c>
      <c r="D98">
        <v>57198649249</v>
      </c>
      <c r="E98">
        <v>78</v>
      </c>
      <c r="F98" t="str">
        <f>_xlfn.XLOOKUP(C98, '75'!$C$2:$C$1142, '75'!$F$2:$F$1142)</f>
        <v>no</v>
      </c>
    </row>
    <row r="99" spans="1:6" x14ac:dyDescent="0.45">
      <c r="A99" t="s">
        <v>190</v>
      </c>
      <c r="B99" t="s">
        <v>191</v>
      </c>
      <c r="C99">
        <v>57821779900</v>
      </c>
      <c r="D99">
        <v>59415748800</v>
      </c>
      <c r="E99">
        <v>94</v>
      </c>
      <c r="F99" t="str">
        <f>_xlfn.XLOOKUP(C99, '75'!$C$2:$C$1142, '75'!$F$2:$F$1142)</f>
        <v>ok</v>
      </c>
    </row>
    <row r="100" spans="1:6" x14ac:dyDescent="0.45">
      <c r="A100" t="s">
        <v>192</v>
      </c>
      <c r="B100" t="s">
        <v>193</v>
      </c>
      <c r="C100">
        <v>57209470116</v>
      </c>
      <c r="D100">
        <v>59518222600</v>
      </c>
      <c r="E100">
        <v>81</v>
      </c>
      <c r="F100" t="str">
        <f>_xlfn.XLOOKUP(C100, '75'!$C$2:$C$1142, '75'!$F$2:$F$1142)</f>
        <v>no</v>
      </c>
    </row>
    <row r="101" spans="1:6" x14ac:dyDescent="0.45">
      <c r="A101" t="s">
        <v>194</v>
      </c>
      <c r="B101" t="s">
        <v>155</v>
      </c>
      <c r="C101">
        <v>57889650800</v>
      </c>
      <c r="D101">
        <v>59501786900</v>
      </c>
      <c r="E101">
        <v>78</v>
      </c>
      <c r="F101" t="str">
        <f>_xlfn.XLOOKUP(C101, '75'!$C$2:$C$1142, '75'!$F$2:$F$1142)</f>
        <v>no</v>
      </c>
    </row>
    <row r="102" spans="1:6" x14ac:dyDescent="0.45">
      <c r="A102" t="s">
        <v>195</v>
      </c>
      <c r="B102" t="s">
        <v>174</v>
      </c>
      <c r="C102">
        <v>57222654013</v>
      </c>
      <c r="D102">
        <v>57209849920</v>
      </c>
      <c r="E102">
        <v>82</v>
      </c>
      <c r="F102" t="str">
        <f>_xlfn.XLOOKUP(C102, '75'!$C$2:$C$1142, '75'!$F$2:$F$1142)</f>
        <v>no</v>
      </c>
    </row>
    <row r="103" spans="1:6" x14ac:dyDescent="0.45">
      <c r="A103" t="s">
        <v>166</v>
      </c>
      <c r="B103" t="s">
        <v>196</v>
      </c>
      <c r="C103">
        <v>57216440698</v>
      </c>
      <c r="D103">
        <v>58828197400</v>
      </c>
      <c r="E103">
        <v>80</v>
      </c>
      <c r="F103" t="str">
        <f>_xlfn.XLOOKUP(C103, '75'!$C$2:$C$1142, '75'!$F$2:$F$1142)</f>
        <v>no</v>
      </c>
    </row>
    <row r="104" spans="1:6" x14ac:dyDescent="0.45">
      <c r="A104" t="s">
        <v>174</v>
      </c>
      <c r="B104" t="s">
        <v>126</v>
      </c>
      <c r="C104">
        <v>57209849920</v>
      </c>
      <c r="D104">
        <v>57198649249</v>
      </c>
      <c r="E104">
        <v>80</v>
      </c>
      <c r="F104" t="str">
        <f>_xlfn.XLOOKUP(C104, '75'!$C$2:$C$1142, '75'!$F$2:$F$1142)</f>
        <v>no</v>
      </c>
    </row>
    <row r="105" spans="1:6" x14ac:dyDescent="0.45">
      <c r="A105" t="s">
        <v>174</v>
      </c>
      <c r="B105" t="s">
        <v>197</v>
      </c>
      <c r="C105">
        <v>57209849920</v>
      </c>
      <c r="D105">
        <v>57226542790</v>
      </c>
      <c r="E105">
        <v>80</v>
      </c>
      <c r="F105" t="str">
        <f>_xlfn.XLOOKUP(C105, '75'!$C$2:$C$1142, '75'!$F$2:$F$1142)</f>
        <v>no</v>
      </c>
    </row>
    <row r="106" spans="1:6" x14ac:dyDescent="0.45">
      <c r="A106" t="s">
        <v>142</v>
      </c>
      <c r="B106" t="s">
        <v>134</v>
      </c>
      <c r="C106">
        <v>57221630885</v>
      </c>
      <c r="D106">
        <v>57216638641</v>
      </c>
      <c r="E106">
        <v>84</v>
      </c>
      <c r="F106" t="str">
        <f>_xlfn.XLOOKUP(C106, '75'!$C$2:$C$1142, '75'!$F$2:$F$1142)</f>
        <v>no</v>
      </c>
    </row>
    <row r="107" spans="1:6" x14ac:dyDescent="0.45">
      <c r="A107" t="s">
        <v>155</v>
      </c>
      <c r="B107" t="s">
        <v>198</v>
      </c>
      <c r="C107">
        <v>59501786900</v>
      </c>
      <c r="D107">
        <v>7005809540</v>
      </c>
      <c r="E107">
        <v>78</v>
      </c>
      <c r="F107" t="str">
        <f>_xlfn.XLOOKUP(C107, '75'!$C$2:$C$1142, '75'!$F$2:$F$1142)</f>
        <v>no</v>
      </c>
    </row>
    <row r="108" spans="1:6" x14ac:dyDescent="0.45">
      <c r="A108" t="s">
        <v>186</v>
      </c>
      <c r="B108" t="s">
        <v>199</v>
      </c>
      <c r="C108">
        <v>56246965800</v>
      </c>
      <c r="D108">
        <v>55863189900</v>
      </c>
      <c r="E108">
        <v>78</v>
      </c>
      <c r="F108" t="str">
        <f>_xlfn.XLOOKUP(C108, '75'!$C$2:$C$1142, '75'!$F$2:$F$1142)</f>
        <v>no</v>
      </c>
    </row>
    <row r="109" spans="1:6" x14ac:dyDescent="0.45">
      <c r="A109" t="s">
        <v>200</v>
      </c>
      <c r="B109" t="s">
        <v>201</v>
      </c>
      <c r="C109">
        <v>59807760700</v>
      </c>
      <c r="D109">
        <v>7402666341</v>
      </c>
      <c r="E109">
        <v>92</v>
      </c>
      <c r="F109" t="str">
        <f>_xlfn.XLOOKUP(C109, '75'!$C$2:$C$1142, '75'!$F$2:$F$1142)</f>
        <v>ok</v>
      </c>
    </row>
    <row r="110" spans="1:6" x14ac:dyDescent="0.45">
      <c r="A110" t="s">
        <v>203</v>
      </c>
      <c r="B110" t="s">
        <v>153</v>
      </c>
      <c r="C110">
        <v>58148311500</v>
      </c>
      <c r="D110">
        <v>55925334100</v>
      </c>
      <c r="E110">
        <v>79</v>
      </c>
      <c r="F110" t="str">
        <f>_xlfn.XLOOKUP(C110, '75'!$C$2:$C$1142, '75'!$F$2:$F$1142)</f>
        <v>no</v>
      </c>
    </row>
    <row r="111" spans="1:6" x14ac:dyDescent="0.45">
      <c r="A111" t="s">
        <v>98</v>
      </c>
      <c r="B111" t="s">
        <v>118</v>
      </c>
      <c r="C111">
        <v>57218701161</v>
      </c>
      <c r="D111">
        <v>59549734700</v>
      </c>
      <c r="E111">
        <v>78</v>
      </c>
      <c r="F111" t="str">
        <f>_xlfn.XLOOKUP(C111, '75'!$C$2:$C$1142, '75'!$F$2:$F$1142)</f>
        <v>no</v>
      </c>
    </row>
    <row r="112" spans="1:6" x14ac:dyDescent="0.45">
      <c r="A112" t="s">
        <v>98</v>
      </c>
      <c r="B112" t="s">
        <v>134</v>
      </c>
      <c r="C112">
        <v>57218701161</v>
      </c>
      <c r="D112">
        <v>57216638641</v>
      </c>
      <c r="E112">
        <v>82</v>
      </c>
      <c r="F112" t="str">
        <f>_xlfn.XLOOKUP(C112, '75'!$C$2:$C$1142, '75'!$F$2:$F$1142)</f>
        <v>no</v>
      </c>
    </row>
    <row r="113" spans="1:6" x14ac:dyDescent="0.45">
      <c r="A113" t="s">
        <v>99</v>
      </c>
      <c r="B113" t="s">
        <v>119</v>
      </c>
      <c r="C113">
        <v>57221774756</v>
      </c>
      <c r="D113">
        <v>55049017000</v>
      </c>
      <c r="E113">
        <v>78</v>
      </c>
      <c r="F113" t="str">
        <f>_xlfn.XLOOKUP(C113, '75'!$C$2:$C$1142, '75'!$F$2:$F$1142)</f>
        <v>no</v>
      </c>
    </row>
    <row r="114" spans="1:6" x14ac:dyDescent="0.45">
      <c r="A114" t="s">
        <v>99</v>
      </c>
      <c r="B114" t="s">
        <v>126</v>
      </c>
      <c r="C114">
        <v>57221774756</v>
      </c>
      <c r="D114">
        <v>57198649249</v>
      </c>
      <c r="E114">
        <v>78</v>
      </c>
      <c r="F114" t="str">
        <f>_xlfn.XLOOKUP(C114, '75'!$C$2:$C$1142, '75'!$F$2:$F$1142)</f>
        <v>no</v>
      </c>
    </row>
    <row r="115" spans="1:6" x14ac:dyDescent="0.45">
      <c r="A115" t="s">
        <v>207</v>
      </c>
      <c r="B115" t="s">
        <v>208</v>
      </c>
      <c r="C115">
        <v>58287914600</v>
      </c>
      <c r="D115">
        <v>58061917200</v>
      </c>
      <c r="E115">
        <v>95</v>
      </c>
      <c r="F115" t="str">
        <f>_xlfn.XLOOKUP(C115, '75'!$C$2:$C$1142, '75'!$F$2:$F$1142)</f>
        <v>ok</v>
      </c>
    </row>
    <row r="116" spans="1:6" x14ac:dyDescent="0.45">
      <c r="A116" t="s">
        <v>147</v>
      </c>
      <c r="B116" t="s">
        <v>210</v>
      </c>
      <c r="C116">
        <v>57917651800</v>
      </c>
      <c r="D116">
        <v>57367161300</v>
      </c>
      <c r="E116">
        <v>81</v>
      </c>
      <c r="F116" t="str">
        <f>_xlfn.XLOOKUP(C116, '75'!$C$2:$C$1142, '75'!$F$2:$F$1142)</f>
        <v>no</v>
      </c>
    </row>
    <row r="117" spans="1:6" x14ac:dyDescent="0.45">
      <c r="A117" t="s">
        <v>118</v>
      </c>
      <c r="B117" t="s">
        <v>134</v>
      </c>
      <c r="C117">
        <v>59549734700</v>
      </c>
      <c r="D117">
        <v>57216638641</v>
      </c>
      <c r="E117">
        <v>82</v>
      </c>
      <c r="F117" t="str">
        <f>_xlfn.XLOOKUP(C117, '75'!$C$2:$C$1142, '75'!$F$2:$F$1142)</f>
        <v>no</v>
      </c>
    </row>
    <row r="118" spans="1:6" x14ac:dyDescent="0.45">
      <c r="A118" t="s">
        <v>118</v>
      </c>
      <c r="B118" t="s">
        <v>120</v>
      </c>
      <c r="C118">
        <v>59549734700</v>
      </c>
      <c r="D118">
        <v>57464181400</v>
      </c>
      <c r="E118">
        <v>88</v>
      </c>
      <c r="F118" t="str">
        <f>_xlfn.XLOOKUP(C118, '75'!$C$2:$C$1142, '75'!$F$2:$F$1142)</f>
        <v>no</v>
      </c>
    </row>
    <row r="119" spans="1:6" x14ac:dyDescent="0.45">
      <c r="A119" t="s">
        <v>133</v>
      </c>
      <c r="B119" t="s">
        <v>183</v>
      </c>
      <c r="C119">
        <v>58666893100</v>
      </c>
      <c r="D119">
        <v>57219506217</v>
      </c>
      <c r="E119">
        <v>82</v>
      </c>
      <c r="F119" t="str">
        <f>_xlfn.XLOOKUP(C119, '75'!$C$2:$C$1142, '75'!$F$2:$F$1142)</f>
        <v>no</v>
      </c>
    </row>
    <row r="120" spans="1:6" x14ac:dyDescent="0.45">
      <c r="A120" t="s">
        <v>213</v>
      </c>
      <c r="B120" t="s">
        <v>214</v>
      </c>
      <c r="C120">
        <v>57221444667</v>
      </c>
      <c r="D120">
        <v>57222558845</v>
      </c>
      <c r="E120">
        <v>79</v>
      </c>
      <c r="F120" t="str">
        <f>_xlfn.XLOOKUP(C120, '75'!$C$2:$C$1142, '75'!$F$2:$F$1142)</f>
        <v>no</v>
      </c>
    </row>
    <row r="121" spans="1:6" x14ac:dyDescent="0.45">
      <c r="A121" t="s">
        <v>204</v>
      </c>
      <c r="B121" t="s">
        <v>215</v>
      </c>
      <c r="C121">
        <v>59559800200</v>
      </c>
      <c r="D121">
        <v>57224812353</v>
      </c>
      <c r="E121">
        <v>80</v>
      </c>
      <c r="F121" t="str">
        <f>_xlfn.XLOOKUP(C121, '75'!$C$2:$C$1142, '75'!$F$2:$F$1142)</f>
        <v>no</v>
      </c>
    </row>
    <row r="122" spans="1:6" x14ac:dyDescent="0.45">
      <c r="A122" t="s">
        <v>119</v>
      </c>
      <c r="B122" t="s">
        <v>100</v>
      </c>
      <c r="C122">
        <v>55049017000</v>
      </c>
      <c r="D122">
        <v>58745556500</v>
      </c>
      <c r="E122">
        <v>80</v>
      </c>
      <c r="F122" t="str">
        <f>_xlfn.XLOOKUP(C122, '75'!$C$2:$C$1142, '75'!$F$2:$F$1142)</f>
        <v>ok</v>
      </c>
    </row>
    <row r="123" spans="1:6" x14ac:dyDescent="0.45">
      <c r="A123" t="s">
        <v>119</v>
      </c>
      <c r="B123" t="s">
        <v>126</v>
      </c>
      <c r="C123">
        <v>55049017000</v>
      </c>
      <c r="D123">
        <v>57198649249</v>
      </c>
      <c r="E123">
        <v>78</v>
      </c>
      <c r="F123" t="str">
        <f>_xlfn.XLOOKUP(C123, '75'!$C$2:$C$1142, '75'!$F$2:$F$1142)</f>
        <v>ok</v>
      </c>
    </row>
    <row r="124" spans="1:6" x14ac:dyDescent="0.45">
      <c r="A124" t="s">
        <v>119</v>
      </c>
      <c r="B124" t="s">
        <v>127</v>
      </c>
      <c r="C124">
        <v>55049017000</v>
      </c>
      <c r="D124">
        <v>59353414700</v>
      </c>
      <c r="E124">
        <v>80</v>
      </c>
      <c r="F124" t="str">
        <f>_xlfn.XLOOKUP(C124, '75'!$C$2:$C$1142, '75'!$F$2:$F$1142)</f>
        <v>ok</v>
      </c>
    </row>
    <row r="125" spans="1:6" x14ac:dyDescent="0.45">
      <c r="A125" t="s">
        <v>206</v>
      </c>
      <c r="B125" t="s">
        <v>216</v>
      </c>
      <c r="C125">
        <v>58057749400</v>
      </c>
      <c r="D125">
        <v>6507907377</v>
      </c>
      <c r="E125">
        <v>78</v>
      </c>
      <c r="F125" t="str">
        <f>_xlfn.XLOOKUP(C125, '75'!$C$2:$C$1142, '75'!$F$2:$F$1142)</f>
        <v>no</v>
      </c>
    </row>
    <row r="126" spans="1:6" x14ac:dyDescent="0.45">
      <c r="A126" t="s">
        <v>217</v>
      </c>
      <c r="B126" t="s">
        <v>157</v>
      </c>
      <c r="C126">
        <v>58573541600</v>
      </c>
      <c r="D126">
        <v>57951745400</v>
      </c>
      <c r="E126">
        <v>81</v>
      </c>
      <c r="F126" t="str">
        <f>_xlfn.XLOOKUP(C126, '75'!$C$2:$C$1142, '75'!$F$2:$F$1142)</f>
        <v>no</v>
      </c>
    </row>
    <row r="127" spans="1:6" x14ac:dyDescent="0.45">
      <c r="A127" t="s">
        <v>218</v>
      </c>
      <c r="B127" t="s">
        <v>219</v>
      </c>
      <c r="C127">
        <v>57201730337</v>
      </c>
      <c r="D127">
        <v>57202912172</v>
      </c>
      <c r="E127">
        <v>93</v>
      </c>
      <c r="F127" t="str">
        <f>_xlfn.XLOOKUP(C127, '75'!$C$2:$C$1142, '75'!$F$2:$F$1142)</f>
        <v>ok</v>
      </c>
    </row>
    <row r="128" spans="1:6" x14ac:dyDescent="0.45">
      <c r="A128" t="s">
        <v>220</v>
      </c>
      <c r="B128" t="s">
        <v>221</v>
      </c>
      <c r="C128">
        <v>57211702395</v>
      </c>
      <c r="D128">
        <v>57225927794</v>
      </c>
      <c r="E128">
        <v>83</v>
      </c>
      <c r="F128" t="str">
        <f>_xlfn.XLOOKUP(C128, '75'!$C$2:$C$1142, '75'!$F$2:$F$1142)</f>
        <v>no</v>
      </c>
    </row>
    <row r="129" spans="1:6" x14ac:dyDescent="0.45">
      <c r="A129" t="s">
        <v>222</v>
      </c>
      <c r="B129" t="s">
        <v>223</v>
      </c>
      <c r="C129">
        <v>7004268181</v>
      </c>
      <c r="D129">
        <v>56840385400</v>
      </c>
      <c r="E129">
        <v>93</v>
      </c>
      <c r="F129" t="str">
        <f>_xlfn.XLOOKUP(C129, '75'!$C$2:$C$1142, '75'!$F$2:$F$1142)</f>
        <v>ok</v>
      </c>
    </row>
    <row r="130" spans="1:6" x14ac:dyDescent="0.45">
      <c r="A130" t="s">
        <v>226</v>
      </c>
      <c r="B130" t="s">
        <v>227</v>
      </c>
      <c r="C130">
        <v>55580787900</v>
      </c>
      <c r="D130">
        <v>57206727735</v>
      </c>
      <c r="E130">
        <v>80</v>
      </c>
      <c r="F130" t="str">
        <f>_xlfn.XLOOKUP(C130, '75'!$C$2:$C$1142, '75'!$F$2:$F$1142)</f>
        <v>no</v>
      </c>
    </row>
    <row r="131" spans="1:6" x14ac:dyDescent="0.45">
      <c r="A131" t="s">
        <v>228</v>
      </c>
      <c r="B131" t="s">
        <v>229</v>
      </c>
      <c r="C131">
        <v>55827058600</v>
      </c>
      <c r="D131">
        <v>59014166800</v>
      </c>
      <c r="E131">
        <v>78</v>
      </c>
      <c r="F131" t="str">
        <f>_xlfn.XLOOKUP(C131, '75'!$C$2:$C$1142, '75'!$F$2:$F$1142)</f>
        <v>no</v>
      </c>
    </row>
    <row r="132" spans="1:6" x14ac:dyDescent="0.45">
      <c r="A132" t="s">
        <v>230</v>
      </c>
      <c r="B132" t="s">
        <v>231</v>
      </c>
      <c r="C132">
        <v>59157783100</v>
      </c>
      <c r="D132">
        <v>59814698200</v>
      </c>
      <c r="E132">
        <v>92</v>
      </c>
      <c r="F132" t="str">
        <f>_xlfn.XLOOKUP(C132, '75'!$C$2:$C$1142, '75'!$F$2:$F$1142)</f>
        <v>ok</v>
      </c>
    </row>
    <row r="133" spans="1:6" x14ac:dyDescent="0.45">
      <c r="A133" t="s">
        <v>232</v>
      </c>
      <c r="B133" t="s">
        <v>233</v>
      </c>
      <c r="C133">
        <v>57287468800</v>
      </c>
      <c r="D133">
        <v>57575566400</v>
      </c>
      <c r="E133">
        <v>92</v>
      </c>
      <c r="F133" t="str">
        <f>_xlfn.XLOOKUP(C133, '75'!$C$2:$C$1142, '75'!$F$2:$F$1142)</f>
        <v>ok</v>
      </c>
    </row>
    <row r="134" spans="1:6" x14ac:dyDescent="0.45">
      <c r="A134" t="s">
        <v>234</v>
      </c>
      <c r="B134" t="s">
        <v>235</v>
      </c>
      <c r="C134">
        <v>57204286868</v>
      </c>
      <c r="D134">
        <v>57736347300</v>
      </c>
      <c r="E134">
        <v>80</v>
      </c>
      <c r="F134" t="str">
        <f>_xlfn.XLOOKUP(C134, '75'!$C$2:$C$1142, '75'!$F$2:$F$1142)</f>
        <v>no</v>
      </c>
    </row>
    <row r="135" spans="1:6" x14ac:dyDescent="0.45">
      <c r="A135" t="s">
        <v>236</v>
      </c>
      <c r="B135" t="s">
        <v>237</v>
      </c>
      <c r="C135">
        <v>57224893513</v>
      </c>
      <c r="D135">
        <v>57253151600</v>
      </c>
      <c r="E135">
        <v>80</v>
      </c>
      <c r="F135" t="str">
        <f>_xlfn.XLOOKUP(C135, '75'!$C$2:$C$1142, '75'!$F$2:$F$1142)</f>
        <v>no</v>
      </c>
    </row>
    <row r="136" spans="1:6" x14ac:dyDescent="0.45">
      <c r="A136" t="s">
        <v>238</v>
      </c>
      <c r="B136" t="s">
        <v>239</v>
      </c>
      <c r="C136">
        <v>58766124700</v>
      </c>
      <c r="D136">
        <v>57224440277</v>
      </c>
      <c r="E136">
        <v>78</v>
      </c>
      <c r="F136" t="str">
        <f>_xlfn.XLOOKUP(C136, '75'!$C$2:$C$1142, '75'!$F$2:$F$1142)</f>
        <v>no</v>
      </c>
    </row>
    <row r="137" spans="1:6" x14ac:dyDescent="0.45">
      <c r="A137" t="s">
        <v>242</v>
      </c>
      <c r="B137" t="s">
        <v>243</v>
      </c>
      <c r="C137">
        <v>57792002700</v>
      </c>
      <c r="D137">
        <v>59373208900</v>
      </c>
      <c r="E137">
        <v>97</v>
      </c>
      <c r="F137" t="str">
        <f>_xlfn.XLOOKUP(C137, '75'!$C$2:$C$1142, '75'!$F$2:$F$1142)</f>
        <v>ok</v>
      </c>
    </row>
    <row r="138" spans="1:6" x14ac:dyDescent="0.45">
      <c r="A138" t="s">
        <v>244</v>
      </c>
      <c r="B138" t="s">
        <v>245</v>
      </c>
      <c r="C138">
        <v>57212346127</v>
      </c>
      <c r="D138">
        <v>57203331764</v>
      </c>
      <c r="E138">
        <v>90</v>
      </c>
      <c r="F138" t="str">
        <f>_xlfn.XLOOKUP(C138, '75'!$C$2:$C$1142, '75'!$F$2:$F$1142)</f>
        <v>no</v>
      </c>
    </row>
    <row r="139" spans="1:6" x14ac:dyDescent="0.45">
      <c r="A139" t="s">
        <v>248</v>
      </c>
      <c r="B139" t="s">
        <v>249</v>
      </c>
      <c r="C139">
        <v>57215934820</v>
      </c>
      <c r="D139">
        <v>57214111535</v>
      </c>
      <c r="E139">
        <v>97</v>
      </c>
      <c r="F139" t="str">
        <f>_xlfn.XLOOKUP(C139, '75'!$C$2:$C$1142, '75'!$F$2:$F$1142)</f>
        <v>ok</v>
      </c>
    </row>
    <row r="140" spans="1:6" x14ac:dyDescent="0.45">
      <c r="A140" t="s">
        <v>250</v>
      </c>
      <c r="B140" t="s">
        <v>251</v>
      </c>
      <c r="C140">
        <v>59647175000</v>
      </c>
      <c r="D140">
        <v>57216222262</v>
      </c>
      <c r="E140">
        <v>93</v>
      </c>
      <c r="F140" t="str">
        <f>_xlfn.XLOOKUP(C140, '75'!$C$2:$C$1142, '75'!$F$2:$F$1142)</f>
        <v>ok</v>
      </c>
    </row>
    <row r="141" spans="1:6" x14ac:dyDescent="0.45">
      <c r="A141" t="s">
        <v>254</v>
      </c>
      <c r="B141" t="s">
        <v>255</v>
      </c>
      <c r="C141">
        <v>55620693600</v>
      </c>
      <c r="D141">
        <v>57998385200</v>
      </c>
      <c r="E141">
        <v>96</v>
      </c>
      <c r="F141" t="str">
        <f>_xlfn.XLOOKUP(C141, '75'!$C$2:$C$1142, '75'!$F$2:$F$1142)</f>
        <v>ok</v>
      </c>
    </row>
    <row r="142" spans="1:6" x14ac:dyDescent="0.45">
      <c r="A142" t="s">
        <v>259</v>
      </c>
      <c r="B142" t="s">
        <v>260</v>
      </c>
      <c r="C142">
        <v>56483186100</v>
      </c>
      <c r="D142">
        <v>57215828343</v>
      </c>
      <c r="E142">
        <v>83</v>
      </c>
      <c r="F142" t="str">
        <f>_xlfn.XLOOKUP(C142, '75'!$C$2:$C$1142, '75'!$F$2:$F$1142)</f>
        <v>ok</v>
      </c>
    </row>
    <row r="143" spans="1:6" x14ac:dyDescent="0.45">
      <c r="A143" t="s">
        <v>261</v>
      </c>
      <c r="B143" t="s">
        <v>262</v>
      </c>
      <c r="C143">
        <v>56856315600</v>
      </c>
      <c r="D143">
        <v>56268773600</v>
      </c>
      <c r="E143">
        <v>92</v>
      </c>
      <c r="F143" t="str">
        <f>_xlfn.XLOOKUP(C143, '75'!$C$2:$C$1142, '75'!$F$2:$F$1142)</f>
        <v>no</v>
      </c>
    </row>
    <row r="144" spans="1:6" x14ac:dyDescent="0.45">
      <c r="A144" t="s">
        <v>265</v>
      </c>
      <c r="B144" t="s">
        <v>266</v>
      </c>
      <c r="C144">
        <v>57194874078</v>
      </c>
      <c r="D144">
        <v>58340549400</v>
      </c>
      <c r="E144">
        <v>81</v>
      </c>
      <c r="F144" t="str">
        <f>_xlfn.XLOOKUP(C144, '75'!$C$2:$C$1142, '75'!$F$2:$F$1142)</f>
        <v>no</v>
      </c>
    </row>
    <row r="145" spans="1:6" x14ac:dyDescent="0.45">
      <c r="A145" t="s">
        <v>267</v>
      </c>
      <c r="B145" t="s">
        <v>268</v>
      </c>
      <c r="C145">
        <v>57220106603</v>
      </c>
      <c r="D145">
        <v>57217134072</v>
      </c>
      <c r="E145">
        <v>92</v>
      </c>
      <c r="F145" t="str">
        <f>_xlfn.XLOOKUP(C145, '75'!$C$2:$C$1142, '75'!$F$2:$F$1142)</f>
        <v>no</v>
      </c>
    </row>
    <row r="146" spans="1:6" x14ac:dyDescent="0.45">
      <c r="A146" t="s">
        <v>276</v>
      </c>
      <c r="B146" t="s">
        <v>277</v>
      </c>
      <c r="C146">
        <v>58558920700</v>
      </c>
      <c r="D146">
        <v>57218855997</v>
      </c>
      <c r="E146">
        <v>87</v>
      </c>
      <c r="F146" t="str">
        <f>_xlfn.XLOOKUP(C146, '75'!$C$2:$C$1142, '75'!$F$2:$F$1142)</f>
        <v>ok</v>
      </c>
    </row>
    <row r="147" spans="1:6" x14ac:dyDescent="0.45">
      <c r="A147" t="s">
        <v>280</v>
      </c>
      <c r="B147" t="s">
        <v>279</v>
      </c>
      <c r="C147">
        <v>57204292684</v>
      </c>
      <c r="D147">
        <v>59152182400</v>
      </c>
      <c r="E147">
        <v>82</v>
      </c>
      <c r="F147" t="str">
        <f>_xlfn.XLOOKUP(C147, '75'!$C$2:$C$1142, '75'!$F$2:$F$1142)</f>
        <v>no</v>
      </c>
    </row>
    <row r="148" spans="1:6" x14ac:dyDescent="0.45">
      <c r="A148" t="s">
        <v>275</v>
      </c>
      <c r="B148" t="s">
        <v>264</v>
      </c>
      <c r="C148">
        <v>57998535800</v>
      </c>
      <c r="D148">
        <v>57211241158</v>
      </c>
      <c r="E148">
        <v>86</v>
      </c>
      <c r="F148" t="str">
        <f>_xlfn.XLOOKUP(C148, '75'!$C$2:$C$1142, '75'!$F$2:$F$1142)</f>
        <v>no</v>
      </c>
    </row>
    <row r="149" spans="1:6" x14ac:dyDescent="0.45">
      <c r="A149" t="s">
        <v>281</v>
      </c>
      <c r="B149" t="s">
        <v>282</v>
      </c>
      <c r="C149">
        <v>57200176320</v>
      </c>
      <c r="D149">
        <v>58689678000</v>
      </c>
      <c r="E149">
        <v>92</v>
      </c>
      <c r="F149" t="str">
        <f>_xlfn.XLOOKUP(C149, '75'!$C$2:$C$1142, '75'!$F$2:$F$1142)</f>
        <v>ok</v>
      </c>
    </row>
    <row r="150" spans="1:6" x14ac:dyDescent="0.45">
      <c r="A150" t="s">
        <v>283</v>
      </c>
      <c r="B150" t="s">
        <v>284</v>
      </c>
      <c r="C150">
        <v>58317255900</v>
      </c>
      <c r="D150">
        <v>58245716100</v>
      </c>
      <c r="E150">
        <v>79</v>
      </c>
      <c r="F150" t="str">
        <f>_xlfn.XLOOKUP(C150, '75'!$C$2:$C$1142, '75'!$F$2:$F$1142)</f>
        <v>no</v>
      </c>
    </row>
    <row r="151" spans="1:6" x14ac:dyDescent="0.45">
      <c r="A151" t="s">
        <v>285</v>
      </c>
      <c r="B151" t="s">
        <v>286</v>
      </c>
      <c r="C151">
        <v>57723250300</v>
      </c>
      <c r="D151">
        <v>59173501800</v>
      </c>
      <c r="E151">
        <v>93</v>
      </c>
      <c r="F151" t="str">
        <f>_xlfn.XLOOKUP(C151, '75'!$C$2:$C$1142, '75'!$F$2:$F$1142)</f>
        <v>ok</v>
      </c>
    </row>
    <row r="152" spans="1:6" x14ac:dyDescent="0.45">
      <c r="A152" t="s">
        <v>288</v>
      </c>
      <c r="B152" t="s">
        <v>289</v>
      </c>
      <c r="C152">
        <v>57442070700</v>
      </c>
      <c r="D152">
        <v>57218126790</v>
      </c>
      <c r="E152">
        <v>78</v>
      </c>
      <c r="F152" t="str">
        <f>_xlfn.XLOOKUP(C152, '75'!$C$2:$C$1142, '75'!$F$2:$F$1142)</f>
        <v>no</v>
      </c>
    </row>
    <row r="153" spans="1:6" x14ac:dyDescent="0.45">
      <c r="A153" t="s">
        <v>290</v>
      </c>
      <c r="B153" t="s">
        <v>291</v>
      </c>
      <c r="C153">
        <v>57252120700</v>
      </c>
      <c r="D153">
        <v>57218113455</v>
      </c>
      <c r="E153">
        <v>79</v>
      </c>
      <c r="F153" t="str">
        <f>_xlfn.XLOOKUP(C153, '75'!$C$2:$C$1142, '75'!$F$2:$F$1142)</f>
        <v>no</v>
      </c>
    </row>
    <row r="154" spans="1:6" x14ac:dyDescent="0.45">
      <c r="A154" t="s">
        <v>292</v>
      </c>
      <c r="B154" t="s">
        <v>293</v>
      </c>
      <c r="C154">
        <v>24359010500</v>
      </c>
      <c r="D154">
        <v>57223164224</v>
      </c>
      <c r="E154">
        <v>90</v>
      </c>
      <c r="F154" t="str">
        <f>_xlfn.XLOOKUP(C154, '75'!$C$2:$C$1142, '75'!$F$2:$F$1142)</f>
        <v>ok</v>
      </c>
    </row>
    <row r="155" spans="1:6" x14ac:dyDescent="0.45">
      <c r="A155" t="s">
        <v>294</v>
      </c>
      <c r="B155" t="s">
        <v>295</v>
      </c>
      <c r="C155">
        <v>57190345166</v>
      </c>
      <c r="D155">
        <v>57392372000</v>
      </c>
      <c r="E155">
        <v>80</v>
      </c>
      <c r="F155" t="str">
        <f>_xlfn.XLOOKUP(C155, '75'!$C$2:$C$1142, '75'!$F$2:$F$1142)</f>
        <v>no</v>
      </c>
    </row>
    <row r="156" spans="1:6" x14ac:dyDescent="0.45">
      <c r="A156" t="s">
        <v>298</v>
      </c>
      <c r="B156" t="s">
        <v>299</v>
      </c>
      <c r="C156">
        <v>6507645629</v>
      </c>
      <c r="D156">
        <v>58990528300</v>
      </c>
      <c r="E156">
        <v>91</v>
      </c>
      <c r="F156" t="str">
        <f>_xlfn.XLOOKUP(C156, '75'!$C$2:$C$1142, '75'!$F$2:$F$1142)</f>
        <v>ok</v>
      </c>
    </row>
    <row r="157" spans="1:6" x14ac:dyDescent="0.45">
      <c r="A157" t="s">
        <v>300</v>
      </c>
      <c r="B157" t="s">
        <v>301</v>
      </c>
      <c r="C157">
        <v>57205404647</v>
      </c>
      <c r="D157">
        <v>57214796746</v>
      </c>
      <c r="E157">
        <v>79</v>
      </c>
      <c r="F157" t="str">
        <f>_xlfn.XLOOKUP(C157, '75'!$C$2:$C$1142, '75'!$F$2:$F$1142)</f>
        <v>ok</v>
      </c>
    </row>
    <row r="158" spans="1:6" x14ac:dyDescent="0.45">
      <c r="A158" t="s">
        <v>302</v>
      </c>
      <c r="B158" t="s">
        <v>303</v>
      </c>
      <c r="C158">
        <v>26429468000</v>
      </c>
      <c r="D158">
        <v>56411977100</v>
      </c>
      <c r="E158">
        <v>82</v>
      </c>
      <c r="F158" t="str">
        <f>_xlfn.XLOOKUP(C158, '75'!$C$2:$C$1142, '75'!$F$2:$F$1142)</f>
        <v>no</v>
      </c>
    </row>
    <row r="159" spans="1:6" x14ac:dyDescent="0.45">
      <c r="A159" t="s">
        <v>302</v>
      </c>
      <c r="B159" t="s">
        <v>304</v>
      </c>
      <c r="C159">
        <v>26429468000</v>
      </c>
      <c r="D159">
        <v>55345450100</v>
      </c>
      <c r="E159">
        <v>81</v>
      </c>
      <c r="F159" t="str">
        <f>_xlfn.XLOOKUP(C159, '75'!$C$2:$C$1142, '75'!$F$2:$F$1142)</f>
        <v>no</v>
      </c>
    </row>
    <row r="160" spans="1:6" x14ac:dyDescent="0.45">
      <c r="A160" t="s">
        <v>307</v>
      </c>
      <c r="B160" t="s">
        <v>308</v>
      </c>
      <c r="C160">
        <v>57216797712</v>
      </c>
      <c r="D160">
        <v>10041709300</v>
      </c>
      <c r="E160">
        <v>80</v>
      </c>
      <c r="F160" t="str">
        <f>_xlfn.XLOOKUP(C160, '75'!$C$2:$C$1142, '75'!$F$2:$F$1142)</f>
        <v>no</v>
      </c>
    </row>
    <row r="161" spans="1:6" x14ac:dyDescent="0.45">
      <c r="A161" t="s">
        <v>309</v>
      </c>
      <c r="B161" t="s">
        <v>295</v>
      </c>
      <c r="C161">
        <v>57210636353</v>
      </c>
      <c r="D161">
        <v>57392372000</v>
      </c>
      <c r="E161">
        <v>86</v>
      </c>
      <c r="F161" t="str">
        <f>_xlfn.XLOOKUP(C161, '75'!$C$2:$C$1142, '75'!$F$2:$F$1142)</f>
        <v>no</v>
      </c>
    </row>
    <row r="162" spans="1:6" x14ac:dyDescent="0.45">
      <c r="A162" t="s">
        <v>310</v>
      </c>
      <c r="B162" t="s">
        <v>311</v>
      </c>
      <c r="C162">
        <v>57200762040</v>
      </c>
      <c r="D162">
        <v>58870402100</v>
      </c>
      <c r="E162">
        <v>79</v>
      </c>
      <c r="F162" t="str">
        <f>_xlfn.XLOOKUP(C162, '75'!$C$2:$C$1142, '75'!$F$2:$F$1142)</f>
        <v>no</v>
      </c>
    </row>
    <row r="163" spans="1:6" x14ac:dyDescent="0.45">
      <c r="A163" t="s">
        <v>314</v>
      </c>
      <c r="B163" t="s">
        <v>315</v>
      </c>
      <c r="C163">
        <v>57213334854</v>
      </c>
      <c r="D163">
        <v>58680264800</v>
      </c>
      <c r="E163">
        <v>82</v>
      </c>
      <c r="F163" t="str">
        <f>_xlfn.XLOOKUP(C163, '75'!$C$2:$C$1142, '75'!$F$2:$F$1142)</f>
        <v>ok</v>
      </c>
    </row>
    <row r="164" spans="1:6" x14ac:dyDescent="0.45">
      <c r="A164" t="s">
        <v>316</v>
      </c>
      <c r="B164" t="s">
        <v>317</v>
      </c>
      <c r="C164">
        <v>56582435700</v>
      </c>
      <c r="D164">
        <v>57948030800</v>
      </c>
      <c r="E164">
        <v>90</v>
      </c>
      <c r="F164" t="str">
        <f>_xlfn.XLOOKUP(C164, '75'!$C$2:$C$1142, '75'!$F$2:$F$1142)</f>
        <v>ok</v>
      </c>
    </row>
    <row r="165" spans="1:6" x14ac:dyDescent="0.45">
      <c r="A165" t="s">
        <v>318</v>
      </c>
      <c r="B165" t="s">
        <v>319</v>
      </c>
      <c r="C165">
        <v>58676962100</v>
      </c>
      <c r="D165">
        <v>57997869400</v>
      </c>
      <c r="E165">
        <v>97</v>
      </c>
      <c r="F165" t="str">
        <f>_xlfn.XLOOKUP(C165, '75'!$C$2:$C$1142, '75'!$F$2:$F$1142)</f>
        <v>ok</v>
      </c>
    </row>
    <row r="166" spans="1:6" x14ac:dyDescent="0.45">
      <c r="A166" t="s">
        <v>320</v>
      </c>
      <c r="B166" t="s">
        <v>321</v>
      </c>
      <c r="C166">
        <v>57192694715</v>
      </c>
      <c r="D166">
        <v>57216374639</v>
      </c>
      <c r="E166">
        <v>80</v>
      </c>
      <c r="F166" t="str">
        <f>_xlfn.XLOOKUP(C166, '75'!$C$2:$C$1142, '75'!$F$2:$F$1142)</f>
        <v>no</v>
      </c>
    </row>
    <row r="167" spans="1:6" x14ac:dyDescent="0.45">
      <c r="A167" t="s">
        <v>324</v>
      </c>
      <c r="B167" t="s">
        <v>325</v>
      </c>
      <c r="C167">
        <v>57224194040</v>
      </c>
      <c r="D167">
        <v>57470611400</v>
      </c>
      <c r="E167">
        <v>80</v>
      </c>
      <c r="F167" t="str">
        <f>_xlfn.XLOOKUP(C167, '75'!$C$2:$C$1142, '75'!$F$2:$F$1142)</f>
        <v>no</v>
      </c>
    </row>
    <row r="168" spans="1:6" x14ac:dyDescent="0.45">
      <c r="A168" t="s">
        <v>326</v>
      </c>
      <c r="B168" t="s">
        <v>327</v>
      </c>
      <c r="C168">
        <v>57219839063</v>
      </c>
      <c r="D168">
        <v>57221636348</v>
      </c>
      <c r="E168">
        <v>80</v>
      </c>
      <c r="F168" t="str">
        <f>_xlfn.XLOOKUP(C168, '75'!$C$2:$C$1142, '75'!$F$2:$F$1142)</f>
        <v>no</v>
      </c>
    </row>
    <row r="169" spans="1:6" x14ac:dyDescent="0.45">
      <c r="A169" t="s">
        <v>328</v>
      </c>
      <c r="B169" t="s">
        <v>329</v>
      </c>
      <c r="C169">
        <v>55360826200</v>
      </c>
      <c r="D169">
        <v>58763648600</v>
      </c>
      <c r="E169">
        <v>80</v>
      </c>
      <c r="F169" t="str">
        <f>_xlfn.XLOOKUP(C169, '75'!$C$2:$C$1142, '75'!$F$2:$F$1142)</f>
        <v>no</v>
      </c>
    </row>
    <row r="170" spans="1:6" x14ac:dyDescent="0.45">
      <c r="A170" t="s">
        <v>334</v>
      </c>
      <c r="B170" t="s">
        <v>335</v>
      </c>
      <c r="C170">
        <v>57220890035</v>
      </c>
      <c r="D170">
        <v>59029455600</v>
      </c>
      <c r="E170">
        <v>92</v>
      </c>
      <c r="F170" t="str">
        <f>_xlfn.XLOOKUP(C170, '75'!$C$2:$C$1142, '75'!$F$2:$F$1142)</f>
        <v>ok</v>
      </c>
    </row>
    <row r="171" spans="1:6" x14ac:dyDescent="0.45">
      <c r="A171" t="s">
        <v>343</v>
      </c>
      <c r="B171" t="s">
        <v>344</v>
      </c>
      <c r="C171">
        <v>57201225750</v>
      </c>
      <c r="D171">
        <v>55332947200</v>
      </c>
      <c r="E171">
        <v>92</v>
      </c>
      <c r="F171" t="str">
        <f>_xlfn.XLOOKUP(C171, '75'!$C$2:$C$1142, '75'!$F$2:$F$1142)</f>
        <v>ok</v>
      </c>
    </row>
    <row r="172" spans="1:6" x14ac:dyDescent="0.45">
      <c r="A172" t="s">
        <v>345</v>
      </c>
      <c r="B172" t="s">
        <v>346</v>
      </c>
      <c r="C172">
        <v>20433459500</v>
      </c>
      <c r="D172">
        <v>57204281290</v>
      </c>
      <c r="E172">
        <v>94</v>
      </c>
      <c r="F172" t="str">
        <f>_xlfn.XLOOKUP(C172, '75'!$C$2:$C$1142, '75'!$F$2:$F$1142)</f>
        <v>ok</v>
      </c>
    </row>
    <row r="173" spans="1:6" x14ac:dyDescent="0.45">
      <c r="A173" t="s">
        <v>347</v>
      </c>
      <c r="B173" t="s">
        <v>348</v>
      </c>
      <c r="C173">
        <v>35501028000</v>
      </c>
      <c r="D173">
        <v>59837956400</v>
      </c>
      <c r="E173">
        <v>81</v>
      </c>
      <c r="F173" t="str">
        <f>_xlfn.XLOOKUP(C173, '75'!$C$2:$C$1142, '75'!$F$2:$F$1142)</f>
        <v>ok</v>
      </c>
    </row>
    <row r="174" spans="1:6" x14ac:dyDescent="0.45">
      <c r="A174" t="s">
        <v>349</v>
      </c>
      <c r="B174" t="s">
        <v>351</v>
      </c>
      <c r="C174">
        <v>55684330400</v>
      </c>
      <c r="D174">
        <v>57217859478</v>
      </c>
      <c r="E174">
        <v>79</v>
      </c>
      <c r="F174" t="str">
        <f>_xlfn.XLOOKUP(C174, '75'!$C$2:$C$1142, '75'!$F$2:$F$1142)</f>
        <v>no</v>
      </c>
    </row>
    <row r="175" spans="1:6" x14ac:dyDescent="0.45">
      <c r="A175" t="s">
        <v>352</v>
      </c>
      <c r="B175" t="s">
        <v>353</v>
      </c>
      <c r="C175">
        <v>57233901800</v>
      </c>
      <c r="D175">
        <v>57219619193</v>
      </c>
      <c r="E175">
        <v>80</v>
      </c>
      <c r="F175" t="str">
        <f>_xlfn.XLOOKUP(C175, '75'!$C$2:$C$1142, '75'!$F$2:$F$1142)</f>
        <v>no</v>
      </c>
    </row>
    <row r="176" spans="1:6" x14ac:dyDescent="0.45">
      <c r="A176" t="s">
        <v>352</v>
      </c>
      <c r="B176" t="s">
        <v>354</v>
      </c>
      <c r="C176">
        <v>57233901800</v>
      </c>
      <c r="D176">
        <v>57192586510</v>
      </c>
      <c r="E176">
        <v>85</v>
      </c>
      <c r="F176" t="str">
        <f>_xlfn.XLOOKUP(C176, '75'!$C$2:$C$1142, '75'!$F$2:$F$1142)</f>
        <v>no</v>
      </c>
    </row>
    <row r="177" spans="1:6" x14ac:dyDescent="0.45">
      <c r="A177" t="s">
        <v>356</v>
      </c>
      <c r="B177" t="s">
        <v>357</v>
      </c>
      <c r="C177">
        <v>6701635677</v>
      </c>
      <c r="D177">
        <v>55600040700</v>
      </c>
      <c r="E177">
        <v>80</v>
      </c>
      <c r="F177" t="str">
        <f>_xlfn.XLOOKUP(C177, '75'!$C$2:$C$1142, '75'!$F$2:$F$1142)</f>
        <v>no</v>
      </c>
    </row>
    <row r="178" spans="1:6" x14ac:dyDescent="0.45">
      <c r="A178" t="s">
        <v>362</v>
      </c>
      <c r="B178" t="s">
        <v>363</v>
      </c>
      <c r="C178">
        <v>57159375700</v>
      </c>
      <c r="D178">
        <v>57221477230</v>
      </c>
      <c r="E178">
        <v>79</v>
      </c>
      <c r="F178" t="str">
        <f>_xlfn.XLOOKUP(C178, '75'!$C$2:$C$1142, '75'!$F$2:$F$1142)</f>
        <v>no</v>
      </c>
    </row>
    <row r="179" spans="1:6" x14ac:dyDescent="0.45">
      <c r="A179" t="s">
        <v>367</v>
      </c>
      <c r="B179" t="s">
        <v>368</v>
      </c>
      <c r="C179">
        <v>57200498135</v>
      </c>
      <c r="D179">
        <v>55536530700</v>
      </c>
      <c r="E179">
        <v>78</v>
      </c>
      <c r="F179" t="str">
        <f>_xlfn.XLOOKUP(C179, '75'!$C$2:$C$1142, '75'!$F$2:$F$1142)</f>
        <v>no</v>
      </c>
    </row>
    <row r="180" spans="1:6" x14ac:dyDescent="0.45">
      <c r="A180" t="s">
        <v>369</v>
      </c>
      <c r="B180" t="s">
        <v>370</v>
      </c>
      <c r="C180">
        <v>30467616500</v>
      </c>
      <c r="D180">
        <v>58100944300</v>
      </c>
      <c r="E180">
        <v>80</v>
      </c>
      <c r="F180" t="str">
        <f>_xlfn.XLOOKUP(C180, '75'!$C$2:$C$1142, '75'!$F$2:$F$1142)</f>
        <v>no</v>
      </c>
    </row>
    <row r="181" spans="1:6" x14ac:dyDescent="0.45">
      <c r="A181" t="s">
        <v>373</v>
      </c>
      <c r="B181" t="s">
        <v>374</v>
      </c>
      <c r="C181">
        <v>55647123900</v>
      </c>
      <c r="D181">
        <v>56593910600</v>
      </c>
      <c r="E181">
        <v>78</v>
      </c>
      <c r="F181" t="str">
        <f>_xlfn.XLOOKUP(C181, '75'!$C$2:$C$1142, '75'!$F$2:$F$1142)</f>
        <v>no</v>
      </c>
    </row>
    <row r="182" spans="1:6" x14ac:dyDescent="0.45">
      <c r="A182" t="s">
        <v>375</v>
      </c>
      <c r="B182" t="s">
        <v>376</v>
      </c>
      <c r="C182">
        <v>57217693682</v>
      </c>
      <c r="D182">
        <v>57217055832</v>
      </c>
      <c r="E182">
        <v>92</v>
      </c>
      <c r="F182" t="str">
        <f>_xlfn.XLOOKUP(C182, '75'!$C$2:$C$1142, '75'!$F$2:$F$1142)</f>
        <v>ok</v>
      </c>
    </row>
    <row r="183" spans="1:6" x14ac:dyDescent="0.45">
      <c r="A183" t="s">
        <v>377</v>
      </c>
      <c r="B183" t="s">
        <v>378</v>
      </c>
      <c r="C183">
        <v>57216633401</v>
      </c>
      <c r="D183">
        <v>57203973831</v>
      </c>
      <c r="E183">
        <v>79</v>
      </c>
      <c r="F183" t="str">
        <f>_xlfn.XLOOKUP(C183, '75'!$C$2:$C$1142, '75'!$F$2:$F$1142)</f>
        <v>no</v>
      </c>
    </row>
    <row r="184" spans="1:6" x14ac:dyDescent="0.45">
      <c r="A184" t="s">
        <v>381</v>
      </c>
      <c r="B184" t="s">
        <v>382</v>
      </c>
      <c r="C184">
        <v>57209772964</v>
      </c>
      <c r="D184">
        <v>57205374299</v>
      </c>
      <c r="E184">
        <v>80</v>
      </c>
      <c r="F184" t="str">
        <f>_xlfn.XLOOKUP(C184, '75'!$C$2:$C$1142, '75'!$F$2:$F$1142)</f>
        <v>no</v>
      </c>
    </row>
    <row r="185" spans="1:6" x14ac:dyDescent="0.45">
      <c r="A185" t="s">
        <v>383</v>
      </c>
      <c r="B185" t="s">
        <v>384</v>
      </c>
      <c r="C185">
        <v>57219241387</v>
      </c>
      <c r="D185">
        <v>57453661700</v>
      </c>
      <c r="E185">
        <v>82</v>
      </c>
      <c r="F185" t="str">
        <f>_xlfn.XLOOKUP(C185, '75'!$C$2:$C$1142, '75'!$F$2:$F$1142)</f>
        <v>no</v>
      </c>
    </row>
    <row r="186" spans="1:6" x14ac:dyDescent="0.45">
      <c r="A186" t="s">
        <v>385</v>
      </c>
      <c r="B186" t="s">
        <v>386</v>
      </c>
      <c r="C186">
        <v>57206426930</v>
      </c>
      <c r="D186">
        <v>57212408054</v>
      </c>
      <c r="E186">
        <v>86</v>
      </c>
      <c r="F186" t="str">
        <f>_xlfn.XLOOKUP(C186, '75'!$C$2:$C$1142, '75'!$F$2:$F$1142)</f>
        <v>no</v>
      </c>
    </row>
    <row r="187" spans="1:6" x14ac:dyDescent="0.45">
      <c r="A187" t="s">
        <v>385</v>
      </c>
      <c r="B187" t="s">
        <v>387</v>
      </c>
      <c r="C187">
        <v>57206426930</v>
      </c>
      <c r="D187">
        <v>57218667819</v>
      </c>
      <c r="E187">
        <v>85</v>
      </c>
      <c r="F187" t="str">
        <f>_xlfn.XLOOKUP(C187, '75'!$C$2:$C$1142, '75'!$F$2:$F$1142)</f>
        <v>no</v>
      </c>
    </row>
    <row r="188" spans="1:6" x14ac:dyDescent="0.45">
      <c r="A188" t="s">
        <v>389</v>
      </c>
      <c r="B188" t="s">
        <v>391</v>
      </c>
      <c r="C188">
        <v>59161285900</v>
      </c>
      <c r="D188">
        <v>34979903200</v>
      </c>
      <c r="E188">
        <v>90</v>
      </c>
      <c r="F188" t="str">
        <f>_xlfn.XLOOKUP(C188, '75'!$C$2:$C$1142, '75'!$F$2:$F$1142)</f>
        <v>no</v>
      </c>
    </row>
    <row r="189" spans="1:6" x14ac:dyDescent="0.45">
      <c r="A189" t="s">
        <v>396</v>
      </c>
      <c r="B189" t="s">
        <v>397</v>
      </c>
      <c r="C189">
        <v>57204668288</v>
      </c>
      <c r="D189">
        <v>58983074700</v>
      </c>
      <c r="E189">
        <v>78</v>
      </c>
      <c r="F189" t="str">
        <f>_xlfn.XLOOKUP(C189, '75'!$C$2:$C$1142, '75'!$F$2:$F$1142)</f>
        <v>no</v>
      </c>
    </row>
    <row r="190" spans="1:6" x14ac:dyDescent="0.45">
      <c r="A190" t="s">
        <v>398</v>
      </c>
      <c r="B190" t="s">
        <v>390</v>
      </c>
      <c r="C190">
        <v>57213789275</v>
      </c>
      <c r="D190">
        <v>59207795900</v>
      </c>
      <c r="E190">
        <v>79</v>
      </c>
      <c r="F190" t="str">
        <f>_xlfn.XLOOKUP(C190, '75'!$C$2:$C$1142, '75'!$F$2:$F$1142)</f>
        <v>no</v>
      </c>
    </row>
    <row r="191" spans="1:6" x14ac:dyDescent="0.45">
      <c r="A191" t="s">
        <v>390</v>
      </c>
      <c r="B191" t="s">
        <v>391</v>
      </c>
      <c r="C191">
        <v>59207795900</v>
      </c>
      <c r="D191">
        <v>34979903200</v>
      </c>
      <c r="E191">
        <v>90</v>
      </c>
      <c r="F191" t="str">
        <f>_xlfn.XLOOKUP(C191, '75'!$C$2:$C$1142, '75'!$F$2:$F$1142)</f>
        <v>ok</v>
      </c>
    </row>
    <row r="192" spans="1:6" x14ac:dyDescent="0.45">
      <c r="A192" t="s">
        <v>399</v>
      </c>
      <c r="B192" t="s">
        <v>400</v>
      </c>
      <c r="C192">
        <v>57208184515</v>
      </c>
      <c r="D192">
        <v>59803235800</v>
      </c>
      <c r="E192">
        <v>90</v>
      </c>
      <c r="F192" t="str">
        <f>_xlfn.XLOOKUP(C192, '75'!$C$2:$C$1142, '75'!$F$2:$F$1142)</f>
        <v>no</v>
      </c>
    </row>
    <row r="193" spans="1:6" x14ac:dyDescent="0.45">
      <c r="A193" t="s">
        <v>401</v>
      </c>
      <c r="B193" t="s">
        <v>402</v>
      </c>
      <c r="C193">
        <v>7201973561</v>
      </c>
      <c r="D193">
        <v>59794341400</v>
      </c>
      <c r="E193">
        <v>96</v>
      </c>
      <c r="F193" t="str">
        <f>_xlfn.XLOOKUP(C193, '75'!$C$2:$C$1142, '75'!$F$2:$F$1142)</f>
        <v>ok</v>
      </c>
    </row>
    <row r="194" spans="1:6" x14ac:dyDescent="0.45">
      <c r="A194" t="s">
        <v>403</v>
      </c>
      <c r="B194" t="s">
        <v>404</v>
      </c>
      <c r="C194">
        <v>16233683000</v>
      </c>
      <c r="D194">
        <v>15019507800</v>
      </c>
      <c r="E194">
        <v>80</v>
      </c>
      <c r="F194" t="str">
        <f>_xlfn.XLOOKUP(C194, '75'!$C$2:$C$1142, '75'!$F$2:$F$1142)</f>
        <v>no</v>
      </c>
    </row>
    <row r="195" spans="1:6" x14ac:dyDescent="0.45">
      <c r="A195" t="s">
        <v>410</v>
      </c>
      <c r="B195" t="s">
        <v>411</v>
      </c>
      <c r="C195">
        <v>57211405320</v>
      </c>
      <c r="D195">
        <v>57220933225</v>
      </c>
      <c r="E195">
        <v>94</v>
      </c>
      <c r="F195" t="str">
        <f>_xlfn.XLOOKUP(C195, '75'!$C$2:$C$1142, '75'!$F$2:$F$1142)</f>
        <v>ok</v>
      </c>
    </row>
    <row r="196" spans="1:6" x14ac:dyDescent="0.45">
      <c r="A196" t="s">
        <v>412</v>
      </c>
      <c r="B196" t="s">
        <v>413</v>
      </c>
      <c r="C196">
        <v>57204726143</v>
      </c>
      <c r="D196">
        <v>57222014423</v>
      </c>
      <c r="E196">
        <v>80</v>
      </c>
      <c r="F196" t="str">
        <f>_xlfn.XLOOKUP(C196, '75'!$C$2:$C$1142, '75'!$F$2:$F$1142)</f>
        <v>no</v>
      </c>
    </row>
    <row r="197" spans="1:6" x14ac:dyDescent="0.45">
      <c r="A197" t="s">
        <v>414</v>
      </c>
      <c r="B197" t="s">
        <v>415</v>
      </c>
      <c r="C197">
        <v>57211955754</v>
      </c>
      <c r="D197">
        <v>57224160661</v>
      </c>
      <c r="E197">
        <v>82</v>
      </c>
      <c r="F197" t="str">
        <f>_xlfn.XLOOKUP(C197, '75'!$C$2:$C$1142, '75'!$F$2:$F$1142)</f>
        <v>no</v>
      </c>
    </row>
    <row r="198" spans="1:6" x14ac:dyDescent="0.45">
      <c r="A198" t="s">
        <v>416</v>
      </c>
      <c r="B198" t="s">
        <v>413</v>
      </c>
      <c r="C198">
        <v>58564688700</v>
      </c>
      <c r="D198">
        <v>57222014423</v>
      </c>
      <c r="E198">
        <v>78</v>
      </c>
      <c r="F198" t="str">
        <f>_xlfn.XLOOKUP(C198, '75'!$C$2:$C$1142, '75'!$F$2:$F$1142)</f>
        <v>no</v>
      </c>
    </row>
    <row r="199" spans="1:6" x14ac:dyDescent="0.45">
      <c r="A199" t="s">
        <v>417</v>
      </c>
      <c r="B199" t="s">
        <v>418</v>
      </c>
      <c r="C199">
        <v>56319280200</v>
      </c>
      <c r="D199">
        <v>56587645600</v>
      </c>
      <c r="E199">
        <v>78</v>
      </c>
      <c r="F199" t="str">
        <f>_xlfn.XLOOKUP(C199, '75'!$C$2:$C$1142, '75'!$F$2:$F$1142)</f>
        <v>no</v>
      </c>
    </row>
    <row r="200" spans="1:6" x14ac:dyDescent="0.45">
      <c r="A200" t="s">
        <v>419</v>
      </c>
      <c r="B200" t="s">
        <v>420</v>
      </c>
      <c r="C200">
        <v>6701569164</v>
      </c>
      <c r="D200">
        <v>59475179000</v>
      </c>
      <c r="E200">
        <v>94</v>
      </c>
      <c r="F200" t="str">
        <f>_xlfn.XLOOKUP(C200, '75'!$C$2:$C$1142, '75'!$F$2:$F$1142)</f>
        <v>ok</v>
      </c>
    </row>
    <row r="201" spans="1:6" x14ac:dyDescent="0.45">
      <c r="A201" t="s">
        <v>421</v>
      </c>
      <c r="B201" t="s">
        <v>422</v>
      </c>
      <c r="C201">
        <v>57203870786</v>
      </c>
      <c r="D201">
        <v>58078867300</v>
      </c>
      <c r="E201">
        <v>86</v>
      </c>
      <c r="F201" t="str">
        <f>_xlfn.XLOOKUP(C201, '75'!$C$2:$C$1142, '75'!$F$2:$F$1142)</f>
        <v>no</v>
      </c>
    </row>
    <row r="202" spans="1:6" x14ac:dyDescent="0.45">
      <c r="A202" t="s">
        <v>423</v>
      </c>
      <c r="B202" t="s">
        <v>424</v>
      </c>
      <c r="C202">
        <v>57204906651</v>
      </c>
      <c r="D202">
        <v>59345453700</v>
      </c>
      <c r="E202">
        <v>82</v>
      </c>
      <c r="F202" t="str">
        <f>_xlfn.XLOOKUP(C202, '75'!$C$2:$C$1142, '75'!$F$2:$F$1142)</f>
        <v>no</v>
      </c>
    </row>
    <row r="203" spans="1:6" x14ac:dyDescent="0.45">
      <c r="A203" t="s">
        <v>427</v>
      </c>
      <c r="B203" t="s">
        <v>428</v>
      </c>
      <c r="C203">
        <v>12752290400</v>
      </c>
      <c r="D203">
        <v>57203221971</v>
      </c>
      <c r="E203">
        <v>79</v>
      </c>
      <c r="F203" t="str">
        <f>_xlfn.XLOOKUP(C203, '75'!$C$2:$C$1142, '75'!$F$2:$F$1142)</f>
        <v>no</v>
      </c>
    </row>
    <row r="204" spans="1:6" x14ac:dyDescent="0.45">
      <c r="A204" t="s">
        <v>431</v>
      </c>
      <c r="B204" t="s">
        <v>432</v>
      </c>
      <c r="C204">
        <v>55202285800</v>
      </c>
      <c r="D204">
        <v>55603882200</v>
      </c>
      <c r="E204">
        <v>85</v>
      </c>
      <c r="F204" t="str">
        <f>_xlfn.XLOOKUP(C204, '75'!$C$2:$C$1142, '75'!$F$2:$F$1142)</f>
        <v>no</v>
      </c>
    </row>
    <row r="205" spans="1:6" x14ac:dyDescent="0.45">
      <c r="A205" t="s">
        <v>435</v>
      </c>
      <c r="B205" t="s">
        <v>436</v>
      </c>
      <c r="C205">
        <v>58589358400</v>
      </c>
      <c r="D205">
        <v>57195586827</v>
      </c>
      <c r="E205">
        <v>79</v>
      </c>
      <c r="F205" t="str">
        <f>_xlfn.XLOOKUP(C205, '75'!$C$2:$C$1142, '75'!$F$2:$F$1142)</f>
        <v>no</v>
      </c>
    </row>
    <row r="206" spans="1:6" x14ac:dyDescent="0.45">
      <c r="A206" t="s">
        <v>437</v>
      </c>
      <c r="B206" t="s">
        <v>438</v>
      </c>
      <c r="C206">
        <v>57207876087</v>
      </c>
      <c r="D206">
        <v>58588589500</v>
      </c>
      <c r="E206">
        <v>80</v>
      </c>
      <c r="F206" t="str">
        <f>_xlfn.XLOOKUP(C206, '75'!$C$2:$C$1142, '75'!$F$2:$F$1142)</f>
        <v>no</v>
      </c>
    </row>
    <row r="207" spans="1:6" x14ac:dyDescent="0.45">
      <c r="A207" t="s">
        <v>437</v>
      </c>
      <c r="B207" t="s">
        <v>439</v>
      </c>
      <c r="C207">
        <v>57207876087</v>
      </c>
      <c r="D207">
        <v>58602148800</v>
      </c>
      <c r="E207">
        <v>78</v>
      </c>
      <c r="F207" t="str">
        <f>_xlfn.XLOOKUP(C207, '75'!$C$2:$C$1142, '75'!$F$2:$F$1142)</f>
        <v>no</v>
      </c>
    </row>
    <row r="208" spans="1:6" x14ac:dyDescent="0.45">
      <c r="A208" t="s">
        <v>440</v>
      </c>
      <c r="B208" t="s">
        <v>441</v>
      </c>
      <c r="C208">
        <v>57198491843</v>
      </c>
      <c r="D208">
        <v>57211871654</v>
      </c>
      <c r="E208">
        <v>78</v>
      </c>
      <c r="F208" t="str">
        <f>_xlfn.XLOOKUP(C208, '75'!$C$2:$C$1142, '75'!$F$2:$F$1142)</f>
        <v>no</v>
      </c>
    </row>
    <row r="209" spans="1:6" x14ac:dyDescent="0.45">
      <c r="A209" t="s">
        <v>440</v>
      </c>
      <c r="B209" t="s">
        <v>443</v>
      </c>
      <c r="C209">
        <v>57198491843</v>
      </c>
      <c r="D209">
        <v>58860015500</v>
      </c>
      <c r="E209">
        <v>78</v>
      </c>
      <c r="F209" t="str">
        <f>_xlfn.XLOOKUP(C209, '75'!$C$2:$C$1142, '75'!$F$2:$F$1142)</f>
        <v>no</v>
      </c>
    </row>
    <row r="210" spans="1:6" x14ac:dyDescent="0.45">
      <c r="A210" t="s">
        <v>444</v>
      </c>
      <c r="B210" t="s">
        <v>445</v>
      </c>
      <c r="C210">
        <v>25960969700</v>
      </c>
      <c r="D210">
        <v>57209465439</v>
      </c>
      <c r="E210">
        <v>81</v>
      </c>
      <c r="F210" t="str">
        <f>_xlfn.XLOOKUP(C210, '75'!$C$2:$C$1142, '75'!$F$2:$F$1142)</f>
        <v>ok</v>
      </c>
    </row>
    <row r="211" spans="1:6" x14ac:dyDescent="0.45">
      <c r="A211" t="s">
        <v>446</v>
      </c>
      <c r="B211" t="s">
        <v>447</v>
      </c>
      <c r="C211">
        <v>57205207510</v>
      </c>
      <c r="D211">
        <v>57214770459</v>
      </c>
      <c r="E211">
        <v>86</v>
      </c>
      <c r="F211" t="str">
        <f>_xlfn.XLOOKUP(C211, '75'!$C$2:$C$1142, '75'!$F$2:$F$1142)</f>
        <v>no</v>
      </c>
    </row>
    <row r="212" spans="1:6" x14ac:dyDescent="0.45">
      <c r="A212" t="s">
        <v>438</v>
      </c>
      <c r="B212" t="s">
        <v>448</v>
      </c>
      <c r="C212">
        <v>58588589500</v>
      </c>
      <c r="D212">
        <v>56448087600</v>
      </c>
      <c r="E212">
        <v>85</v>
      </c>
      <c r="F212" t="str">
        <f>_xlfn.XLOOKUP(C212, '75'!$C$2:$C$1142, '75'!$F$2:$F$1142)</f>
        <v>no</v>
      </c>
    </row>
    <row r="213" spans="1:6" x14ac:dyDescent="0.45">
      <c r="A213" t="s">
        <v>438</v>
      </c>
      <c r="B213" t="s">
        <v>449</v>
      </c>
      <c r="C213">
        <v>58588589500</v>
      </c>
      <c r="D213">
        <v>59232268700</v>
      </c>
      <c r="E213">
        <v>79</v>
      </c>
      <c r="F213" t="str">
        <f>_xlfn.XLOOKUP(C213, '75'!$C$2:$C$1142, '75'!$F$2:$F$1142)</f>
        <v>no</v>
      </c>
    </row>
    <row r="214" spans="1:6" x14ac:dyDescent="0.45">
      <c r="A214" t="s">
        <v>438</v>
      </c>
      <c r="B214" t="s">
        <v>439</v>
      </c>
      <c r="C214">
        <v>58588589500</v>
      </c>
      <c r="D214">
        <v>58602148800</v>
      </c>
      <c r="E214">
        <v>83</v>
      </c>
      <c r="F214" t="str">
        <f>_xlfn.XLOOKUP(C214, '75'!$C$2:$C$1142, '75'!$F$2:$F$1142)</f>
        <v>no</v>
      </c>
    </row>
    <row r="215" spans="1:6" x14ac:dyDescent="0.45">
      <c r="A215" t="s">
        <v>450</v>
      </c>
      <c r="B215" t="s">
        <v>451</v>
      </c>
      <c r="C215">
        <v>55241221300</v>
      </c>
      <c r="D215">
        <v>59305897300</v>
      </c>
      <c r="E215">
        <v>81</v>
      </c>
      <c r="F215" t="str">
        <f>_xlfn.XLOOKUP(C215, '75'!$C$2:$C$1142, '75'!$F$2:$F$1142)</f>
        <v>no</v>
      </c>
    </row>
    <row r="216" spans="1:6" x14ac:dyDescent="0.45">
      <c r="A216" t="s">
        <v>441</v>
      </c>
      <c r="B216" t="s">
        <v>443</v>
      </c>
      <c r="C216">
        <v>57211871654</v>
      </c>
      <c r="D216">
        <v>58860015500</v>
      </c>
      <c r="E216">
        <v>82</v>
      </c>
      <c r="F216" t="str">
        <f>_xlfn.XLOOKUP(C216, '75'!$C$2:$C$1142, '75'!$F$2:$F$1142)</f>
        <v>no</v>
      </c>
    </row>
    <row r="217" spans="1:6" x14ac:dyDescent="0.45">
      <c r="A217" t="s">
        <v>441</v>
      </c>
      <c r="B217" t="s">
        <v>452</v>
      </c>
      <c r="C217">
        <v>57211871654</v>
      </c>
      <c r="D217">
        <v>57221141737</v>
      </c>
      <c r="E217">
        <v>86</v>
      </c>
      <c r="F217" t="str">
        <f>_xlfn.XLOOKUP(C217, '75'!$C$2:$C$1142, '75'!$F$2:$F$1142)</f>
        <v>no</v>
      </c>
    </row>
    <row r="218" spans="1:6" x14ac:dyDescent="0.45">
      <c r="A218" t="s">
        <v>457</v>
      </c>
      <c r="B218" t="s">
        <v>458</v>
      </c>
      <c r="C218">
        <v>7202842613</v>
      </c>
      <c r="D218">
        <v>59673935300</v>
      </c>
      <c r="E218">
        <v>78</v>
      </c>
      <c r="F218" t="str">
        <f>_xlfn.XLOOKUP(C218, '75'!$C$2:$C$1142, '75'!$F$2:$F$1142)</f>
        <v>no</v>
      </c>
    </row>
    <row r="219" spans="1:6" x14ac:dyDescent="0.45">
      <c r="A219" t="s">
        <v>459</v>
      </c>
      <c r="B219" t="s">
        <v>460</v>
      </c>
      <c r="C219">
        <v>8596306300</v>
      </c>
      <c r="D219">
        <v>57200560173</v>
      </c>
      <c r="E219">
        <v>83</v>
      </c>
      <c r="F219" t="str">
        <f>_xlfn.XLOOKUP(C219, '75'!$C$2:$C$1142, '75'!$F$2:$F$1142)</f>
        <v>no</v>
      </c>
    </row>
    <row r="220" spans="1:6" x14ac:dyDescent="0.45">
      <c r="A220" t="s">
        <v>447</v>
      </c>
      <c r="B220" t="s">
        <v>461</v>
      </c>
      <c r="C220">
        <v>57214770459</v>
      </c>
      <c r="D220">
        <v>58727504600</v>
      </c>
      <c r="E220">
        <v>78</v>
      </c>
      <c r="F220" t="str">
        <f>_xlfn.XLOOKUP(C220, '75'!$C$2:$C$1142, '75'!$F$2:$F$1142)</f>
        <v>no</v>
      </c>
    </row>
    <row r="221" spans="1:6" x14ac:dyDescent="0.45">
      <c r="A221" t="s">
        <v>462</v>
      </c>
      <c r="B221" t="s">
        <v>463</v>
      </c>
      <c r="C221">
        <v>57437134400</v>
      </c>
      <c r="D221">
        <v>57205515460</v>
      </c>
      <c r="E221">
        <v>78</v>
      </c>
      <c r="F221" t="str">
        <f>_xlfn.XLOOKUP(C221, '75'!$C$2:$C$1142, '75'!$F$2:$F$1142)</f>
        <v>no</v>
      </c>
    </row>
    <row r="222" spans="1:6" x14ac:dyDescent="0.45">
      <c r="A222" t="s">
        <v>464</v>
      </c>
      <c r="B222" t="s">
        <v>465</v>
      </c>
      <c r="C222">
        <v>56102570600</v>
      </c>
      <c r="D222">
        <v>57224748486</v>
      </c>
      <c r="E222">
        <v>83</v>
      </c>
      <c r="F222" t="str">
        <f>_xlfn.XLOOKUP(C222, '75'!$C$2:$C$1142, '75'!$F$2:$F$1142)</f>
        <v>ok</v>
      </c>
    </row>
    <row r="223" spans="1:6" x14ac:dyDescent="0.45">
      <c r="A223" t="s">
        <v>466</v>
      </c>
      <c r="B223" t="s">
        <v>430</v>
      </c>
      <c r="C223">
        <v>57202588460</v>
      </c>
      <c r="D223">
        <v>57210460028</v>
      </c>
      <c r="E223">
        <v>78</v>
      </c>
      <c r="F223" t="str">
        <f>_xlfn.XLOOKUP(C223, '75'!$C$2:$C$1142, '75'!$F$2:$F$1142)</f>
        <v>no</v>
      </c>
    </row>
    <row r="224" spans="1:6" x14ac:dyDescent="0.45">
      <c r="A224" t="s">
        <v>466</v>
      </c>
      <c r="B224" t="s">
        <v>467</v>
      </c>
      <c r="C224">
        <v>57202588460</v>
      </c>
      <c r="D224">
        <v>59315845200</v>
      </c>
      <c r="E224">
        <v>92</v>
      </c>
      <c r="F224" t="str">
        <f>_xlfn.XLOOKUP(C224, '75'!$C$2:$C$1142, '75'!$F$2:$F$1142)</f>
        <v>no</v>
      </c>
    </row>
    <row r="225" spans="1:6" x14ac:dyDescent="0.45">
      <c r="A225" t="s">
        <v>468</v>
      </c>
      <c r="B225" t="s">
        <v>469</v>
      </c>
      <c r="C225">
        <v>58274752000</v>
      </c>
      <c r="D225">
        <v>58161314200</v>
      </c>
      <c r="E225">
        <v>83</v>
      </c>
      <c r="F225" t="str">
        <f>_xlfn.XLOOKUP(C225, '75'!$C$2:$C$1142, '75'!$F$2:$F$1142)</f>
        <v>no</v>
      </c>
    </row>
    <row r="226" spans="1:6" x14ac:dyDescent="0.45">
      <c r="A226" t="s">
        <v>471</v>
      </c>
      <c r="B226" t="s">
        <v>458</v>
      </c>
      <c r="C226">
        <v>57192095652</v>
      </c>
      <c r="D226">
        <v>59673935300</v>
      </c>
      <c r="E226">
        <v>80</v>
      </c>
      <c r="F226" t="str">
        <f>_xlfn.XLOOKUP(C226, '75'!$C$2:$C$1142, '75'!$F$2:$F$1142)</f>
        <v>no</v>
      </c>
    </row>
    <row r="227" spans="1:6" x14ac:dyDescent="0.45">
      <c r="A227" t="s">
        <v>469</v>
      </c>
      <c r="B227" t="s">
        <v>472</v>
      </c>
      <c r="C227">
        <v>58161314200</v>
      </c>
      <c r="D227">
        <v>58854567800</v>
      </c>
      <c r="E227">
        <v>83</v>
      </c>
      <c r="F227" t="str">
        <f>_xlfn.XLOOKUP(C227, '75'!$C$2:$C$1142, '75'!$F$2:$F$1142)</f>
        <v>no</v>
      </c>
    </row>
    <row r="228" spans="1:6" x14ac:dyDescent="0.45">
      <c r="A228" t="s">
        <v>473</v>
      </c>
      <c r="B228" t="s">
        <v>474</v>
      </c>
      <c r="C228">
        <v>57212571216</v>
      </c>
      <c r="D228">
        <v>57197841951</v>
      </c>
      <c r="E228">
        <v>95</v>
      </c>
      <c r="F228" t="str">
        <f>_xlfn.XLOOKUP(C228, '75'!$C$2:$C$1142, '75'!$F$2:$F$1142)</f>
        <v>ok</v>
      </c>
    </row>
    <row r="229" spans="1:6" x14ac:dyDescent="0.45">
      <c r="A229" t="s">
        <v>475</v>
      </c>
      <c r="B229" t="s">
        <v>476</v>
      </c>
      <c r="C229">
        <v>59185018600</v>
      </c>
      <c r="D229">
        <v>57352587200</v>
      </c>
      <c r="E229">
        <v>85</v>
      </c>
      <c r="F229" t="str">
        <f>_xlfn.XLOOKUP(C229, '75'!$C$2:$C$1142, '75'!$F$2:$F$1142)</f>
        <v>no</v>
      </c>
    </row>
    <row r="230" spans="1:6" x14ac:dyDescent="0.45">
      <c r="A230" t="s">
        <v>477</v>
      </c>
      <c r="B230" t="s">
        <v>478</v>
      </c>
      <c r="C230">
        <v>57203603824</v>
      </c>
      <c r="D230">
        <v>57209116896</v>
      </c>
      <c r="E230">
        <v>85</v>
      </c>
      <c r="F230" t="str">
        <f>_xlfn.XLOOKUP(C230, '75'!$C$2:$C$1142, '75'!$F$2:$F$1142)</f>
        <v>no</v>
      </c>
    </row>
    <row r="231" spans="1:6" x14ac:dyDescent="0.45">
      <c r="A231" t="s">
        <v>482</v>
      </c>
      <c r="B231" t="s">
        <v>483</v>
      </c>
      <c r="C231">
        <v>58742408500</v>
      </c>
      <c r="D231">
        <v>57220006337</v>
      </c>
      <c r="E231">
        <v>79</v>
      </c>
      <c r="F231" t="str">
        <f>_xlfn.XLOOKUP(C231, '75'!$C$2:$C$1142, '75'!$F$2:$F$1142)</f>
        <v>no</v>
      </c>
    </row>
    <row r="232" spans="1:6" x14ac:dyDescent="0.45">
      <c r="A232" t="s">
        <v>484</v>
      </c>
      <c r="B232" t="s">
        <v>485</v>
      </c>
      <c r="C232">
        <v>57199736172</v>
      </c>
      <c r="D232">
        <v>59147557700</v>
      </c>
      <c r="E232">
        <v>78</v>
      </c>
      <c r="F232" t="str">
        <f>_xlfn.XLOOKUP(C232, '75'!$C$2:$C$1142, '75'!$F$2:$F$1142)</f>
        <v>no</v>
      </c>
    </row>
    <row r="233" spans="1:6" x14ac:dyDescent="0.45">
      <c r="A233" t="s">
        <v>487</v>
      </c>
      <c r="B233" t="s">
        <v>451</v>
      </c>
      <c r="C233">
        <v>57555413300</v>
      </c>
      <c r="D233">
        <v>59305897300</v>
      </c>
      <c r="E233">
        <v>87</v>
      </c>
      <c r="F233" t="str">
        <f>_xlfn.XLOOKUP(C233, '75'!$C$2:$C$1142, '75'!$F$2:$F$1142)</f>
        <v>ok</v>
      </c>
    </row>
    <row r="234" spans="1:6" x14ac:dyDescent="0.45">
      <c r="A234" t="s">
        <v>488</v>
      </c>
      <c r="B234" t="s">
        <v>489</v>
      </c>
      <c r="C234">
        <v>57214883229</v>
      </c>
      <c r="D234">
        <v>56575966800</v>
      </c>
      <c r="E234">
        <v>92</v>
      </c>
      <c r="F234" t="str">
        <f>_xlfn.XLOOKUP(C234, '75'!$C$2:$C$1142, '75'!$F$2:$F$1142)</f>
        <v>ok</v>
      </c>
    </row>
    <row r="235" spans="1:6" x14ac:dyDescent="0.45">
      <c r="A235" t="s">
        <v>490</v>
      </c>
      <c r="B235" t="s">
        <v>493</v>
      </c>
      <c r="C235">
        <v>58603818900</v>
      </c>
      <c r="D235">
        <v>59487044600</v>
      </c>
      <c r="E235">
        <v>87</v>
      </c>
      <c r="F235" t="str">
        <f>_xlfn.XLOOKUP(C235, '75'!$C$2:$C$1142, '75'!$F$2:$F$1142)</f>
        <v>no</v>
      </c>
    </row>
    <row r="236" spans="1:6" x14ac:dyDescent="0.45">
      <c r="A236" t="s">
        <v>495</v>
      </c>
      <c r="B236" t="s">
        <v>492</v>
      </c>
      <c r="C236">
        <v>8969748600</v>
      </c>
      <c r="D236">
        <v>59061428700</v>
      </c>
      <c r="E236">
        <v>82</v>
      </c>
      <c r="F236" t="str">
        <f>_xlfn.XLOOKUP(C236, '75'!$C$2:$C$1142, '75'!$F$2:$F$1142)</f>
        <v>ok</v>
      </c>
    </row>
    <row r="237" spans="1:6" x14ac:dyDescent="0.45">
      <c r="A237" t="s">
        <v>495</v>
      </c>
      <c r="B237" t="s">
        <v>496</v>
      </c>
      <c r="C237">
        <v>8969748600</v>
      </c>
      <c r="D237">
        <v>59732151800</v>
      </c>
      <c r="E237">
        <v>86</v>
      </c>
      <c r="F237" t="str">
        <f>_xlfn.XLOOKUP(C237, '75'!$C$2:$C$1142, '75'!$F$2:$F$1142)</f>
        <v>ok</v>
      </c>
    </row>
    <row r="238" spans="1:6" x14ac:dyDescent="0.45">
      <c r="A238" t="s">
        <v>497</v>
      </c>
      <c r="B238" t="s">
        <v>498</v>
      </c>
      <c r="C238">
        <v>58100818300</v>
      </c>
      <c r="D238">
        <v>44461638200</v>
      </c>
      <c r="E238">
        <v>97</v>
      </c>
      <c r="F238" t="str">
        <f>_xlfn.XLOOKUP(C238, '75'!$C$2:$C$1142, '75'!$F$2:$F$1142)</f>
        <v>ok</v>
      </c>
    </row>
    <row r="239" spans="1:6" x14ac:dyDescent="0.45">
      <c r="A239" t="s">
        <v>501</v>
      </c>
      <c r="B239" t="s">
        <v>503</v>
      </c>
      <c r="C239">
        <v>55540777300</v>
      </c>
      <c r="D239">
        <v>58669083900</v>
      </c>
      <c r="E239">
        <v>90</v>
      </c>
      <c r="F239" t="str">
        <f>_xlfn.XLOOKUP(C239, '75'!$C$2:$C$1142, '75'!$F$2:$F$1142)</f>
        <v>no</v>
      </c>
    </row>
    <row r="240" spans="1:6" x14ac:dyDescent="0.45">
      <c r="A240" t="s">
        <v>504</v>
      </c>
      <c r="B240" t="s">
        <v>506</v>
      </c>
      <c r="C240">
        <v>57208500706</v>
      </c>
      <c r="D240">
        <v>57419438300</v>
      </c>
      <c r="E240">
        <v>93</v>
      </c>
      <c r="F240" t="str">
        <f>_xlfn.XLOOKUP(C240, '75'!$C$2:$C$1142, '75'!$F$2:$F$1142)</f>
        <v>no</v>
      </c>
    </row>
    <row r="241" spans="1:6" x14ac:dyDescent="0.45">
      <c r="A241" t="s">
        <v>504</v>
      </c>
      <c r="B241" t="s">
        <v>507</v>
      </c>
      <c r="C241">
        <v>57208500706</v>
      </c>
      <c r="D241">
        <v>58930944200</v>
      </c>
      <c r="E241">
        <v>94</v>
      </c>
      <c r="F241" t="str">
        <f>_xlfn.XLOOKUP(C241, '75'!$C$2:$C$1142, '75'!$F$2:$F$1142)</f>
        <v>no</v>
      </c>
    </row>
    <row r="242" spans="1:6" x14ac:dyDescent="0.45">
      <c r="A242" t="s">
        <v>504</v>
      </c>
      <c r="B242" t="s">
        <v>509</v>
      </c>
      <c r="C242">
        <v>57208500706</v>
      </c>
      <c r="D242">
        <v>59152165700</v>
      </c>
      <c r="E242">
        <v>80</v>
      </c>
      <c r="F242" t="str">
        <f>_xlfn.XLOOKUP(C242, '75'!$C$2:$C$1142, '75'!$F$2:$F$1142)</f>
        <v>no</v>
      </c>
    </row>
    <row r="243" spans="1:6" x14ac:dyDescent="0.45">
      <c r="A243" t="s">
        <v>512</v>
      </c>
      <c r="B243" t="s">
        <v>513</v>
      </c>
      <c r="C243">
        <v>55477263200</v>
      </c>
      <c r="D243">
        <v>59661104900</v>
      </c>
      <c r="E243">
        <v>93</v>
      </c>
      <c r="F243" t="str">
        <f>_xlfn.XLOOKUP(C243, '75'!$C$2:$C$1142, '75'!$F$2:$F$1142)</f>
        <v>ok</v>
      </c>
    </row>
    <row r="244" spans="1:6" x14ac:dyDescent="0.45">
      <c r="A244" t="s">
        <v>518</v>
      </c>
      <c r="B244" t="s">
        <v>519</v>
      </c>
      <c r="C244">
        <v>55798658400</v>
      </c>
      <c r="D244">
        <v>56413233700</v>
      </c>
      <c r="E244">
        <v>80</v>
      </c>
      <c r="F244" t="str">
        <f>_xlfn.XLOOKUP(C244, '75'!$C$2:$C$1142, '75'!$F$2:$F$1142)</f>
        <v>no</v>
      </c>
    </row>
    <row r="245" spans="1:6" x14ac:dyDescent="0.45">
      <c r="A245" t="s">
        <v>518</v>
      </c>
      <c r="B245" t="s">
        <v>493</v>
      </c>
      <c r="C245">
        <v>55798658400</v>
      </c>
      <c r="D245">
        <v>59487044600</v>
      </c>
      <c r="E245">
        <v>78</v>
      </c>
      <c r="F245" t="str">
        <f>_xlfn.XLOOKUP(C245, '75'!$C$2:$C$1142, '75'!$F$2:$F$1142)</f>
        <v>no</v>
      </c>
    </row>
    <row r="246" spans="1:6" x14ac:dyDescent="0.45">
      <c r="A246" t="s">
        <v>520</v>
      </c>
      <c r="B246" t="s">
        <v>521</v>
      </c>
      <c r="C246">
        <v>56531436200</v>
      </c>
      <c r="D246">
        <v>57711932900</v>
      </c>
      <c r="E246">
        <v>80</v>
      </c>
      <c r="F246" t="str">
        <f>_xlfn.XLOOKUP(C246, '75'!$C$2:$C$1142, '75'!$F$2:$F$1142)</f>
        <v>no</v>
      </c>
    </row>
    <row r="247" spans="1:6" x14ac:dyDescent="0.45">
      <c r="A247" t="s">
        <v>502</v>
      </c>
      <c r="B247" t="s">
        <v>503</v>
      </c>
      <c r="C247">
        <v>57207257893</v>
      </c>
      <c r="D247">
        <v>58669083900</v>
      </c>
      <c r="E247">
        <v>86</v>
      </c>
      <c r="F247" t="str">
        <f>_xlfn.XLOOKUP(C247, '75'!$C$2:$C$1142, '75'!$F$2:$F$1142)</f>
        <v>no</v>
      </c>
    </row>
    <row r="248" spans="1:6" x14ac:dyDescent="0.45">
      <c r="A248" t="s">
        <v>525</v>
      </c>
      <c r="B248" t="s">
        <v>526</v>
      </c>
      <c r="C248">
        <v>55574212275</v>
      </c>
      <c r="D248">
        <v>59357212900</v>
      </c>
      <c r="E248">
        <v>81</v>
      </c>
      <c r="F248" t="str">
        <f>_xlfn.XLOOKUP(C248, '75'!$C$2:$C$1142, '75'!$F$2:$F$1142)</f>
        <v>no</v>
      </c>
    </row>
    <row r="249" spans="1:6" x14ac:dyDescent="0.45">
      <c r="A249" t="s">
        <v>525</v>
      </c>
      <c r="B249" t="s">
        <v>527</v>
      </c>
      <c r="C249">
        <v>55574212275</v>
      </c>
      <c r="D249">
        <v>57207946091</v>
      </c>
      <c r="E249">
        <v>83</v>
      </c>
      <c r="F249" t="str">
        <f>_xlfn.XLOOKUP(C249, '75'!$C$2:$C$1142, '75'!$F$2:$F$1142)</f>
        <v>no</v>
      </c>
    </row>
    <row r="250" spans="1:6" x14ac:dyDescent="0.45">
      <c r="A250" t="s">
        <v>528</v>
      </c>
      <c r="B250" t="s">
        <v>529</v>
      </c>
      <c r="C250">
        <v>7004445683</v>
      </c>
      <c r="D250">
        <v>57226790697</v>
      </c>
      <c r="E250">
        <v>80</v>
      </c>
      <c r="F250" t="str">
        <f>_xlfn.XLOOKUP(C250, '75'!$C$2:$C$1142, '75'!$F$2:$F$1142)</f>
        <v>no</v>
      </c>
    </row>
    <row r="251" spans="1:6" x14ac:dyDescent="0.45">
      <c r="A251" t="s">
        <v>532</v>
      </c>
      <c r="B251" t="s">
        <v>533</v>
      </c>
      <c r="C251">
        <v>55904182200</v>
      </c>
      <c r="D251">
        <v>59516564600</v>
      </c>
      <c r="E251">
        <v>94</v>
      </c>
      <c r="F251" t="str">
        <f>_xlfn.XLOOKUP(C251, '75'!$C$2:$C$1142, '75'!$F$2:$F$1142)</f>
        <v>ok</v>
      </c>
    </row>
    <row r="252" spans="1:6" x14ac:dyDescent="0.45">
      <c r="A252" t="s">
        <v>534</v>
      </c>
      <c r="B252" t="s">
        <v>535</v>
      </c>
      <c r="C252">
        <v>57215578322</v>
      </c>
      <c r="D252">
        <v>7501443732</v>
      </c>
      <c r="E252">
        <v>80</v>
      </c>
      <c r="F252" t="str">
        <f>_xlfn.XLOOKUP(C252, '75'!$C$2:$C$1142, '75'!$F$2:$F$1142)</f>
        <v>no</v>
      </c>
    </row>
    <row r="253" spans="1:6" x14ac:dyDescent="0.45">
      <c r="A253" t="s">
        <v>491</v>
      </c>
      <c r="B253" t="s">
        <v>537</v>
      </c>
      <c r="C253">
        <v>57210262931</v>
      </c>
      <c r="D253">
        <v>57205694562</v>
      </c>
      <c r="E253">
        <v>84</v>
      </c>
      <c r="F253" t="str">
        <f>_xlfn.XLOOKUP(C253, '75'!$C$2:$C$1142, '75'!$F$2:$F$1142)</f>
        <v>no</v>
      </c>
    </row>
    <row r="254" spans="1:6" x14ac:dyDescent="0.45">
      <c r="A254" t="s">
        <v>491</v>
      </c>
      <c r="B254" t="s">
        <v>493</v>
      </c>
      <c r="C254">
        <v>57210262931</v>
      </c>
      <c r="D254">
        <v>59487044600</v>
      </c>
      <c r="E254">
        <v>80</v>
      </c>
      <c r="F254" t="str">
        <f>_xlfn.XLOOKUP(C254, '75'!$C$2:$C$1142, '75'!$F$2:$F$1142)</f>
        <v>no</v>
      </c>
    </row>
    <row r="255" spans="1:6" x14ac:dyDescent="0.45">
      <c r="A255" t="s">
        <v>524</v>
      </c>
      <c r="B255" t="s">
        <v>508</v>
      </c>
      <c r="C255">
        <v>57204160662</v>
      </c>
      <c r="D255">
        <v>57192301448</v>
      </c>
      <c r="E255">
        <v>78</v>
      </c>
      <c r="F255" t="str">
        <f>_xlfn.XLOOKUP(C255, '75'!$C$2:$C$1142, '75'!$F$2:$F$1142)</f>
        <v>no</v>
      </c>
    </row>
    <row r="256" spans="1:6" x14ac:dyDescent="0.45">
      <c r="A256" t="s">
        <v>519</v>
      </c>
      <c r="B256" t="s">
        <v>542</v>
      </c>
      <c r="C256">
        <v>56413233700</v>
      </c>
      <c r="D256">
        <v>59424708200</v>
      </c>
      <c r="E256">
        <v>78</v>
      </c>
      <c r="F256" t="str">
        <f>_xlfn.XLOOKUP(C256, '75'!$C$2:$C$1142, '75'!$F$2:$F$1142)</f>
        <v>no</v>
      </c>
    </row>
    <row r="257" spans="1:6" x14ac:dyDescent="0.45">
      <c r="A257" t="s">
        <v>519</v>
      </c>
      <c r="B257" t="s">
        <v>537</v>
      </c>
      <c r="C257">
        <v>56413233700</v>
      </c>
      <c r="D257">
        <v>57205694562</v>
      </c>
      <c r="E257">
        <v>78</v>
      </c>
      <c r="F257" t="str">
        <f>_xlfn.XLOOKUP(C257, '75'!$C$2:$C$1142, '75'!$F$2:$F$1142)</f>
        <v>no</v>
      </c>
    </row>
    <row r="258" spans="1:6" x14ac:dyDescent="0.45">
      <c r="A258" t="s">
        <v>519</v>
      </c>
      <c r="B258" t="s">
        <v>538</v>
      </c>
      <c r="C258">
        <v>56413233700</v>
      </c>
      <c r="D258">
        <v>57216939987</v>
      </c>
      <c r="E258">
        <v>80</v>
      </c>
      <c r="F258" t="str">
        <f>_xlfn.XLOOKUP(C258, '75'!$C$2:$C$1142, '75'!$F$2:$F$1142)</f>
        <v>no</v>
      </c>
    </row>
    <row r="259" spans="1:6" x14ac:dyDescent="0.45">
      <c r="A259" t="s">
        <v>505</v>
      </c>
      <c r="B259" t="s">
        <v>506</v>
      </c>
      <c r="C259">
        <v>57191371558</v>
      </c>
      <c r="D259">
        <v>57419438300</v>
      </c>
      <c r="E259">
        <v>80</v>
      </c>
      <c r="F259" t="str">
        <f>_xlfn.XLOOKUP(C259, '75'!$C$2:$C$1142, '75'!$F$2:$F$1142)</f>
        <v>no</v>
      </c>
    </row>
    <row r="260" spans="1:6" x14ac:dyDescent="0.45">
      <c r="A260" t="s">
        <v>505</v>
      </c>
      <c r="B260" t="s">
        <v>543</v>
      </c>
      <c r="C260">
        <v>57191371558</v>
      </c>
      <c r="D260">
        <v>57212311896</v>
      </c>
      <c r="E260">
        <v>89</v>
      </c>
      <c r="F260" t="str">
        <f>_xlfn.XLOOKUP(C260, '75'!$C$2:$C$1142, '75'!$F$2:$F$1142)</f>
        <v>no</v>
      </c>
    </row>
    <row r="261" spans="1:6" x14ac:dyDescent="0.45">
      <c r="A261" t="s">
        <v>505</v>
      </c>
      <c r="B261" t="s">
        <v>508</v>
      </c>
      <c r="C261">
        <v>57191371558</v>
      </c>
      <c r="D261">
        <v>57192301448</v>
      </c>
      <c r="E261">
        <v>88</v>
      </c>
      <c r="F261" t="str">
        <f>_xlfn.XLOOKUP(C261, '75'!$C$2:$C$1142, '75'!$F$2:$F$1142)</f>
        <v>no</v>
      </c>
    </row>
    <row r="262" spans="1:6" x14ac:dyDescent="0.45">
      <c r="A262" t="s">
        <v>544</v>
      </c>
      <c r="B262" t="s">
        <v>545</v>
      </c>
      <c r="C262">
        <v>39762111800</v>
      </c>
      <c r="D262">
        <v>57206734156</v>
      </c>
      <c r="E262">
        <v>78</v>
      </c>
      <c r="F262" t="str">
        <f>_xlfn.XLOOKUP(C262, '75'!$C$2:$C$1142, '75'!$F$2:$F$1142)</f>
        <v>no</v>
      </c>
    </row>
    <row r="263" spans="1:6" x14ac:dyDescent="0.45">
      <c r="A263" t="s">
        <v>544</v>
      </c>
      <c r="B263" t="s">
        <v>547</v>
      </c>
      <c r="C263">
        <v>39762111800</v>
      </c>
      <c r="D263">
        <v>57252778500</v>
      </c>
      <c r="E263">
        <v>78</v>
      </c>
      <c r="F263" t="str">
        <f>_xlfn.XLOOKUP(C263, '75'!$C$2:$C$1142, '75'!$F$2:$F$1142)</f>
        <v>no</v>
      </c>
    </row>
    <row r="264" spans="1:6" x14ac:dyDescent="0.45">
      <c r="A264" t="s">
        <v>545</v>
      </c>
      <c r="B264" t="s">
        <v>548</v>
      </c>
      <c r="C264">
        <v>57206734156</v>
      </c>
      <c r="D264">
        <v>58376421300</v>
      </c>
      <c r="E264">
        <v>78</v>
      </c>
      <c r="F264" t="str">
        <f>_xlfn.XLOOKUP(C264, '75'!$C$2:$C$1142, '75'!$F$2:$F$1142)</f>
        <v>no</v>
      </c>
    </row>
    <row r="265" spans="1:6" x14ac:dyDescent="0.45">
      <c r="A265" t="s">
        <v>555</v>
      </c>
      <c r="B265" t="s">
        <v>556</v>
      </c>
      <c r="C265">
        <v>56555456900</v>
      </c>
      <c r="D265">
        <v>57209238379</v>
      </c>
      <c r="E265">
        <v>80</v>
      </c>
      <c r="F265" t="str">
        <f>_xlfn.XLOOKUP(C265, '75'!$C$2:$C$1142, '75'!$F$2:$F$1142)</f>
        <v>no</v>
      </c>
    </row>
    <row r="266" spans="1:6" x14ac:dyDescent="0.45">
      <c r="A266" t="s">
        <v>541</v>
      </c>
      <c r="B266" t="s">
        <v>559</v>
      </c>
      <c r="C266">
        <v>57189987947</v>
      </c>
      <c r="D266">
        <v>57218939828</v>
      </c>
      <c r="E266">
        <v>86</v>
      </c>
      <c r="F266" t="str">
        <f>_xlfn.XLOOKUP(C266, '75'!$C$2:$C$1142, '75'!$F$2:$F$1142)</f>
        <v>no</v>
      </c>
    </row>
    <row r="267" spans="1:6" x14ac:dyDescent="0.45">
      <c r="A267" t="s">
        <v>541</v>
      </c>
      <c r="B267" t="s">
        <v>554</v>
      </c>
      <c r="C267">
        <v>57189987947</v>
      </c>
      <c r="D267">
        <v>58744569600</v>
      </c>
      <c r="E267">
        <v>80</v>
      </c>
      <c r="F267" t="str">
        <f>_xlfn.XLOOKUP(C267, '75'!$C$2:$C$1142, '75'!$F$2:$F$1142)</f>
        <v>no</v>
      </c>
    </row>
    <row r="268" spans="1:6" x14ac:dyDescent="0.45">
      <c r="A268" t="s">
        <v>560</v>
      </c>
      <c r="B268" t="s">
        <v>561</v>
      </c>
      <c r="C268">
        <v>57217039511</v>
      </c>
      <c r="D268">
        <v>57364393000</v>
      </c>
      <c r="E268">
        <v>86</v>
      </c>
      <c r="F268" t="str">
        <f>_xlfn.XLOOKUP(C268, '75'!$C$2:$C$1142, '75'!$F$2:$F$1142)</f>
        <v>no</v>
      </c>
    </row>
    <row r="269" spans="1:6" x14ac:dyDescent="0.45">
      <c r="A269" t="s">
        <v>563</v>
      </c>
      <c r="B269" t="s">
        <v>564</v>
      </c>
      <c r="C269">
        <v>59785163100</v>
      </c>
      <c r="D269">
        <v>56306779600</v>
      </c>
      <c r="E269">
        <v>84</v>
      </c>
      <c r="F269" t="str">
        <f>_xlfn.XLOOKUP(C269, '75'!$C$2:$C$1142, '75'!$F$2:$F$1142)</f>
        <v>no</v>
      </c>
    </row>
    <row r="270" spans="1:6" x14ac:dyDescent="0.45">
      <c r="A270" t="s">
        <v>563</v>
      </c>
      <c r="B270" t="s">
        <v>565</v>
      </c>
      <c r="C270">
        <v>59785163100</v>
      </c>
      <c r="D270">
        <v>58550253900</v>
      </c>
      <c r="E270">
        <v>78</v>
      </c>
      <c r="F270" t="str">
        <f>_xlfn.XLOOKUP(C270, '75'!$C$2:$C$1142, '75'!$F$2:$F$1142)</f>
        <v>no</v>
      </c>
    </row>
    <row r="271" spans="1:6" x14ac:dyDescent="0.45">
      <c r="A271" t="s">
        <v>568</v>
      </c>
      <c r="B271" t="s">
        <v>569</v>
      </c>
      <c r="C271">
        <v>57831947600</v>
      </c>
      <c r="D271">
        <v>59114291700</v>
      </c>
      <c r="E271">
        <v>84</v>
      </c>
      <c r="F271" t="str">
        <f>_xlfn.XLOOKUP(C271, '75'!$C$2:$C$1142, '75'!$F$2:$F$1142)</f>
        <v>ok</v>
      </c>
    </row>
    <row r="272" spans="1:6" x14ac:dyDescent="0.45">
      <c r="A272" t="s">
        <v>570</v>
      </c>
      <c r="B272" t="s">
        <v>571</v>
      </c>
      <c r="C272">
        <v>56803251500</v>
      </c>
      <c r="D272">
        <v>58292542600</v>
      </c>
      <c r="E272">
        <v>82</v>
      </c>
      <c r="F272" t="str">
        <f>_xlfn.XLOOKUP(C272, '75'!$C$2:$C$1142, '75'!$F$2:$F$1142)</f>
        <v>no</v>
      </c>
    </row>
    <row r="273" spans="1:6" x14ac:dyDescent="0.45">
      <c r="A273" t="s">
        <v>492</v>
      </c>
      <c r="B273" t="s">
        <v>496</v>
      </c>
      <c r="C273">
        <v>59061428700</v>
      </c>
      <c r="D273">
        <v>59732151800</v>
      </c>
      <c r="E273">
        <v>90</v>
      </c>
      <c r="F273" t="str">
        <f>_xlfn.XLOOKUP(C273, '75'!$C$2:$C$1142, '75'!$F$2:$F$1142)</f>
        <v>no</v>
      </c>
    </row>
    <row r="274" spans="1:6" x14ac:dyDescent="0.45">
      <c r="A274" t="s">
        <v>572</v>
      </c>
      <c r="B274" t="s">
        <v>573</v>
      </c>
      <c r="C274">
        <v>57520479400</v>
      </c>
      <c r="D274">
        <v>57980252100</v>
      </c>
      <c r="E274">
        <v>80</v>
      </c>
      <c r="F274" t="str">
        <f>_xlfn.XLOOKUP(C274, '75'!$C$2:$C$1142, '75'!$F$2:$F$1142)</f>
        <v>no</v>
      </c>
    </row>
    <row r="275" spans="1:6" x14ac:dyDescent="0.45">
      <c r="A275" t="s">
        <v>572</v>
      </c>
      <c r="B275" t="s">
        <v>574</v>
      </c>
      <c r="C275">
        <v>57520479400</v>
      </c>
      <c r="D275">
        <v>57216867749</v>
      </c>
      <c r="E275">
        <v>78</v>
      </c>
      <c r="F275" t="str">
        <f>_xlfn.XLOOKUP(C275, '75'!$C$2:$C$1142, '75'!$F$2:$F$1142)</f>
        <v>no</v>
      </c>
    </row>
    <row r="276" spans="1:6" x14ac:dyDescent="0.45">
      <c r="A276" t="s">
        <v>557</v>
      </c>
      <c r="B276" t="s">
        <v>531</v>
      </c>
      <c r="C276">
        <v>58555571700</v>
      </c>
      <c r="D276">
        <v>58436524800</v>
      </c>
      <c r="E276">
        <v>82</v>
      </c>
      <c r="F276" t="str">
        <f>_xlfn.XLOOKUP(C276, '75'!$C$2:$C$1142, '75'!$F$2:$F$1142)</f>
        <v>no</v>
      </c>
    </row>
    <row r="277" spans="1:6" x14ac:dyDescent="0.45">
      <c r="A277" t="s">
        <v>557</v>
      </c>
      <c r="B277" t="s">
        <v>575</v>
      </c>
      <c r="C277">
        <v>58555571700</v>
      </c>
      <c r="D277">
        <v>57204916659</v>
      </c>
      <c r="E277">
        <v>82</v>
      </c>
      <c r="F277" t="str">
        <f>_xlfn.XLOOKUP(C277, '75'!$C$2:$C$1142, '75'!$F$2:$F$1142)</f>
        <v>no</v>
      </c>
    </row>
    <row r="278" spans="1:6" x14ac:dyDescent="0.45">
      <c r="A278" t="s">
        <v>557</v>
      </c>
      <c r="B278" t="s">
        <v>538</v>
      </c>
      <c r="C278">
        <v>58555571700</v>
      </c>
      <c r="D278">
        <v>57216939987</v>
      </c>
      <c r="E278">
        <v>82</v>
      </c>
      <c r="F278" t="str">
        <f>_xlfn.XLOOKUP(C278, '75'!$C$2:$C$1142, '75'!$F$2:$F$1142)</f>
        <v>no</v>
      </c>
    </row>
    <row r="279" spans="1:6" x14ac:dyDescent="0.45">
      <c r="A279" t="s">
        <v>578</v>
      </c>
      <c r="B279" t="s">
        <v>565</v>
      </c>
      <c r="C279">
        <v>57205377655</v>
      </c>
      <c r="D279">
        <v>58550253900</v>
      </c>
      <c r="E279">
        <v>78</v>
      </c>
      <c r="F279" t="str">
        <f>_xlfn.XLOOKUP(C279, '75'!$C$2:$C$1142, '75'!$F$2:$F$1142)</f>
        <v>no</v>
      </c>
    </row>
    <row r="280" spans="1:6" x14ac:dyDescent="0.45">
      <c r="A280" t="s">
        <v>564</v>
      </c>
      <c r="B280" t="s">
        <v>580</v>
      </c>
      <c r="C280">
        <v>56306779600</v>
      </c>
      <c r="D280">
        <v>57225920605</v>
      </c>
      <c r="E280">
        <v>84</v>
      </c>
      <c r="F280" t="str">
        <f>_xlfn.XLOOKUP(C280, '75'!$C$2:$C$1142, '75'!$F$2:$F$1142)</f>
        <v>no</v>
      </c>
    </row>
    <row r="281" spans="1:6" x14ac:dyDescent="0.45">
      <c r="A281" t="s">
        <v>564</v>
      </c>
      <c r="B281" t="s">
        <v>559</v>
      </c>
      <c r="C281">
        <v>56306779600</v>
      </c>
      <c r="D281">
        <v>57218939828</v>
      </c>
      <c r="E281">
        <v>78</v>
      </c>
      <c r="F281" t="str">
        <f>_xlfn.XLOOKUP(C281, '75'!$C$2:$C$1142, '75'!$F$2:$F$1142)</f>
        <v>no</v>
      </c>
    </row>
    <row r="282" spans="1:6" x14ac:dyDescent="0.45">
      <c r="A282" t="s">
        <v>581</v>
      </c>
      <c r="B282" t="s">
        <v>583</v>
      </c>
      <c r="C282">
        <v>57211756552</v>
      </c>
      <c r="D282">
        <v>57323476000</v>
      </c>
      <c r="E282">
        <v>88</v>
      </c>
      <c r="F282" t="str">
        <f>_xlfn.XLOOKUP(C282, '75'!$C$2:$C$1142, '75'!$F$2:$F$1142)</f>
        <v>no</v>
      </c>
    </row>
    <row r="283" spans="1:6" x14ac:dyDescent="0.45">
      <c r="A283" t="s">
        <v>506</v>
      </c>
      <c r="B283" t="s">
        <v>507</v>
      </c>
      <c r="C283">
        <v>57419438300</v>
      </c>
      <c r="D283">
        <v>58930944200</v>
      </c>
      <c r="E283">
        <v>88</v>
      </c>
      <c r="F283" t="str">
        <f>_xlfn.XLOOKUP(C283, '75'!$C$2:$C$1142, '75'!$F$2:$F$1142)</f>
        <v>no</v>
      </c>
    </row>
    <row r="284" spans="1:6" x14ac:dyDescent="0.45">
      <c r="A284" t="s">
        <v>506</v>
      </c>
      <c r="B284" t="s">
        <v>508</v>
      </c>
      <c r="C284">
        <v>57419438300</v>
      </c>
      <c r="D284">
        <v>57192301448</v>
      </c>
      <c r="E284">
        <v>80</v>
      </c>
      <c r="F284" t="str">
        <f>_xlfn.XLOOKUP(C284, '75'!$C$2:$C$1142, '75'!$F$2:$F$1142)</f>
        <v>no</v>
      </c>
    </row>
    <row r="285" spans="1:6" x14ac:dyDescent="0.45">
      <c r="A285" t="s">
        <v>584</v>
      </c>
      <c r="B285" t="s">
        <v>585</v>
      </c>
      <c r="C285">
        <v>57218566585</v>
      </c>
      <c r="D285">
        <v>57226157890</v>
      </c>
      <c r="E285">
        <v>78</v>
      </c>
      <c r="F285" t="str">
        <f>_xlfn.XLOOKUP(C285, '75'!$C$2:$C$1142, '75'!$F$2:$F$1142)</f>
        <v>no</v>
      </c>
    </row>
    <row r="286" spans="1:6" x14ac:dyDescent="0.45">
      <c r="A286" t="s">
        <v>584</v>
      </c>
      <c r="B286" t="s">
        <v>531</v>
      </c>
      <c r="C286">
        <v>57218566585</v>
      </c>
      <c r="D286">
        <v>58436524800</v>
      </c>
      <c r="E286">
        <v>88</v>
      </c>
      <c r="F286" t="str">
        <f>_xlfn.XLOOKUP(C286, '75'!$C$2:$C$1142, '75'!$F$2:$F$1142)</f>
        <v>no</v>
      </c>
    </row>
    <row r="287" spans="1:6" x14ac:dyDescent="0.45">
      <c r="A287" t="s">
        <v>586</v>
      </c>
      <c r="B287" t="s">
        <v>587</v>
      </c>
      <c r="C287">
        <v>57211024100</v>
      </c>
      <c r="D287">
        <v>58933178400</v>
      </c>
      <c r="E287">
        <v>78</v>
      </c>
      <c r="F287" t="str">
        <f>_xlfn.XLOOKUP(C287, '75'!$C$2:$C$1142, '75'!$F$2:$F$1142)</f>
        <v>no</v>
      </c>
    </row>
    <row r="288" spans="1:6" x14ac:dyDescent="0.45">
      <c r="A288" t="s">
        <v>565</v>
      </c>
      <c r="B288" t="s">
        <v>588</v>
      </c>
      <c r="C288">
        <v>58550253900</v>
      </c>
      <c r="D288">
        <v>58733839400</v>
      </c>
      <c r="E288">
        <v>78</v>
      </c>
      <c r="F288" t="str">
        <f>_xlfn.XLOOKUP(C288, '75'!$C$2:$C$1142, '75'!$F$2:$F$1142)</f>
        <v>no</v>
      </c>
    </row>
    <row r="289" spans="1:6" x14ac:dyDescent="0.45">
      <c r="A289" t="s">
        <v>565</v>
      </c>
      <c r="B289" t="s">
        <v>589</v>
      </c>
      <c r="C289">
        <v>58550253900</v>
      </c>
      <c r="D289">
        <v>57219524354</v>
      </c>
      <c r="E289">
        <v>78</v>
      </c>
      <c r="F289" t="str">
        <f>_xlfn.XLOOKUP(C289, '75'!$C$2:$C$1142, '75'!$F$2:$F$1142)</f>
        <v>no</v>
      </c>
    </row>
    <row r="290" spans="1:6" x14ac:dyDescent="0.45">
      <c r="A290" t="s">
        <v>591</v>
      </c>
      <c r="B290" t="s">
        <v>592</v>
      </c>
      <c r="C290">
        <v>57205388984</v>
      </c>
      <c r="D290">
        <v>59127174700</v>
      </c>
      <c r="E290">
        <v>80</v>
      </c>
      <c r="F290" t="str">
        <f>_xlfn.XLOOKUP(C290, '75'!$C$2:$C$1142, '75'!$F$2:$F$1142)</f>
        <v>no</v>
      </c>
    </row>
    <row r="291" spans="1:6" x14ac:dyDescent="0.45">
      <c r="A291" t="s">
        <v>579</v>
      </c>
      <c r="B291" t="s">
        <v>580</v>
      </c>
      <c r="C291">
        <v>57204556952</v>
      </c>
      <c r="D291">
        <v>57225920605</v>
      </c>
      <c r="E291">
        <v>80</v>
      </c>
      <c r="F291" t="str">
        <f>_xlfn.XLOOKUP(C291, '75'!$C$2:$C$1142, '75'!$F$2:$F$1142)</f>
        <v>no</v>
      </c>
    </row>
    <row r="292" spans="1:6" x14ac:dyDescent="0.45">
      <c r="A292" t="s">
        <v>596</v>
      </c>
      <c r="B292" t="s">
        <v>517</v>
      </c>
      <c r="C292">
        <v>57203855079</v>
      </c>
      <c r="D292">
        <v>59710754100</v>
      </c>
      <c r="E292">
        <v>82</v>
      </c>
      <c r="F292" t="str">
        <f>_xlfn.XLOOKUP(C292, '75'!$C$2:$C$1142, '75'!$F$2:$F$1142)</f>
        <v>no</v>
      </c>
    </row>
    <row r="293" spans="1:6" x14ac:dyDescent="0.45">
      <c r="A293" t="s">
        <v>597</v>
      </c>
      <c r="B293" t="s">
        <v>598</v>
      </c>
      <c r="C293">
        <v>55716885000</v>
      </c>
      <c r="D293">
        <v>57219825843</v>
      </c>
      <c r="E293">
        <v>78</v>
      </c>
      <c r="F293" t="str">
        <f>_xlfn.XLOOKUP(C293, '75'!$C$2:$C$1142, '75'!$F$2:$F$1142)</f>
        <v>no</v>
      </c>
    </row>
    <row r="294" spans="1:6" x14ac:dyDescent="0.45">
      <c r="A294" t="s">
        <v>597</v>
      </c>
      <c r="B294" t="s">
        <v>599</v>
      </c>
      <c r="C294">
        <v>55716885000</v>
      </c>
      <c r="D294">
        <v>58539820000</v>
      </c>
      <c r="E294">
        <v>78</v>
      </c>
      <c r="F294" t="str">
        <f>_xlfn.XLOOKUP(C294, '75'!$C$2:$C$1142, '75'!$F$2:$F$1142)</f>
        <v>no</v>
      </c>
    </row>
    <row r="295" spans="1:6" x14ac:dyDescent="0.45">
      <c r="A295" t="s">
        <v>542</v>
      </c>
      <c r="B295" t="s">
        <v>559</v>
      </c>
      <c r="C295">
        <v>59424708200</v>
      </c>
      <c r="D295">
        <v>57218939828</v>
      </c>
      <c r="E295">
        <v>78</v>
      </c>
      <c r="F295" t="str">
        <f>_xlfn.XLOOKUP(C295, '75'!$C$2:$C$1142, '75'!$F$2:$F$1142)</f>
        <v>no</v>
      </c>
    </row>
    <row r="296" spans="1:6" x14ac:dyDescent="0.45">
      <c r="A296" t="s">
        <v>601</v>
      </c>
      <c r="B296" t="s">
        <v>561</v>
      </c>
      <c r="C296">
        <v>57974743200</v>
      </c>
      <c r="D296">
        <v>57364393000</v>
      </c>
      <c r="E296">
        <v>78</v>
      </c>
      <c r="F296" t="str">
        <f>_xlfn.XLOOKUP(C296, '75'!$C$2:$C$1142, '75'!$F$2:$F$1142)</f>
        <v>ok</v>
      </c>
    </row>
    <row r="297" spans="1:6" x14ac:dyDescent="0.45">
      <c r="A297" t="s">
        <v>600</v>
      </c>
      <c r="B297" t="s">
        <v>554</v>
      </c>
      <c r="C297">
        <v>55981047600</v>
      </c>
      <c r="D297">
        <v>58744569600</v>
      </c>
      <c r="E297">
        <v>80</v>
      </c>
      <c r="F297" t="str">
        <f>_xlfn.XLOOKUP(C297, '75'!$C$2:$C$1142, '75'!$F$2:$F$1142)</f>
        <v>no</v>
      </c>
    </row>
    <row r="298" spans="1:6" x14ac:dyDescent="0.45">
      <c r="A298" t="s">
        <v>602</v>
      </c>
      <c r="B298" t="s">
        <v>603</v>
      </c>
      <c r="C298">
        <v>6603359570</v>
      </c>
      <c r="D298">
        <v>56529642000</v>
      </c>
      <c r="E298">
        <v>90</v>
      </c>
      <c r="F298" t="str">
        <f>_xlfn.XLOOKUP(C298, '75'!$C$2:$C$1142, '75'!$F$2:$F$1142)</f>
        <v>ok</v>
      </c>
    </row>
    <row r="299" spans="1:6" x14ac:dyDescent="0.45">
      <c r="A299" t="s">
        <v>604</v>
      </c>
      <c r="B299" t="s">
        <v>605</v>
      </c>
      <c r="C299">
        <v>57218533490</v>
      </c>
      <c r="D299">
        <v>59774208600</v>
      </c>
      <c r="E299">
        <v>83</v>
      </c>
      <c r="F299" t="str">
        <f>_xlfn.XLOOKUP(C299, '75'!$C$2:$C$1142, '75'!$F$2:$F$1142)</f>
        <v>no</v>
      </c>
    </row>
    <row r="300" spans="1:6" x14ac:dyDescent="0.45">
      <c r="A300" t="s">
        <v>606</v>
      </c>
      <c r="B300" t="s">
        <v>607</v>
      </c>
      <c r="C300">
        <v>58481182500</v>
      </c>
      <c r="D300">
        <v>57856271800</v>
      </c>
      <c r="E300">
        <v>82</v>
      </c>
      <c r="F300" t="str">
        <f>_xlfn.XLOOKUP(C300, '75'!$C$2:$C$1142, '75'!$F$2:$F$1142)</f>
        <v>no</v>
      </c>
    </row>
    <row r="301" spans="1:6" x14ac:dyDescent="0.45">
      <c r="A301" t="s">
        <v>546</v>
      </c>
      <c r="B301" t="s">
        <v>608</v>
      </c>
      <c r="C301">
        <v>58374461300</v>
      </c>
      <c r="D301">
        <v>57212311772</v>
      </c>
      <c r="E301">
        <v>80</v>
      </c>
      <c r="F301" t="str">
        <f>_xlfn.XLOOKUP(C301, '75'!$C$2:$C$1142, '75'!$F$2:$F$1142)</f>
        <v>no</v>
      </c>
    </row>
    <row r="302" spans="1:6" x14ac:dyDescent="0.45">
      <c r="A302" t="s">
        <v>609</v>
      </c>
      <c r="B302" t="s">
        <v>610</v>
      </c>
      <c r="C302">
        <v>55924372600</v>
      </c>
      <c r="D302">
        <v>58546087400</v>
      </c>
      <c r="E302">
        <v>82</v>
      </c>
      <c r="F302" t="str">
        <f>_xlfn.XLOOKUP(C302, '75'!$C$2:$C$1142, '75'!$F$2:$F$1142)</f>
        <v>no</v>
      </c>
    </row>
    <row r="303" spans="1:6" x14ac:dyDescent="0.45">
      <c r="A303" t="s">
        <v>588</v>
      </c>
      <c r="B303" t="s">
        <v>589</v>
      </c>
      <c r="C303">
        <v>58733839400</v>
      </c>
      <c r="D303">
        <v>57219524354</v>
      </c>
      <c r="E303">
        <v>78</v>
      </c>
      <c r="F303" t="str">
        <f>_xlfn.XLOOKUP(C303, '75'!$C$2:$C$1142, '75'!$F$2:$F$1142)</f>
        <v>no</v>
      </c>
    </row>
    <row r="304" spans="1:6" x14ac:dyDescent="0.45">
      <c r="A304" t="s">
        <v>616</v>
      </c>
      <c r="B304" t="s">
        <v>531</v>
      </c>
      <c r="C304">
        <v>57203169041</v>
      </c>
      <c r="D304">
        <v>58436524800</v>
      </c>
      <c r="E304">
        <v>80</v>
      </c>
      <c r="F304" t="str">
        <f>_xlfn.XLOOKUP(C304, '75'!$C$2:$C$1142, '75'!$F$2:$F$1142)</f>
        <v>no</v>
      </c>
    </row>
    <row r="305" spans="1:6" x14ac:dyDescent="0.45">
      <c r="A305" t="s">
        <v>595</v>
      </c>
      <c r="B305" t="s">
        <v>620</v>
      </c>
      <c r="C305">
        <v>57193577134</v>
      </c>
      <c r="D305">
        <v>58318064600</v>
      </c>
      <c r="E305">
        <v>82</v>
      </c>
      <c r="F305" t="str">
        <f>_xlfn.XLOOKUP(C305, '75'!$C$2:$C$1142, '75'!$F$2:$F$1142)</f>
        <v>no</v>
      </c>
    </row>
    <row r="306" spans="1:6" x14ac:dyDescent="0.45">
      <c r="A306" t="s">
        <v>573</v>
      </c>
      <c r="B306" t="s">
        <v>574</v>
      </c>
      <c r="C306">
        <v>57980252100</v>
      </c>
      <c r="D306">
        <v>57216867749</v>
      </c>
      <c r="E306">
        <v>86</v>
      </c>
      <c r="F306" t="str">
        <f>_xlfn.XLOOKUP(C306, '75'!$C$2:$C$1142, '75'!$F$2:$F$1142)</f>
        <v>no</v>
      </c>
    </row>
    <row r="307" spans="1:6" x14ac:dyDescent="0.45">
      <c r="A307" t="s">
        <v>573</v>
      </c>
      <c r="B307" t="s">
        <v>569</v>
      </c>
      <c r="C307">
        <v>57980252100</v>
      </c>
      <c r="D307">
        <v>59114291700</v>
      </c>
      <c r="E307">
        <v>80</v>
      </c>
      <c r="F307" t="str">
        <f>_xlfn.XLOOKUP(C307, '75'!$C$2:$C$1142, '75'!$F$2:$F$1142)</f>
        <v>no</v>
      </c>
    </row>
    <row r="308" spans="1:6" x14ac:dyDescent="0.45">
      <c r="A308" t="s">
        <v>621</v>
      </c>
      <c r="B308" t="s">
        <v>529</v>
      </c>
      <c r="C308">
        <v>57888134600</v>
      </c>
      <c r="D308">
        <v>57226790697</v>
      </c>
      <c r="E308">
        <v>82</v>
      </c>
      <c r="F308" t="str">
        <f>_xlfn.XLOOKUP(C308, '75'!$C$2:$C$1142, '75'!$F$2:$F$1142)</f>
        <v>no</v>
      </c>
    </row>
    <row r="309" spans="1:6" x14ac:dyDescent="0.45">
      <c r="A309" t="s">
        <v>574</v>
      </c>
      <c r="B309" t="s">
        <v>622</v>
      </c>
      <c r="C309">
        <v>57216867749</v>
      </c>
      <c r="D309">
        <v>59105333300</v>
      </c>
      <c r="E309">
        <v>78</v>
      </c>
      <c r="F309" t="str">
        <f>_xlfn.XLOOKUP(C309, '75'!$C$2:$C$1142, '75'!$F$2:$F$1142)</f>
        <v>no</v>
      </c>
    </row>
    <row r="310" spans="1:6" x14ac:dyDescent="0.45">
      <c r="A310" t="s">
        <v>623</v>
      </c>
      <c r="B310" t="s">
        <v>624</v>
      </c>
      <c r="C310">
        <v>57197841332</v>
      </c>
      <c r="D310">
        <v>58701988800</v>
      </c>
      <c r="E310">
        <v>86</v>
      </c>
      <c r="F310" t="str">
        <f>_xlfn.XLOOKUP(C310, '75'!$C$2:$C$1142, '75'!$F$2:$F$1142)</f>
        <v>no</v>
      </c>
    </row>
    <row r="311" spans="1:6" x14ac:dyDescent="0.45">
      <c r="A311" t="s">
        <v>590</v>
      </c>
      <c r="B311" t="s">
        <v>625</v>
      </c>
      <c r="C311">
        <v>57224091825</v>
      </c>
      <c r="D311">
        <v>59390171200</v>
      </c>
      <c r="E311">
        <v>82</v>
      </c>
      <c r="F311" t="str">
        <f>_xlfn.XLOOKUP(C311, '75'!$C$2:$C$1142, '75'!$F$2:$F$1142)</f>
        <v>no</v>
      </c>
    </row>
    <row r="312" spans="1:6" x14ac:dyDescent="0.45">
      <c r="A312" t="s">
        <v>543</v>
      </c>
      <c r="B312" t="s">
        <v>508</v>
      </c>
      <c r="C312">
        <v>57212311896</v>
      </c>
      <c r="D312">
        <v>57192301448</v>
      </c>
      <c r="E312">
        <v>78</v>
      </c>
      <c r="F312" t="str">
        <f>_xlfn.XLOOKUP(C312, '75'!$C$2:$C$1142, '75'!$F$2:$F$1142)</f>
        <v>no</v>
      </c>
    </row>
    <row r="313" spans="1:6" x14ac:dyDescent="0.45">
      <c r="A313" t="s">
        <v>494</v>
      </c>
      <c r="B313" t="s">
        <v>585</v>
      </c>
      <c r="C313">
        <v>57225184392</v>
      </c>
      <c r="D313">
        <v>57226157890</v>
      </c>
      <c r="E313">
        <v>78</v>
      </c>
      <c r="F313" t="str">
        <f>_xlfn.XLOOKUP(C313, '75'!$C$2:$C$1142, '75'!$F$2:$F$1142)</f>
        <v>no</v>
      </c>
    </row>
    <row r="314" spans="1:6" x14ac:dyDescent="0.45">
      <c r="A314" t="s">
        <v>627</v>
      </c>
      <c r="B314" t="s">
        <v>598</v>
      </c>
      <c r="C314">
        <v>57213395060</v>
      </c>
      <c r="D314">
        <v>57219825843</v>
      </c>
      <c r="E314">
        <v>89</v>
      </c>
      <c r="F314" t="str">
        <f>_xlfn.XLOOKUP(C314, '75'!$C$2:$C$1142, '75'!$F$2:$F$1142)</f>
        <v>no</v>
      </c>
    </row>
    <row r="315" spans="1:6" x14ac:dyDescent="0.45">
      <c r="A315" t="s">
        <v>553</v>
      </c>
      <c r="B315" t="s">
        <v>554</v>
      </c>
      <c r="C315">
        <v>57220551288</v>
      </c>
      <c r="D315">
        <v>58744569600</v>
      </c>
      <c r="E315">
        <v>78</v>
      </c>
      <c r="F315" t="str">
        <f>_xlfn.XLOOKUP(C315, '75'!$C$2:$C$1142, '75'!$F$2:$F$1142)</f>
        <v>no</v>
      </c>
    </row>
    <row r="316" spans="1:6" x14ac:dyDescent="0.45">
      <c r="A316" t="s">
        <v>553</v>
      </c>
      <c r="B316" t="s">
        <v>589</v>
      </c>
      <c r="C316">
        <v>57220551288</v>
      </c>
      <c r="D316">
        <v>57219524354</v>
      </c>
      <c r="E316">
        <v>78</v>
      </c>
      <c r="F316" t="str">
        <f>_xlfn.XLOOKUP(C316, '75'!$C$2:$C$1142, '75'!$F$2:$F$1142)</f>
        <v>no</v>
      </c>
    </row>
    <row r="317" spans="1:6" x14ac:dyDescent="0.45">
      <c r="A317" t="s">
        <v>585</v>
      </c>
      <c r="B317" t="s">
        <v>531</v>
      </c>
      <c r="C317">
        <v>57226157890</v>
      </c>
      <c r="D317">
        <v>58436524800</v>
      </c>
      <c r="E317">
        <v>88</v>
      </c>
      <c r="F317" t="str">
        <f>_xlfn.XLOOKUP(C317, '75'!$C$2:$C$1142, '75'!$F$2:$F$1142)</f>
        <v>no</v>
      </c>
    </row>
    <row r="318" spans="1:6" x14ac:dyDescent="0.45">
      <c r="A318" t="s">
        <v>632</v>
      </c>
      <c r="B318" t="s">
        <v>527</v>
      </c>
      <c r="C318">
        <v>57221698253</v>
      </c>
      <c r="D318">
        <v>57207946091</v>
      </c>
      <c r="E318">
        <v>86</v>
      </c>
      <c r="F318" t="str">
        <f>_xlfn.XLOOKUP(C318, '75'!$C$2:$C$1142, '75'!$F$2:$F$1142)</f>
        <v>no</v>
      </c>
    </row>
    <row r="319" spans="1:6" x14ac:dyDescent="0.45">
      <c r="A319" t="s">
        <v>508</v>
      </c>
      <c r="B319" t="s">
        <v>561</v>
      </c>
      <c r="C319">
        <v>57192301448</v>
      </c>
      <c r="D319">
        <v>57364393000</v>
      </c>
      <c r="E319">
        <v>80</v>
      </c>
      <c r="F319" t="str">
        <f>_xlfn.XLOOKUP(C319, '75'!$C$2:$C$1142, '75'!$F$2:$F$1142)</f>
        <v>no</v>
      </c>
    </row>
    <row r="320" spans="1:6" x14ac:dyDescent="0.45">
      <c r="A320" t="s">
        <v>531</v>
      </c>
      <c r="B320" t="s">
        <v>538</v>
      </c>
      <c r="C320">
        <v>58436524800</v>
      </c>
      <c r="D320">
        <v>57216939987</v>
      </c>
      <c r="E320">
        <v>86</v>
      </c>
      <c r="F320" t="str">
        <f>_xlfn.XLOOKUP(C320, '75'!$C$2:$C$1142, '75'!$F$2:$F$1142)</f>
        <v>no</v>
      </c>
    </row>
    <row r="321" spans="1:6" x14ac:dyDescent="0.45">
      <c r="A321" t="s">
        <v>561</v>
      </c>
      <c r="B321" t="s">
        <v>634</v>
      </c>
      <c r="C321">
        <v>57364393000</v>
      </c>
      <c r="D321">
        <v>57199453570</v>
      </c>
      <c r="E321">
        <v>83</v>
      </c>
      <c r="F321" t="str">
        <f>_xlfn.XLOOKUP(C321, '75'!$C$2:$C$1142, '75'!$F$2:$F$1142)</f>
        <v>no</v>
      </c>
    </row>
    <row r="322" spans="1:6" x14ac:dyDescent="0.45">
      <c r="A322" t="s">
        <v>526</v>
      </c>
      <c r="B322" t="s">
        <v>527</v>
      </c>
      <c r="C322">
        <v>59357212900</v>
      </c>
      <c r="D322">
        <v>57207946091</v>
      </c>
      <c r="E322">
        <v>88</v>
      </c>
      <c r="F322" t="str">
        <f>_xlfn.XLOOKUP(C322, '75'!$C$2:$C$1142, '75'!$F$2:$F$1142)</f>
        <v>no</v>
      </c>
    </row>
    <row r="323" spans="1:6" x14ac:dyDescent="0.45">
      <c r="A323" t="s">
        <v>635</v>
      </c>
      <c r="B323" t="s">
        <v>636</v>
      </c>
      <c r="C323">
        <v>55992234300</v>
      </c>
      <c r="D323">
        <v>59203928900</v>
      </c>
      <c r="E323">
        <v>89</v>
      </c>
      <c r="F323" t="str">
        <f>_xlfn.XLOOKUP(C323, '75'!$C$2:$C$1142, '75'!$F$2:$F$1142)</f>
        <v>ok</v>
      </c>
    </row>
    <row r="324" spans="1:6" x14ac:dyDescent="0.45">
      <c r="A324" t="s">
        <v>639</v>
      </c>
      <c r="B324" t="s">
        <v>640</v>
      </c>
      <c r="C324">
        <v>7404470908</v>
      </c>
      <c r="D324">
        <v>7404470812</v>
      </c>
      <c r="E324">
        <v>80</v>
      </c>
      <c r="F324" t="str">
        <f>_xlfn.XLOOKUP(C324, '75'!$C$2:$C$1142, '75'!$F$2:$F$1142)</f>
        <v>no</v>
      </c>
    </row>
    <row r="325" spans="1:6" x14ac:dyDescent="0.45">
      <c r="A325" t="s">
        <v>641</v>
      </c>
      <c r="B325" t="s">
        <v>642</v>
      </c>
      <c r="C325">
        <v>15750967800</v>
      </c>
      <c r="D325">
        <v>56659815100</v>
      </c>
      <c r="E325">
        <v>97</v>
      </c>
      <c r="F325" t="str">
        <f>_xlfn.XLOOKUP(C325, '75'!$C$2:$C$1142, '75'!$F$2:$F$1142)</f>
        <v>ok</v>
      </c>
    </row>
    <row r="326" spans="1:6" x14ac:dyDescent="0.45">
      <c r="A326" t="s">
        <v>643</v>
      </c>
      <c r="B326" t="s">
        <v>644</v>
      </c>
      <c r="C326">
        <v>57195053174</v>
      </c>
      <c r="D326">
        <v>59476001700</v>
      </c>
      <c r="E326">
        <v>80</v>
      </c>
      <c r="F326" t="str">
        <f>_xlfn.XLOOKUP(C326, '75'!$C$2:$C$1142, '75'!$F$2:$F$1142)</f>
        <v>no</v>
      </c>
    </row>
    <row r="327" spans="1:6" x14ac:dyDescent="0.45">
      <c r="A327" t="s">
        <v>645</v>
      </c>
      <c r="B327" t="s">
        <v>646</v>
      </c>
      <c r="C327">
        <v>23989040200</v>
      </c>
      <c r="D327">
        <v>6701750605</v>
      </c>
      <c r="E327">
        <v>81</v>
      </c>
      <c r="F327" t="str">
        <f>_xlfn.XLOOKUP(C327, '75'!$C$2:$C$1142, '75'!$F$2:$F$1142)</f>
        <v>no</v>
      </c>
    </row>
    <row r="328" spans="1:6" x14ac:dyDescent="0.45">
      <c r="A328" t="s">
        <v>647</v>
      </c>
      <c r="B328" t="s">
        <v>648</v>
      </c>
      <c r="C328">
        <v>55902950100</v>
      </c>
      <c r="D328">
        <v>57195625963</v>
      </c>
      <c r="E328">
        <v>78</v>
      </c>
      <c r="F328" t="str">
        <f>_xlfn.XLOOKUP(C328, '75'!$C$2:$C$1142, '75'!$F$2:$F$1142)</f>
        <v>no</v>
      </c>
    </row>
    <row r="329" spans="1:6" x14ac:dyDescent="0.45">
      <c r="A329" t="s">
        <v>649</v>
      </c>
      <c r="B329" t="s">
        <v>650</v>
      </c>
      <c r="C329">
        <v>57201983231</v>
      </c>
      <c r="D329">
        <v>59336031200</v>
      </c>
      <c r="E329">
        <v>81</v>
      </c>
      <c r="F329" t="str">
        <f>_xlfn.XLOOKUP(C329, '75'!$C$2:$C$1142, '75'!$F$2:$F$1142)</f>
        <v>ok</v>
      </c>
    </row>
    <row r="330" spans="1:6" x14ac:dyDescent="0.45">
      <c r="A330" t="s">
        <v>657</v>
      </c>
      <c r="B330" t="s">
        <v>658</v>
      </c>
      <c r="C330">
        <v>57211081438</v>
      </c>
      <c r="D330">
        <v>58958691400</v>
      </c>
      <c r="E330">
        <v>80</v>
      </c>
      <c r="F330" t="str">
        <f>_xlfn.XLOOKUP(C330, '75'!$C$2:$C$1142, '75'!$F$2:$F$1142)</f>
        <v>no</v>
      </c>
    </row>
    <row r="331" spans="1:6" x14ac:dyDescent="0.45">
      <c r="A331" t="s">
        <v>657</v>
      </c>
      <c r="B331" t="s">
        <v>659</v>
      </c>
      <c r="C331">
        <v>57211081438</v>
      </c>
      <c r="D331">
        <v>59126397000</v>
      </c>
      <c r="E331">
        <v>80</v>
      </c>
      <c r="F331" t="str">
        <f>_xlfn.XLOOKUP(C331, '75'!$C$2:$C$1142, '75'!$F$2:$F$1142)</f>
        <v>no</v>
      </c>
    </row>
    <row r="332" spans="1:6" x14ac:dyDescent="0.45">
      <c r="A332" t="s">
        <v>660</v>
      </c>
      <c r="B332" t="s">
        <v>661</v>
      </c>
      <c r="C332">
        <v>57202284106</v>
      </c>
      <c r="D332">
        <v>56659726600</v>
      </c>
      <c r="E332">
        <v>81</v>
      </c>
      <c r="F332" t="str">
        <f>_xlfn.XLOOKUP(C332, '75'!$C$2:$C$1142, '75'!$F$2:$F$1142)</f>
        <v>no</v>
      </c>
    </row>
    <row r="333" spans="1:6" x14ac:dyDescent="0.45">
      <c r="A333" t="s">
        <v>662</v>
      </c>
      <c r="B333" t="s">
        <v>663</v>
      </c>
      <c r="C333">
        <v>57188759610</v>
      </c>
      <c r="D333">
        <v>59159136000</v>
      </c>
      <c r="E333">
        <v>78</v>
      </c>
      <c r="F333" t="str">
        <f>_xlfn.XLOOKUP(C333, '75'!$C$2:$C$1142, '75'!$F$2:$F$1142)</f>
        <v>ok</v>
      </c>
    </row>
    <row r="334" spans="1:6" x14ac:dyDescent="0.45">
      <c r="A334" t="s">
        <v>666</v>
      </c>
      <c r="B334" t="s">
        <v>667</v>
      </c>
      <c r="C334">
        <v>35173508900</v>
      </c>
      <c r="D334">
        <v>59393740200</v>
      </c>
      <c r="E334">
        <v>94</v>
      </c>
      <c r="F334" t="str">
        <f>_xlfn.XLOOKUP(C334, '75'!$C$2:$C$1142, '75'!$F$2:$F$1142)</f>
        <v>ok</v>
      </c>
    </row>
    <row r="335" spans="1:6" x14ac:dyDescent="0.45">
      <c r="A335" t="s">
        <v>671</v>
      </c>
      <c r="B335" t="s">
        <v>672</v>
      </c>
      <c r="C335">
        <v>57188701186</v>
      </c>
      <c r="D335">
        <v>57194212166</v>
      </c>
      <c r="E335">
        <v>82</v>
      </c>
      <c r="F335" t="str">
        <f>_xlfn.XLOOKUP(C335, '75'!$C$2:$C$1142, '75'!$F$2:$F$1142)</f>
        <v>no</v>
      </c>
    </row>
    <row r="336" spans="1:6" x14ac:dyDescent="0.45">
      <c r="A336" t="s">
        <v>677</v>
      </c>
      <c r="B336" t="s">
        <v>678</v>
      </c>
      <c r="C336">
        <v>57579960200</v>
      </c>
      <c r="D336">
        <v>57920614500</v>
      </c>
      <c r="E336">
        <v>79</v>
      </c>
      <c r="F336" t="str">
        <f>_xlfn.XLOOKUP(C336, '75'!$C$2:$C$1142, '75'!$F$2:$F$1142)</f>
        <v>no</v>
      </c>
    </row>
    <row r="337" spans="1:6" x14ac:dyDescent="0.45">
      <c r="A337" t="s">
        <v>679</v>
      </c>
      <c r="B337" t="s">
        <v>680</v>
      </c>
      <c r="C337">
        <v>57204627910</v>
      </c>
      <c r="D337">
        <v>59552567400</v>
      </c>
      <c r="E337">
        <v>83</v>
      </c>
      <c r="F337" t="str">
        <f>_xlfn.XLOOKUP(C337, '75'!$C$2:$C$1142, '75'!$F$2:$F$1142)</f>
        <v>no</v>
      </c>
    </row>
    <row r="338" spans="1:6" x14ac:dyDescent="0.45">
      <c r="A338" t="s">
        <v>681</v>
      </c>
      <c r="B338" t="s">
        <v>652</v>
      </c>
      <c r="C338">
        <v>56374953000</v>
      </c>
      <c r="D338">
        <v>58067988900</v>
      </c>
      <c r="E338">
        <v>80</v>
      </c>
      <c r="F338" t="str">
        <f>_xlfn.XLOOKUP(C338, '75'!$C$2:$C$1142, '75'!$F$2:$F$1142)</f>
        <v>no</v>
      </c>
    </row>
    <row r="339" spans="1:6" x14ac:dyDescent="0.45">
      <c r="A339" t="s">
        <v>683</v>
      </c>
      <c r="B339" t="s">
        <v>684</v>
      </c>
      <c r="C339">
        <v>57826537700</v>
      </c>
      <c r="D339">
        <v>58860641200</v>
      </c>
      <c r="E339">
        <v>80</v>
      </c>
      <c r="F339" t="str">
        <f>_xlfn.XLOOKUP(C339, '75'!$C$2:$C$1142, '75'!$F$2:$F$1142)</f>
        <v>ok</v>
      </c>
    </row>
    <row r="340" spans="1:6" x14ac:dyDescent="0.45">
      <c r="A340" t="s">
        <v>683</v>
      </c>
      <c r="B340" t="s">
        <v>685</v>
      </c>
      <c r="C340">
        <v>57826537700</v>
      </c>
      <c r="D340">
        <v>57195583936</v>
      </c>
      <c r="E340">
        <v>80</v>
      </c>
      <c r="F340" t="str">
        <f>_xlfn.XLOOKUP(C340, '75'!$C$2:$C$1142, '75'!$F$2:$F$1142)</f>
        <v>ok</v>
      </c>
    </row>
    <row r="341" spans="1:6" x14ac:dyDescent="0.45">
      <c r="A341" t="s">
        <v>689</v>
      </c>
      <c r="B341" t="s">
        <v>690</v>
      </c>
      <c r="C341">
        <v>57205693725</v>
      </c>
      <c r="D341">
        <v>6504367566</v>
      </c>
      <c r="E341">
        <v>80</v>
      </c>
      <c r="F341" t="str">
        <f>_xlfn.XLOOKUP(C341, '75'!$C$2:$C$1142, '75'!$F$2:$F$1142)</f>
        <v>no</v>
      </c>
    </row>
    <row r="342" spans="1:6" x14ac:dyDescent="0.45">
      <c r="A342" t="s">
        <v>638</v>
      </c>
      <c r="B342" t="s">
        <v>693</v>
      </c>
      <c r="C342">
        <v>56697869300</v>
      </c>
      <c r="D342">
        <v>57204080026</v>
      </c>
      <c r="E342">
        <v>79</v>
      </c>
      <c r="F342" t="str">
        <f>_xlfn.XLOOKUP(C342, '75'!$C$2:$C$1142, '75'!$F$2:$F$1142)</f>
        <v>no</v>
      </c>
    </row>
    <row r="343" spans="1:6" x14ac:dyDescent="0.45">
      <c r="A343" t="s">
        <v>638</v>
      </c>
      <c r="B343" t="s">
        <v>694</v>
      </c>
      <c r="C343">
        <v>56697869300</v>
      </c>
      <c r="D343">
        <v>59710417000</v>
      </c>
      <c r="E343">
        <v>85</v>
      </c>
      <c r="F343" t="str">
        <f>_xlfn.XLOOKUP(C343, '75'!$C$2:$C$1142, '75'!$F$2:$F$1142)</f>
        <v>no</v>
      </c>
    </row>
    <row r="344" spans="1:6" x14ac:dyDescent="0.45">
      <c r="A344" t="s">
        <v>638</v>
      </c>
      <c r="B344" t="s">
        <v>695</v>
      </c>
      <c r="C344">
        <v>56697869300</v>
      </c>
      <c r="D344">
        <v>58573429900</v>
      </c>
      <c r="E344">
        <v>79</v>
      </c>
      <c r="F344" t="str">
        <f>_xlfn.XLOOKUP(C344, '75'!$C$2:$C$1142, '75'!$F$2:$F$1142)</f>
        <v>no</v>
      </c>
    </row>
    <row r="345" spans="1:6" x14ac:dyDescent="0.45">
      <c r="A345" t="s">
        <v>696</v>
      </c>
      <c r="B345" t="s">
        <v>697</v>
      </c>
      <c r="C345">
        <v>57219096600</v>
      </c>
      <c r="D345">
        <v>57223897530</v>
      </c>
      <c r="E345">
        <v>83</v>
      </c>
      <c r="F345" t="str">
        <f>_xlfn.XLOOKUP(C345, '75'!$C$2:$C$1142, '75'!$F$2:$F$1142)</f>
        <v>no</v>
      </c>
    </row>
    <row r="346" spans="1:6" x14ac:dyDescent="0.45">
      <c r="A346" t="s">
        <v>698</v>
      </c>
      <c r="B346" t="s">
        <v>699</v>
      </c>
      <c r="C346">
        <v>57219499119</v>
      </c>
      <c r="D346">
        <v>57229919200</v>
      </c>
      <c r="E346">
        <v>89</v>
      </c>
      <c r="F346" t="str">
        <f>_xlfn.XLOOKUP(C346, '75'!$C$2:$C$1142, '75'!$F$2:$F$1142)</f>
        <v>no</v>
      </c>
    </row>
    <row r="347" spans="1:6" x14ac:dyDescent="0.45">
      <c r="A347" t="s">
        <v>693</v>
      </c>
      <c r="B347" t="s">
        <v>694</v>
      </c>
      <c r="C347">
        <v>57204080026</v>
      </c>
      <c r="D347">
        <v>59710417000</v>
      </c>
      <c r="E347">
        <v>85</v>
      </c>
      <c r="F347" t="str">
        <f>_xlfn.XLOOKUP(C347, '75'!$C$2:$C$1142, '75'!$F$2:$F$1142)</f>
        <v>no</v>
      </c>
    </row>
    <row r="348" spans="1:6" x14ac:dyDescent="0.45">
      <c r="A348" t="s">
        <v>693</v>
      </c>
      <c r="B348" t="s">
        <v>700</v>
      </c>
      <c r="C348">
        <v>57204080026</v>
      </c>
      <c r="D348">
        <v>58770007400</v>
      </c>
      <c r="E348">
        <v>79</v>
      </c>
      <c r="F348" t="str">
        <f>_xlfn.XLOOKUP(C348, '75'!$C$2:$C$1142, '75'!$F$2:$F$1142)</f>
        <v>no</v>
      </c>
    </row>
    <row r="349" spans="1:6" x14ac:dyDescent="0.45">
      <c r="A349" t="s">
        <v>693</v>
      </c>
      <c r="B349" t="s">
        <v>695</v>
      </c>
      <c r="C349">
        <v>57204080026</v>
      </c>
      <c r="D349">
        <v>58573429900</v>
      </c>
      <c r="E349">
        <v>79</v>
      </c>
      <c r="F349" t="str">
        <f>_xlfn.XLOOKUP(C349, '75'!$C$2:$C$1142, '75'!$F$2:$F$1142)</f>
        <v>no</v>
      </c>
    </row>
    <row r="350" spans="1:6" x14ac:dyDescent="0.45">
      <c r="A350" t="s">
        <v>693</v>
      </c>
      <c r="B350" t="s">
        <v>670</v>
      </c>
      <c r="C350">
        <v>57204080026</v>
      </c>
      <c r="D350">
        <v>58137797100</v>
      </c>
      <c r="E350">
        <v>81</v>
      </c>
      <c r="F350" t="str">
        <f>_xlfn.XLOOKUP(C350, '75'!$C$2:$C$1142, '75'!$F$2:$F$1142)</f>
        <v>no</v>
      </c>
    </row>
    <row r="351" spans="1:6" x14ac:dyDescent="0.45">
      <c r="A351" t="s">
        <v>701</v>
      </c>
      <c r="B351" t="s">
        <v>702</v>
      </c>
      <c r="C351">
        <v>57552761800</v>
      </c>
      <c r="D351">
        <v>57211959097</v>
      </c>
      <c r="E351">
        <v>79</v>
      </c>
      <c r="F351" t="str">
        <f>_xlfn.XLOOKUP(C351, '75'!$C$2:$C$1142, '75'!$F$2:$F$1142)</f>
        <v>no</v>
      </c>
    </row>
    <row r="352" spans="1:6" x14ac:dyDescent="0.45">
      <c r="A352" t="s">
        <v>658</v>
      </c>
      <c r="B352" t="s">
        <v>659</v>
      </c>
      <c r="C352">
        <v>58958691400</v>
      </c>
      <c r="D352">
        <v>59126397000</v>
      </c>
      <c r="E352">
        <v>87</v>
      </c>
      <c r="F352" t="str">
        <f>_xlfn.XLOOKUP(C352, '75'!$C$2:$C$1142, '75'!$F$2:$F$1142)</f>
        <v>no</v>
      </c>
    </row>
    <row r="353" spans="1:6" x14ac:dyDescent="0.45">
      <c r="A353" t="s">
        <v>707</v>
      </c>
      <c r="B353" t="s">
        <v>708</v>
      </c>
      <c r="C353">
        <v>59332737300</v>
      </c>
      <c r="D353">
        <v>57216948333</v>
      </c>
      <c r="E353">
        <v>80</v>
      </c>
      <c r="F353" t="str">
        <f>_xlfn.XLOOKUP(C353, '75'!$C$2:$C$1142, '75'!$F$2:$F$1142)</f>
        <v>no</v>
      </c>
    </row>
    <row r="354" spans="1:6" x14ac:dyDescent="0.45">
      <c r="A354" t="s">
        <v>707</v>
      </c>
      <c r="B354" t="s">
        <v>709</v>
      </c>
      <c r="C354">
        <v>59332737300</v>
      </c>
      <c r="D354">
        <v>58481391200</v>
      </c>
      <c r="E354">
        <v>94</v>
      </c>
      <c r="F354" t="str">
        <f>_xlfn.XLOOKUP(C354, '75'!$C$2:$C$1142, '75'!$F$2:$F$1142)</f>
        <v>no</v>
      </c>
    </row>
    <row r="355" spans="1:6" x14ac:dyDescent="0.45">
      <c r="A355" t="s">
        <v>694</v>
      </c>
      <c r="B355" t="s">
        <v>670</v>
      </c>
      <c r="C355">
        <v>59710417000</v>
      </c>
      <c r="D355">
        <v>58137797100</v>
      </c>
      <c r="E355">
        <v>80</v>
      </c>
      <c r="F355" t="str">
        <f>_xlfn.XLOOKUP(C355, '75'!$C$2:$C$1142, '75'!$F$2:$F$1142)</f>
        <v>no</v>
      </c>
    </row>
    <row r="356" spans="1:6" x14ac:dyDescent="0.45">
      <c r="A356" t="s">
        <v>700</v>
      </c>
      <c r="B356" t="s">
        <v>695</v>
      </c>
      <c r="C356">
        <v>58770007400</v>
      </c>
      <c r="D356">
        <v>58573429900</v>
      </c>
      <c r="E356">
        <v>79</v>
      </c>
      <c r="F356" t="str">
        <f>_xlfn.XLOOKUP(C356, '75'!$C$2:$C$1142, '75'!$F$2:$F$1142)</f>
        <v>no</v>
      </c>
    </row>
    <row r="357" spans="1:6" x14ac:dyDescent="0.45">
      <c r="A357" t="s">
        <v>711</v>
      </c>
      <c r="B357" t="s">
        <v>712</v>
      </c>
      <c r="C357">
        <v>57201522180</v>
      </c>
      <c r="D357">
        <v>58808605400</v>
      </c>
      <c r="E357">
        <v>79</v>
      </c>
      <c r="F357" t="str">
        <f>_xlfn.XLOOKUP(C357, '75'!$C$2:$C$1142, '75'!$F$2:$F$1142)</f>
        <v>no</v>
      </c>
    </row>
    <row r="358" spans="1:6" x14ac:dyDescent="0.45">
      <c r="A358" t="s">
        <v>713</v>
      </c>
      <c r="B358" t="s">
        <v>714</v>
      </c>
      <c r="C358">
        <v>57219449940</v>
      </c>
      <c r="D358">
        <v>57210807569</v>
      </c>
      <c r="E358">
        <v>92</v>
      </c>
      <c r="F358" t="str">
        <f>_xlfn.XLOOKUP(C358, '75'!$C$2:$C$1142, '75'!$F$2:$F$1142)</f>
        <v>no</v>
      </c>
    </row>
    <row r="359" spans="1:6" x14ac:dyDescent="0.45">
      <c r="A359" t="s">
        <v>695</v>
      </c>
      <c r="B359" t="s">
        <v>670</v>
      </c>
      <c r="C359">
        <v>58573429900</v>
      </c>
      <c r="D359">
        <v>58137797100</v>
      </c>
      <c r="E359">
        <v>81</v>
      </c>
      <c r="F359" t="str">
        <f>_xlfn.XLOOKUP(C359, '75'!$C$2:$C$1142, '75'!$F$2:$F$1142)</f>
        <v>no</v>
      </c>
    </row>
    <row r="360" spans="1:6" x14ac:dyDescent="0.45">
      <c r="A360" t="s">
        <v>722</v>
      </c>
      <c r="B360" t="s">
        <v>723</v>
      </c>
      <c r="C360">
        <v>59710205500</v>
      </c>
      <c r="D360">
        <v>14045584100</v>
      </c>
      <c r="E360">
        <v>80</v>
      </c>
      <c r="F360" t="str">
        <f>_xlfn.XLOOKUP(C360, '75'!$C$2:$C$1142, '75'!$F$2:$F$1142)</f>
        <v>no</v>
      </c>
    </row>
    <row r="361" spans="1:6" x14ac:dyDescent="0.45">
      <c r="A361" t="s">
        <v>724</v>
      </c>
      <c r="B361" t="s">
        <v>721</v>
      </c>
      <c r="C361">
        <v>58105248500</v>
      </c>
      <c r="D361">
        <v>58179430600</v>
      </c>
      <c r="E361">
        <v>79</v>
      </c>
      <c r="F361" t="str">
        <f>_xlfn.XLOOKUP(C361, '75'!$C$2:$C$1142, '75'!$F$2:$F$1142)</f>
        <v>ok</v>
      </c>
    </row>
    <row r="362" spans="1:6" x14ac:dyDescent="0.45">
      <c r="A362" t="s">
        <v>725</v>
      </c>
      <c r="B362" t="s">
        <v>726</v>
      </c>
      <c r="C362">
        <v>56647738300</v>
      </c>
      <c r="D362">
        <v>58070953400</v>
      </c>
      <c r="E362">
        <v>97</v>
      </c>
      <c r="F362" t="str">
        <f>_xlfn.XLOOKUP(C362, '75'!$C$2:$C$1142, '75'!$F$2:$F$1142)</f>
        <v>ok</v>
      </c>
    </row>
    <row r="363" spans="1:6" x14ac:dyDescent="0.45">
      <c r="A363" t="s">
        <v>729</v>
      </c>
      <c r="B363" t="s">
        <v>730</v>
      </c>
      <c r="C363">
        <v>35227745700</v>
      </c>
      <c r="D363">
        <v>57202558154</v>
      </c>
      <c r="E363">
        <v>78</v>
      </c>
      <c r="F363" t="str">
        <f>_xlfn.XLOOKUP(C363, '75'!$C$2:$C$1142, '75'!$F$2:$F$1142)</f>
        <v>ok</v>
      </c>
    </row>
    <row r="364" spans="1:6" x14ac:dyDescent="0.45">
      <c r="A364" t="s">
        <v>729</v>
      </c>
      <c r="B364" t="s">
        <v>731</v>
      </c>
      <c r="C364">
        <v>35227745700</v>
      </c>
      <c r="D364">
        <v>57202570602</v>
      </c>
      <c r="E364">
        <v>82</v>
      </c>
      <c r="F364" t="str">
        <f>_xlfn.XLOOKUP(C364, '75'!$C$2:$C$1142, '75'!$F$2:$F$1142)</f>
        <v>ok</v>
      </c>
    </row>
    <row r="365" spans="1:6" x14ac:dyDescent="0.45">
      <c r="A365" t="s">
        <v>730</v>
      </c>
      <c r="B365" t="s">
        <v>731</v>
      </c>
      <c r="C365">
        <v>57202558154</v>
      </c>
      <c r="D365">
        <v>57202570602</v>
      </c>
      <c r="E365">
        <v>95</v>
      </c>
      <c r="F365" t="str">
        <f>_xlfn.XLOOKUP(C365, '75'!$C$2:$C$1142, '75'!$F$2:$F$1142)</f>
        <v>ok</v>
      </c>
    </row>
    <row r="366" spans="1:6" x14ac:dyDescent="0.45">
      <c r="A366" t="s">
        <v>734</v>
      </c>
      <c r="B366" t="s">
        <v>735</v>
      </c>
      <c r="C366">
        <v>57219467977</v>
      </c>
      <c r="D366">
        <v>43461611700</v>
      </c>
      <c r="E366">
        <v>97</v>
      </c>
      <c r="F366" t="str">
        <f>_xlfn.XLOOKUP(C366, '75'!$C$2:$C$1142, '75'!$F$2:$F$1142)</f>
        <v>ok</v>
      </c>
    </row>
    <row r="367" spans="1:6" x14ac:dyDescent="0.45">
      <c r="A367" t="s">
        <v>736</v>
      </c>
      <c r="B367" t="s">
        <v>733</v>
      </c>
      <c r="C367">
        <v>57213737060</v>
      </c>
      <c r="D367">
        <v>57647220300</v>
      </c>
      <c r="E367">
        <v>96</v>
      </c>
      <c r="F367" t="str">
        <f>_xlfn.XLOOKUP(C367, '75'!$C$2:$C$1142, '75'!$F$2:$F$1142)</f>
        <v>ok</v>
      </c>
    </row>
    <row r="368" spans="1:6" x14ac:dyDescent="0.45">
      <c r="A368" t="s">
        <v>737</v>
      </c>
      <c r="B368" t="s">
        <v>738</v>
      </c>
      <c r="C368">
        <v>57198433638</v>
      </c>
      <c r="D368">
        <v>57221371161</v>
      </c>
      <c r="E368">
        <v>97</v>
      </c>
      <c r="F368" t="str">
        <f>_xlfn.XLOOKUP(C368, '75'!$C$2:$C$1142, '75'!$F$2:$F$1142)</f>
        <v>ok</v>
      </c>
    </row>
    <row r="369" spans="1:6" x14ac:dyDescent="0.45">
      <c r="A369" t="s">
        <v>739</v>
      </c>
      <c r="B369" t="s">
        <v>740</v>
      </c>
      <c r="C369">
        <v>59124444900</v>
      </c>
      <c r="D369">
        <v>58862940500</v>
      </c>
      <c r="E369">
        <v>94</v>
      </c>
      <c r="F369" t="str">
        <f>_xlfn.XLOOKUP(C369, '75'!$C$2:$C$1142, '75'!$F$2:$F$1142)</f>
        <v>ok</v>
      </c>
    </row>
    <row r="370" spans="1:6" x14ac:dyDescent="0.45">
      <c r="A370" t="s">
        <v>741</v>
      </c>
      <c r="B370" t="s">
        <v>742</v>
      </c>
      <c r="C370">
        <v>24466885300</v>
      </c>
      <c r="D370">
        <v>57209368500</v>
      </c>
      <c r="E370">
        <v>98</v>
      </c>
      <c r="F370" t="str">
        <f>_xlfn.XLOOKUP(C370, '75'!$C$2:$C$1142, '75'!$F$2:$F$1142)</f>
        <v>ok</v>
      </c>
    </row>
    <row r="371" spans="1:6" x14ac:dyDescent="0.45">
      <c r="A371" t="s">
        <v>743</v>
      </c>
      <c r="B371" t="s">
        <v>744</v>
      </c>
      <c r="C371">
        <v>57214225625</v>
      </c>
      <c r="D371">
        <v>57222108764</v>
      </c>
      <c r="E371">
        <v>98</v>
      </c>
      <c r="F371" t="str">
        <f>_xlfn.XLOOKUP(C371, '75'!$C$2:$C$1142, '75'!$F$2:$F$1142)</f>
        <v>ok</v>
      </c>
    </row>
    <row r="372" spans="1:6" x14ac:dyDescent="0.45">
      <c r="A372" t="s">
        <v>743</v>
      </c>
      <c r="B372" t="s">
        <v>745</v>
      </c>
      <c r="C372">
        <v>57214225625</v>
      </c>
      <c r="D372">
        <v>57221995059</v>
      </c>
      <c r="E372">
        <v>98</v>
      </c>
      <c r="F372" t="str">
        <f>_xlfn.XLOOKUP(C372, '75'!$C$2:$C$1142, '75'!$F$2:$F$1142)</f>
        <v>ok</v>
      </c>
    </row>
    <row r="373" spans="1:6" x14ac:dyDescent="0.45">
      <c r="A373" t="s">
        <v>744</v>
      </c>
      <c r="B373" t="s">
        <v>745</v>
      </c>
      <c r="C373">
        <v>57222108764</v>
      </c>
      <c r="D373">
        <v>57221995059</v>
      </c>
      <c r="E373">
        <v>96</v>
      </c>
      <c r="F373" t="str">
        <f>_xlfn.XLOOKUP(C373, '75'!$C$2:$C$1142, '75'!$F$2:$F$1142)</f>
        <v>ok</v>
      </c>
    </row>
    <row r="374" spans="1:6" x14ac:dyDescent="0.45">
      <c r="A374" t="s">
        <v>746</v>
      </c>
      <c r="B374" t="s">
        <v>747</v>
      </c>
      <c r="C374">
        <v>58504367700</v>
      </c>
      <c r="D374">
        <v>58749655300</v>
      </c>
      <c r="E374">
        <v>97</v>
      </c>
      <c r="F374" t="str">
        <f>_xlfn.XLOOKUP(C374, '75'!$C$2:$C$1142, '75'!$F$2:$F$1142)</f>
        <v>ok</v>
      </c>
    </row>
    <row r="375" spans="1:6" x14ac:dyDescent="0.45">
      <c r="A375" t="s">
        <v>750</v>
      </c>
      <c r="B375" t="s">
        <v>751</v>
      </c>
      <c r="C375">
        <v>57930054900</v>
      </c>
      <c r="D375">
        <v>57917711700</v>
      </c>
      <c r="E375">
        <v>80</v>
      </c>
      <c r="F375" t="str">
        <f>_xlfn.XLOOKUP(C375, '75'!$C$2:$C$1142, '75'!$F$2:$F$1142)</f>
        <v>ok</v>
      </c>
    </row>
    <row r="376" spans="1:6" x14ac:dyDescent="0.45">
      <c r="A376" t="s">
        <v>752</v>
      </c>
      <c r="B376" t="s">
        <v>753</v>
      </c>
      <c r="C376">
        <v>57189261670</v>
      </c>
      <c r="D376">
        <v>57670607700</v>
      </c>
      <c r="E376">
        <v>97</v>
      </c>
      <c r="F376" t="str">
        <f>_xlfn.XLOOKUP(C376, '75'!$C$2:$C$1142, '75'!$F$2:$F$1142)</f>
        <v>ok</v>
      </c>
    </row>
    <row r="377" spans="1:6" x14ac:dyDescent="0.45">
      <c r="A377" t="s">
        <v>754</v>
      </c>
      <c r="B377" t="s">
        <v>755</v>
      </c>
      <c r="C377">
        <v>58494532600</v>
      </c>
      <c r="D377">
        <v>58555668700</v>
      </c>
      <c r="E377">
        <v>94</v>
      </c>
      <c r="F377" t="str">
        <f>_xlfn.XLOOKUP(C377, '75'!$C$2:$C$1142, '75'!$F$2:$F$1142)</f>
        <v>ok</v>
      </c>
    </row>
    <row r="378" spans="1:6" x14ac:dyDescent="0.45">
      <c r="A378" t="s">
        <v>756</v>
      </c>
      <c r="B378" t="s">
        <v>757</v>
      </c>
      <c r="C378">
        <v>57208216498</v>
      </c>
      <c r="D378">
        <v>57208378019</v>
      </c>
      <c r="E378">
        <v>84</v>
      </c>
      <c r="F378" t="str">
        <f>_xlfn.XLOOKUP(C378, '75'!$C$2:$C$1142, '75'!$F$2:$F$1142)</f>
        <v>no</v>
      </c>
    </row>
    <row r="379" spans="1:6" x14ac:dyDescent="0.45">
      <c r="A379" t="s">
        <v>756</v>
      </c>
      <c r="B379" t="s">
        <v>758</v>
      </c>
      <c r="C379">
        <v>57208216498</v>
      </c>
      <c r="D379">
        <v>57703123400</v>
      </c>
      <c r="E379">
        <v>96</v>
      </c>
      <c r="F379" t="str">
        <f>_xlfn.XLOOKUP(C379, '75'!$C$2:$C$1142, '75'!$F$2:$F$1142)</f>
        <v>no</v>
      </c>
    </row>
    <row r="380" spans="1:6" x14ac:dyDescent="0.45">
      <c r="A380" t="s">
        <v>759</v>
      </c>
      <c r="B380" t="s">
        <v>760</v>
      </c>
      <c r="C380">
        <v>55574841700</v>
      </c>
      <c r="D380">
        <v>57980438600</v>
      </c>
      <c r="E380">
        <v>81</v>
      </c>
      <c r="F380" t="str">
        <f>_xlfn.XLOOKUP(C380, '75'!$C$2:$C$1142, '75'!$F$2:$F$1142)</f>
        <v>no</v>
      </c>
    </row>
    <row r="381" spans="1:6" x14ac:dyDescent="0.45">
      <c r="A381" t="s">
        <v>766</v>
      </c>
      <c r="B381" t="s">
        <v>767</v>
      </c>
      <c r="C381">
        <v>6602329029</v>
      </c>
      <c r="D381">
        <v>57226822784</v>
      </c>
      <c r="E381">
        <v>93</v>
      </c>
      <c r="F381" t="str">
        <f>_xlfn.XLOOKUP(C381, '75'!$C$2:$C$1142, '75'!$F$2:$F$1142)</f>
        <v>ok</v>
      </c>
    </row>
    <row r="382" spans="1:6" x14ac:dyDescent="0.45">
      <c r="A382" t="s">
        <v>768</v>
      </c>
      <c r="B382" t="s">
        <v>769</v>
      </c>
      <c r="C382">
        <v>7101852204</v>
      </c>
      <c r="D382">
        <v>57222023487</v>
      </c>
      <c r="E382">
        <v>79</v>
      </c>
      <c r="F382" t="str">
        <f>_xlfn.XLOOKUP(C382, '75'!$C$2:$C$1142, '75'!$F$2:$F$1142)</f>
        <v>no</v>
      </c>
    </row>
    <row r="383" spans="1:6" x14ac:dyDescent="0.45">
      <c r="A383" t="s">
        <v>770</v>
      </c>
      <c r="B383" t="s">
        <v>771</v>
      </c>
      <c r="C383">
        <v>6603714197</v>
      </c>
      <c r="D383">
        <v>57226611490</v>
      </c>
      <c r="E383">
        <v>78</v>
      </c>
      <c r="F383" t="str">
        <f>_xlfn.XLOOKUP(C383, '75'!$C$2:$C$1142, '75'!$F$2:$F$1142)</f>
        <v>no</v>
      </c>
    </row>
    <row r="384" spans="1:6" x14ac:dyDescent="0.45">
      <c r="A384" t="s">
        <v>772</v>
      </c>
      <c r="B384" t="s">
        <v>773</v>
      </c>
      <c r="C384">
        <v>22935412100</v>
      </c>
      <c r="D384">
        <v>57213423036</v>
      </c>
      <c r="E384">
        <v>80</v>
      </c>
      <c r="F384" t="str">
        <f>_xlfn.XLOOKUP(C384, '75'!$C$2:$C$1142, '75'!$F$2:$F$1142)</f>
        <v>no</v>
      </c>
    </row>
    <row r="385" spans="1:6" x14ac:dyDescent="0.45">
      <c r="A385" t="s">
        <v>772</v>
      </c>
      <c r="B385" t="s">
        <v>774</v>
      </c>
      <c r="C385">
        <v>22935412100</v>
      </c>
      <c r="D385">
        <v>35332915800</v>
      </c>
      <c r="E385">
        <v>78</v>
      </c>
      <c r="F385" t="str">
        <f>_xlfn.XLOOKUP(C385, '75'!$C$2:$C$1142, '75'!$F$2:$F$1142)</f>
        <v>no</v>
      </c>
    </row>
    <row r="386" spans="1:6" x14ac:dyDescent="0.45">
      <c r="A386" t="s">
        <v>775</v>
      </c>
      <c r="B386" t="s">
        <v>776</v>
      </c>
      <c r="C386">
        <v>57206859910</v>
      </c>
      <c r="D386">
        <v>57219663938</v>
      </c>
      <c r="E386">
        <v>83</v>
      </c>
      <c r="F386" t="str">
        <f>_xlfn.XLOOKUP(C386, '75'!$C$2:$C$1142, '75'!$F$2:$F$1142)</f>
        <v>no</v>
      </c>
    </row>
    <row r="387" spans="1:6" x14ac:dyDescent="0.45">
      <c r="A387" t="s">
        <v>777</v>
      </c>
      <c r="B387" t="s">
        <v>778</v>
      </c>
      <c r="C387">
        <v>57202573923</v>
      </c>
      <c r="D387">
        <v>57219000400</v>
      </c>
      <c r="E387">
        <v>80</v>
      </c>
      <c r="F387" t="str">
        <f>_xlfn.XLOOKUP(C387, '75'!$C$2:$C$1142, '75'!$F$2:$F$1142)</f>
        <v>no</v>
      </c>
    </row>
    <row r="388" spans="1:6" x14ac:dyDescent="0.45">
      <c r="A388" t="s">
        <v>781</v>
      </c>
      <c r="B388" t="s">
        <v>782</v>
      </c>
      <c r="C388">
        <v>57205739301</v>
      </c>
      <c r="D388">
        <v>16425729300</v>
      </c>
      <c r="E388">
        <v>80</v>
      </c>
      <c r="F388" t="str">
        <f>_xlfn.XLOOKUP(C388, '75'!$C$2:$C$1142, '75'!$F$2:$F$1142)</f>
        <v>no</v>
      </c>
    </row>
    <row r="389" spans="1:6" x14ac:dyDescent="0.45">
      <c r="A389" t="s">
        <v>781</v>
      </c>
      <c r="B389" t="s">
        <v>783</v>
      </c>
      <c r="C389">
        <v>57205739301</v>
      </c>
      <c r="D389">
        <v>7202288223</v>
      </c>
      <c r="E389">
        <v>82</v>
      </c>
      <c r="F389" t="str">
        <f>_xlfn.XLOOKUP(C389, '75'!$C$2:$C$1142, '75'!$F$2:$F$1142)</f>
        <v>no</v>
      </c>
    </row>
    <row r="390" spans="1:6" x14ac:dyDescent="0.45">
      <c r="A390" t="s">
        <v>762</v>
      </c>
      <c r="B390" t="s">
        <v>763</v>
      </c>
      <c r="C390">
        <v>57205682246</v>
      </c>
      <c r="D390">
        <v>58740176100</v>
      </c>
      <c r="E390">
        <v>92</v>
      </c>
      <c r="F390" t="str">
        <f>_xlfn.XLOOKUP(C390, '75'!$C$2:$C$1142, '75'!$F$2:$F$1142)</f>
        <v>no</v>
      </c>
    </row>
    <row r="391" spans="1:6" x14ac:dyDescent="0.45">
      <c r="A391" t="s">
        <v>784</v>
      </c>
      <c r="B391" t="s">
        <v>785</v>
      </c>
      <c r="C391">
        <v>58317356300</v>
      </c>
      <c r="D391">
        <v>59768676500</v>
      </c>
      <c r="E391">
        <v>84</v>
      </c>
      <c r="F391" t="str">
        <f>_xlfn.XLOOKUP(C391, '75'!$C$2:$C$1142, '75'!$F$2:$F$1142)</f>
        <v>ok</v>
      </c>
    </row>
    <row r="392" spans="1:6" x14ac:dyDescent="0.45">
      <c r="A392" t="s">
        <v>757</v>
      </c>
      <c r="B392" t="s">
        <v>758</v>
      </c>
      <c r="C392">
        <v>57208378019</v>
      </c>
      <c r="D392">
        <v>57703123400</v>
      </c>
      <c r="E392">
        <v>80</v>
      </c>
      <c r="F392" t="str">
        <f>_xlfn.XLOOKUP(C392, '75'!$C$2:$C$1142, '75'!$F$2:$F$1142)</f>
        <v>no</v>
      </c>
    </row>
    <row r="393" spans="1:6" x14ac:dyDescent="0.45">
      <c r="A393" t="s">
        <v>786</v>
      </c>
      <c r="B393" t="s">
        <v>774</v>
      </c>
      <c r="C393">
        <v>57210949071</v>
      </c>
      <c r="D393">
        <v>35332915800</v>
      </c>
      <c r="E393">
        <v>92</v>
      </c>
      <c r="F393" t="str">
        <f>_xlfn.XLOOKUP(C393, '75'!$C$2:$C$1142, '75'!$F$2:$F$1142)</f>
        <v>no</v>
      </c>
    </row>
    <row r="394" spans="1:6" x14ac:dyDescent="0.45">
      <c r="A394" t="s">
        <v>787</v>
      </c>
      <c r="B394" t="s">
        <v>788</v>
      </c>
      <c r="C394">
        <v>57219005299</v>
      </c>
      <c r="D394">
        <v>59586745100</v>
      </c>
      <c r="E394">
        <v>80</v>
      </c>
      <c r="F394" t="str">
        <f>_xlfn.XLOOKUP(C394, '75'!$C$2:$C$1142, '75'!$F$2:$F$1142)</f>
        <v>no</v>
      </c>
    </row>
    <row r="395" spans="1:6" x14ac:dyDescent="0.45">
      <c r="A395" t="s">
        <v>789</v>
      </c>
      <c r="B395" t="s">
        <v>790</v>
      </c>
      <c r="C395">
        <v>59155485000</v>
      </c>
      <c r="D395">
        <v>57219910435</v>
      </c>
      <c r="E395">
        <v>78</v>
      </c>
      <c r="F395" t="str">
        <f>_xlfn.XLOOKUP(C395, '75'!$C$2:$C$1142, '75'!$F$2:$F$1142)</f>
        <v>no</v>
      </c>
    </row>
    <row r="396" spans="1:6" x14ac:dyDescent="0.45">
      <c r="A396" t="s">
        <v>790</v>
      </c>
      <c r="B396" t="s">
        <v>788</v>
      </c>
      <c r="C396">
        <v>57219910435</v>
      </c>
      <c r="D396">
        <v>59586745100</v>
      </c>
      <c r="E396">
        <v>78</v>
      </c>
      <c r="F396" t="str">
        <f>_xlfn.XLOOKUP(C396, '75'!$C$2:$C$1142, '75'!$F$2:$F$1142)</f>
        <v>no</v>
      </c>
    </row>
    <row r="397" spans="1:6" x14ac:dyDescent="0.45">
      <c r="A397" t="s">
        <v>793</v>
      </c>
      <c r="B397" t="s">
        <v>794</v>
      </c>
      <c r="C397">
        <v>7003880452</v>
      </c>
      <c r="D397">
        <v>57271323300</v>
      </c>
      <c r="E397">
        <v>91</v>
      </c>
      <c r="F397" t="str">
        <f>_xlfn.XLOOKUP(C397, '75'!$C$2:$C$1142, '75'!$F$2:$F$1142)</f>
        <v>ok</v>
      </c>
    </row>
    <row r="398" spans="1:6" x14ac:dyDescent="0.45">
      <c r="A398" t="s">
        <v>795</v>
      </c>
      <c r="B398" t="s">
        <v>796</v>
      </c>
      <c r="C398">
        <v>6701849102</v>
      </c>
      <c r="D398">
        <v>59624866300</v>
      </c>
      <c r="E398">
        <v>93</v>
      </c>
      <c r="F398" t="str">
        <f>_xlfn.XLOOKUP(C398, '75'!$C$2:$C$1142, '75'!$F$2:$F$1142)</f>
        <v>ok</v>
      </c>
    </row>
    <row r="399" spans="1:6" x14ac:dyDescent="0.45">
      <c r="A399" t="s">
        <v>795</v>
      </c>
      <c r="B399" t="s">
        <v>797</v>
      </c>
      <c r="C399">
        <v>6701849102</v>
      </c>
      <c r="D399">
        <v>57998650100</v>
      </c>
      <c r="E399">
        <v>90</v>
      </c>
      <c r="F399" t="str">
        <f>_xlfn.XLOOKUP(C399, '75'!$C$2:$C$1142, '75'!$F$2:$F$1142)</f>
        <v>ok</v>
      </c>
    </row>
    <row r="400" spans="1:6" x14ac:dyDescent="0.45">
      <c r="A400" t="s">
        <v>802</v>
      </c>
      <c r="B400" t="s">
        <v>803</v>
      </c>
      <c r="C400">
        <v>57501924000</v>
      </c>
      <c r="D400">
        <v>26035289600</v>
      </c>
      <c r="E400">
        <v>87</v>
      </c>
      <c r="F400" t="str">
        <f>_xlfn.XLOOKUP(C400, '75'!$C$2:$C$1142, '75'!$F$2:$F$1142)</f>
        <v>no</v>
      </c>
    </row>
    <row r="401" spans="1:6" x14ac:dyDescent="0.45">
      <c r="A401" t="s">
        <v>796</v>
      </c>
      <c r="B401" t="s">
        <v>797</v>
      </c>
      <c r="C401">
        <v>59624866300</v>
      </c>
      <c r="D401">
        <v>57998650100</v>
      </c>
      <c r="E401">
        <v>97</v>
      </c>
      <c r="F401" t="str">
        <f>_xlfn.XLOOKUP(C401, '75'!$C$2:$C$1142, '75'!$F$2:$F$1142)</f>
        <v>ok</v>
      </c>
    </row>
    <row r="402" spans="1:6" x14ac:dyDescent="0.45">
      <c r="A402" t="s">
        <v>804</v>
      </c>
      <c r="B402" t="s">
        <v>805</v>
      </c>
      <c r="C402">
        <v>59796861400</v>
      </c>
      <c r="D402">
        <v>57205191523</v>
      </c>
      <c r="E402">
        <v>78</v>
      </c>
      <c r="F402" t="str">
        <f>_xlfn.XLOOKUP(C402, '75'!$C$2:$C$1142, '75'!$F$2:$F$1142)</f>
        <v>ok</v>
      </c>
    </row>
    <row r="403" spans="1:6" x14ac:dyDescent="0.45">
      <c r="A403" t="s">
        <v>806</v>
      </c>
      <c r="B403" t="s">
        <v>807</v>
      </c>
      <c r="C403">
        <v>6603622358</v>
      </c>
      <c r="D403">
        <v>58554273300</v>
      </c>
      <c r="E403">
        <v>94</v>
      </c>
      <c r="F403" t="str">
        <f>_xlfn.XLOOKUP(C403, '75'!$C$2:$C$1142, '75'!$F$2:$F$1142)</f>
        <v>ok</v>
      </c>
    </row>
    <row r="404" spans="1:6" x14ac:dyDescent="0.45">
      <c r="A404" t="s">
        <v>810</v>
      </c>
      <c r="B404" t="s">
        <v>811</v>
      </c>
      <c r="C404">
        <v>57222201980</v>
      </c>
      <c r="D404">
        <v>56372705700</v>
      </c>
      <c r="E404">
        <v>87</v>
      </c>
      <c r="F404" t="str">
        <f>_xlfn.XLOOKUP(C404, '75'!$C$2:$C$1142, '75'!$F$2:$F$1142)</f>
        <v>no</v>
      </c>
    </row>
    <row r="405" spans="1:6" x14ac:dyDescent="0.45">
      <c r="A405" t="s">
        <v>816</v>
      </c>
      <c r="B405" t="s">
        <v>817</v>
      </c>
      <c r="C405">
        <v>55902405400</v>
      </c>
      <c r="D405">
        <v>59245189400</v>
      </c>
      <c r="E405">
        <v>93</v>
      </c>
      <c r="F405" t="str">
        <f>_xlfn.XLOOKUP(C405, '75'!$C$2:$C$1142, '75'!$F$2:$F$1142)</f>
        <v>ok</v>
      </c>
    </row>
    <row r="406" spans="1:6" x14ac:dyDescent="0.45">
      <c r="A406" t="s">
        <v>820</v>
      </c>
      <c r="B406" t="s">
        <v>821</v>
      </c>
      <c r="C406">
        <v>6602954500</v>
      </c>
      <c r="D406">
        <v>58222269900</v>
      </c>
      <c r="E406">
        <v>91</v>
      </c>
      <c r="F406" t="str">
        <f>_xlfn.XLOOKUP(C406, '75'!$C$2:$C$1142, '75'!$F$2:$F$1142)</f>
        <v>ok</v>
      </c>
    </row>
    <row r="407" spans="1:6" x14ac:dyDescent="0.45">
      <c r="A407" t="s">
        <v>822</v>
      </c>
      <c r="B407" t="s">
        <v>823</v>
      </c>
      <c r="C407">
        <v>32868158100</v>
      </c>
      <c r="D407">
        <v>57996986400</v>
      </c>
      <c r="E407">
        <v>96</v>
      </c>
      <c r="F407" t="str">
        <f>_xlfn.XLOOKUP(C407, '75'!$C$2:$C$1142, '75'!$F$2:$F$1142)</f>
        <v>ok</v>
      </c>
    </row>
    <row r="408" spans="1:6" x14ac:dyDescent="0.45">
      <c r="A408" t="s">
        <v>824</v>
      </c>
      <c r="B408" t="s">
        <v>825</v>
      </c>
      <c r="C408">
        <v>57224537695</v>
      </c>
      <c r="D408">
        <v>57711933000</v>
      </c>
      <c r="E408">
        <v>80</v>
      </c>
      <c r="F408" t="str">
        <f>_xlfn.XLOOKUP(C408, '75'!$C$2:$C$1142, '75'!$F$2:$F$1142)</f>
        <v>no</v>
      </c>
    </row>
    <row r="409" spans="1:6" x14ac:dyDescent="0.45">
      <c r="A409" t="s">
        <v>828</v>
      </c>
      <c r="B409" t="s">
        <v>829</v>
      </c>
      <c r="C409">
        <v>57193081269</v>
      </c>
      <c r="D409">
        <v>57433371100</v>
      </c>
      <c r="E409">
        <v>79</v>
      </c>
      <c r="F409" t="str">
        <f>_xlfn.XLOOKUP(C409, '75'!$C$2:$C$1142, '75'!$F$2:$F$1142)</f>
        <v>no</v>
      </c>
    </row>
    <row r="410" spans="1:6" x14ac:dyDescent="0.45">
      <c r="A410" t="s">
        <v>830</v>
      </c>
      <c r="B410" t="s">
        <v>831</v>
      </c>
      <c r="C410">
        <v>57125678000</v>
      </c>
      <c r="D410">
        <v>58861128600</v>
      </c>
      <c r="E410">
        <v>79</v>
      </c>
      <c r="F410" t="str">
        <f>_xlfn.XLOOKUP(C410, '75'!$C$2:$C$1142, '75'!$F$2:$F$1142)</f>
        <v>no</v>
      </c>
    </row>
    <row r="411" spans="1:6" x14ac:dyDescent="0.45">
      <c r="A411" t="s">
        <v>832</v>
      </c>
      <c r="B411" t="s">
        <v>833</v>
      </c>
      <c r="C411">
        <v>55364826400</v>
      </c>
      <c r="D411">
        <v>57955058600</v>
      </c>
      <c r="E411">
        <v>80</v>
      </c>
      <c r="F411" t="str">
        <f>_xlfn.XLOOKUP(C411, '75'!$C$2:$C$1142, '75'!$F$2:$F$1142)</f>
        <v>no</v>
      </c>
    </row>
    <row r="412" spans="1:6" x14ac:dyDescent="0.45">
      <c r="A412" t="s">
        <v>834</v>
      </c>
      <c r="B412" t="s">
        <v>835</v>
      </c>
      <c r="C412">
        <v>36488788000</v>
      </c>
      <c r="D412">
        <v>57218847212</v>
      </c>
      <c r="E412">
        <v>82</v>
      </c>
      <c r="F412" t="str">
        <f>_xlfn.XLOOKUP(C412, '75'!$C$2:$C$1142, '75'!$F$2:$F$1142)</f>
        <v>no</v>
      </c>
    </row>
    <row r="413" spans="1:6" x14ac:dyDescent="0.45">
      <c r="A413" t="s">
        <v>837</v>
      </c>
      <c r="B413" t="s">
        <v>838</v>
      </c>
      <c r="C413">
        <v>41862484700</v>
      </c>
      <c r="D413">
        <v>59225858600</v>
      </c>
      <c r="E413">
        <v>86</v>
      </c>
      <c r="F413" t="str">
        <f>_xlfn.XLOOKUP(C413, '75'!$C$2:$C$1142, '75'!$F$2:$F$1142)</f>
        <v>no</v>
      </c>
    </row>
    <row r="414" spans="1:6" x14ac:dyDescent="0.45">
      <c r="A414" t="s">
        <v>843</v>
      </c>
      <c r="B414" t="s">
        <v>844</v>
      </c>
      <c r="C414">
        <v>57191226728</v>
      </c>
      <c r="D414">
        <v>57225935027</v>
      </c>
      <c r="E414">
        <v>78</v>
      </c>
      <c r="F414" t="str">
        <f>_xlfn.XLOOKUP(C414, '75'!$C$2:$C$1142, '75'!$F$2:$F$1142)</f>
        <v>no</v>
      </c>
    </row>
    <row r="415" spans="1:6" x14ac:dyDescent="0.45">
      <c r="A415" t="s">
        <v>847</v>
      </c>
      <c r="B415" t="s">
        <v>849</v>
      </c>
      <c r="C415">
        <v>56127029700</v>
      </c>
      <c r="D415">
        <v>57199073910</v>
      </c>
      <c r="E415">
        <v>78</v>
      </c>
      <c r="F415" t="str">
        <f>_xlfn.XLOOKUP(C415, '75'!$C$2:$C$1142, '75'!$F$2:$F$1142)</f>
        <v>no</v>
      </c>
    </row>
    <row r="416" spans="1:6" x14ac:dyDescent="0.45">
      <c r="A416" t="s">
        <v>850</v>
      </c>
      <c r="B416" t="s">
        <v>851</v>
      </c>
      <c r="C416">
        <v>7101617400</v>
      </c>
      <c r="D416">
        <v>57419543300</v>
      </c>
      <c r="E416">
        <v>87</v>
      </c>
      <c r="F416" t="str">
        <f>_xlfn.XLOOKUP(C416, '75'!$C$2:$C$1142, '75'!$F$2:$F$1142)</f>
        <v>ok</v>
      </c>
    </row>
    <row r="417" spans="1:6" x14ac:dyDescent="0.45">
      <c r="A417" t="s">
        <v>852</v>
      </c>
      <c r="B417" t="s">
        <v>853</v>
      </c>
      <c r="C417">
        <v>55568333600</v>
      </c>
      <c r="D417">
        <v>59277537500</v>
      </c>
      <c r="E417">
        <v>84</v>
      </c>
      <c r="F417" t="str">
        <f>_xlfn.XLOOKUP(C417, '75'!$C$2:$C$1142, '75'!$F$2:$F$1142)</f>
        <v>no</v>
      </c>
    </row>
    <row r="418" spans="1:6" x14ac:dyDescent="0.45">
      <c r="A418" t="s">
        <v>854</v>
      </c>
      <c r="B418" t="s">
        <v>855</v>
      </c>
      <c r="C418">
        <v>58668997300</v>
      </c>
      <c r="D418">
        <v>57218305410</v>
      </c>
      <c r="E418">
        <v>85</v>
      </c>
      <c r="F418" t="str">
        <f>_xlfn.XLOOKUP(C418, '75'!$C$2:$C$1142, '75'!$F$2:$F$1142)</f>
        <v>no</v>
      </c>
    </row>
    <row r="419" spans="1:6" x14ac:dyDescent="0.45">
      <c r="A419" t="s">
        <v>859</v>
      </c>
      <c r="B419" t="s">
        <v>860</v>
      </c>
      <c r="C419">
        <v>56940390800</v>
      </c>
      <c r="D419">
        <v>57778320600</v>
      </c>
      <c r="E419">
        <v>78</v>
      </c>
      <c r="F419" t="str">
        <f>_xlfn.XLOOKUP(C419, '75'!$C$2:$C$1142, '75'!$F$2:$F$1142)</f>
        <v>no</v>
      </c>
    </row>
    <row r="420" spans="1:6" x14ac:dyDescent="0.45">
      <c r="A420" t="s">
        <v>865</v>
      </c>
      <c r="B420" t="s">
        <v>866</v>
      </c>
      <c r="C420">
        <v>57206314215</v>
      </c>
      <c r="D420">
        <v>57195340320</v>
      </c>
      <c r="E420">
        <v>83</v>
      </c>
      <c r="F420" t="str">
        <f>_xlfn.XLOOKUP(C420, '75'!$C$2:$C$1142, '75'!$F$2:$F$1142)</f>
        <v>no</v>
      </c>
    </row>
    <row r="421" spans="1:6" x14ac:dyDescent="0.45">
      <c r="A421" t="s">
        <v>835</v>
      </c>
      <c r="B421" t="s">
        <v>876</v>
      </c>
      <c r="C421">
        <v>57218847212</v>
      </c>
      <c r="D421">
        <v>57223796303</v>
      </c>
      <c r="E421">
        <v>78</v>
      </c>
      <c r="F421" t="str">
        <f>_xlfn.XLOOKUP(C421, '75'!$C$2:$C$1142, '75'!$F$2:$F$1142)</f>
        <v>no</v>
      </c>
    </row>
    <row r="422" spans="1:6" x14ac:dyDescent="0.45">
      <c r="A422" t="s">
        <v>880</v>
      </c>
      <c r="B422" t="s">
        <v>881</v>
      </c>
      <c r="C422">
        <v>57214307868</v>
      </c>
      <c r="D422">
        <v>18438063200</v>
      </c>
      <c r="E422">
        <v>78</v>
      </c>
      <c r="F422" t="str">
        <f>_xlfn.XLOOKUP(C422, '75'!$C$2:$C$1142, '75'!$F$2:$F$1142)</f>
        <v>no</v>
      </c>
    </row>
    <row r="423" spans="1:6" x14ac:dyDescent="0.45">
      <c r="A423" t="s">
        <v>882</v>
      </c>
      <c r="B423" t="s">
        <v>883</v>
      </c>
      <c r="C423">
        <v>57209473457</v>
      </c>
      <c r="D423">
        <v>58076956700</v>
      </c>
      <c r="E423">
        <v>90</v>
      </c>
      <c r="F423" t="str">
        <f>_xlfn.XLOOKUP(C423, '75'!$C$2:$C$1142, '75'!$F$2:$F$1142)</f>
        <v>no</v>
      </c>
    </row>
    <row r="424" spans="1:6" x14ac:dyDescent="0.45">
      <c r="A424" t="s">
        <v>884</v>
      </c>
      <c r="B424" t="s">
        <v>885</v>
      </c>
      <c r="C424">
        <v>57203210763</v>
      </c>
      <c r="D424">
        <v>59444806000</v>
      </c>
      <c r="E424">
        <v>78</v>
      </c>
      <c r="F424" t="str">
        <f>_xlfn.XLOOKUP(C424, '75'!$C$2:$C$1142, '75'!$F$2:$F$1142)</f>
        <v>no</v>
      </c>
    </row>
    <row r="425" spans="1:6" x14ac:dyDescent="0.45">
      <c r="A425" t="s">
        <v>889</v>
      </c>
      <c r="B425" t="s">
        <v>890</v>
      </c>
      <c r="C425">
        <v>57079535100</v>
      </c>
      <c r="D425">
        <v>57203857150</v>
      </c>
      <c r="E425">
        <v>81</v>
      </c>
      <c r="F425" t="str">
        <f>_xlfn.XLOOKUP(C425, '75'!$C$2:$C$1142, '75'!$F$2:$F$1142)</f>
        <v>no</v>
      </c>
    </row>
    <row r="426" spans="1:6" x14ac:dyDescent="0.45">
      <c r="A426" t="s">
        <v>896</v>
      </c>
      <c r="B426" t="s">
        <v>897</v>
      </c>
      <c r="C426">
        <v>58677312100</v>
      </c>
      <c r="D426">
        <v>57997738900</v>
      </c>
      <c r="E426">
        <v>96</v>
      </c>
      <c r="F426" t="str">
        <f>_xlfn.XLOOKUP(C426, '75'!$C$2:$C$1142, '75'!$F$2:$F$1142)</f>
        <v>ok</v>
      </c>
    </row>
    <row r="427" spans="1:6" x14ac:dyDescent="0.45">
      <c r="A427" t="s">
        <v>900</v>
      </c>
      <c r="B427" t="s">
        <v>902</v>
      </c>
      <c r="C427">
        <v>23482649600</v>
      </c>
      <c r="D427">
        <v>59419227700</v>
      </c>
      <c r="E427">
        <v>83</v>
      </c>
      <c r="F427" t="str">
        <f>_xlfn.XLOOKUP(C427, '75'!$C$2:$C$1142, '75'!$F$2:$F$1142)</f>
        <v>no</v>
      </c>
    </row>
    <row r="428" spans="1:6" x14ac:dyDescent="0.45">
      <c r="A428" t="s">
        <v>903</v>
      </c>
      <c r="B428" t="s">
        <v>904</v>
      </c>
      <c r="C428">
        <v>7004861058</v>
      </c>
      <c r="D428">
        <v>57440822900</v>
      </c>
      <c r="E428">
        <v>80</v>
      </c>
      <c r="F428" t="str">
        <f>_xlfn.XLOOKUP(C428, '75'!$C$2:$C$1142, '75'!$F$2:$F$1142)</f>
        <v>no</v>
      </c>
    </row>
    <row r="429" spans="1:6" x14ac:dyDescent="0.45">
      <c r="A429" t="s">
        <v>905</v>
      </c>
      <c r="B429" t="s">
        <v>876</v>
      </c>
      <c r="C429">
        <v>56070983900</v>
      </c>
      <c r="D429">
        <v>57223796303</v>
      </c>
      <c r="E429">
        <v>78</v>
      </c>
      <c r="F429" t="str">
        <f>_xlfn.XLOOKUP(C429, '75'!$C$2:$C$1142, '75'!$F$2:$F$1142)</f>
        <v>no</v>
      </c>
    </row>
    <row r="430" spans="1:6" x14ac:dyDescent="0.45">
      <c r="A430" t="s">
        <v>911</v>
      </c>
      <c r="B430" t="s">
        <v>912</v>
      </c>
      <c r="C430">
        <v>59331322000</v>
      </c>
      <c r="D430">
        <v>58101663500</v>
      </c>
      <c r="E430">
        <v>78</v>
      </c>
      <c r="F430" t="str">
        <f>_xlfn.XLOOKUP(C430, '75'!$C$2:$C$1142, '75'!$F$2:$F$1142)</f>
        <v>no</v>
      </c>
    </row>
    <row r="431" spans="1:6" x14ac:dyDescent="0.45">
      <c r="A431" t="s">
        <v>911</v>
      </c>
      <c r="B431" t="s">
        <v>913</v>
      </c>
      <c r="C431">
        <v>59331322000</v>
      </c>
      <c r="D431">
        <v>58290657600</v>
      </c>
      <c r="E431">
        <v>90</v>
      </c>
      <c r="F431" t="str">
        <f>_xlfn.XLOOKUP(C431, '75'!$C$2:$C$1142, '75'!$F$2:$F$1142)</f>
        <v>no</v>
      </c>
    </row>
    <row r="432" spans="1:6" x14ac:dyDescent="0.45">
      <c r="A432" t="s">
        <v>899</v>
      </c>
      <c r="B432" t="s">
        <v>916</v>
      </c>
      <c r="C432">
        <v>57210188214</v>
      </c>
      <c r="D432">
        <v>58238313800</v>
      </c>
      <c r="E432">
        <v>80</v>
      </c>
      <c r="F432" t="str">
        <f>_xlfn.XLOOKUP(C432, '75'!$C$2:$C$1142, '75'!$F$2:$F$1142)</f>
        <v>no</v>
      </c>
    </row>
    <row r="433" spans="1:6" x14ac:dyDescent="0.45">
      <c r="A433" t="s">
        <v>849</v>
      </c>
      <c r="B433" t="s">
        <v>917</v>
      </c>
      <c r="C433">
        <v>57199073910</v>
      </c>
      <c r="D433">
        <v>59277392100</v>
      </c>
      <c r="E433">
        <v>82</v>
      </c>
      <c r="F433" t="str">
        <f>_xlfn.XLOOKUP(C433, '75'!$C$2:$C$1142, '75'!$F$2:$F$1142)</f>
        <v>no</v>
      </c>
    </row>
    <row r="434" spans="1:6" x14ac:dyDescent="0.45">
      <c r="A434" t="s">
        <v>878</v>
      </c>
      <c r="B434" t="s">
        <v>918</v>
      </c>
      <c r="C434">
        <v>57226687130</v>
      </c>
      <c r="D434">
        <v>57219541746</v>
      </c>
      <c r="E434">
        <v>80</v>
      </c>
      <c r="F434" t="str">
        <f>_xlfn.XLOOKUP(C434, '75'!$C$2:$C$1142, '75'!$F$2:$F$1142)</f>
        <v>no</v>
      </c>
    </row>
    <row r="435" spans="1:6" x14ac:dyDescent="0.45">
      <c r="A435" t="s">
        <v>923</v>
      </c>
      <c r="B435" t="s">
        <v>924</v>
      </c>
      <c r="C435">
        <v>58874281100</v>
      </c>
      <c r="D435">
        <v>57222868351</v>
      </c>
      <c r="E435">
        <v>81</v>
      </c>
      <c r="F435" t="str">
        <f>_xlfn.XLOOKUP(C435, '75'!$C$2:$C$1142, '75'!$F$2:$F$1142)</f>
        <v>no</v>
      </c>
    </row>
    <row r="436" spans="1:6" x14ac:dyDescent="0.45">
      <c r="A436" t="s">
        <v>886</v>
      </c>
      <c r="B436" t="s">
        <v>927</v>
      </c>
      <c r="C436">
        <v>58153782700</v>
      </c>
      <c r="D436">
        <v>56706695700</v>
      </c>
      <c r="E436">
        <v>87</v>
      </c>
      <c r="F436" t="str">
        <f>_xlfn.XLOOKUP(C436, '75'!$C$2:$C$1142, '75'!$F$2:$F$1142)</f>
        <v>no</v>
      </c>
    </row>
    <row r="437" spans="1:6" x14ac:dyDescent="0.45">
      <c r="A437" t="s">
        <v>928</v>
      </c>
      <c r="B437" t="s">
        <v>929</v>
      </c>
      <c r="C437">
        <v>57894855100</v>
      </c>
      <c r="D437">
        <v>58187878100</v>
      </c>
      <c r="E437">
        <v>98</v>
      </c>
      <c r="F437" t="str">
        <f>_xlfn.XLOOKUP(C437, '75'!$C$2:$C$1142, '75'!$F$2:$F$1142)</f>
        <v>ok</v>
      </c>
    </row>
    <row r="438" spans="1:6" x14ac:dyDescent="0.45">
      <c r="A438" t="s">
        <v>930</v>
      </c>
      <c r="B438" t="s">
        <v>876</v>
      </c>
      <c r="C438">
        <v>57955378400</v>
      </c>
      <c r="D438">
        <v>57223796303</v>
      </c>
      <c r="E438">
        <v>87</v>
      </c>
      <c r="F438" t="str">
        <f>_xlfn.XLOOKUP(C438, '75'!$C$2:$C$1142, '75'!$F$2:$F$1142)</f>
        <v>no</v>
      </c>
    </row>
    <row r="439" spans="1:6" x14ac:dyDescent="0.45">
      <c r="A439" t="s">
        <v>913</v>
      </c>
      <c r="B439" t="s">
        <v>914</v>
      </c>
      <c r="C439">
        <v>58290657600</v>
      </c>
      <c r="D439">
        <v>57788453900</v>
      </c>
      <c r="E439">
        <v>85</v>
      </c>
      <c r="F439" t="str">
        <f>_xlfn.XLOOKUP(C439, '75'!$C$2:$C$1142, '75'!$F$2:$F$1142)</f>
        <v>ok</v>
      </c>
    </row>
    <row r="440" spans="1:6" x14ac:dyDescent="0.45">
      <c r="A440" t="s">
        <v>935</v>
      </c>
      <c r="B440" t="s">
        <v>936</v>
      </c>
      <c r="C440">
        <v>59586882700</v>
      </c>
      <c r="D440">
        <v>7402560857</v>
      </c>
      <c r="E440">
        <v>78</v>
      </c>
      <c r="F440" t="str">
        <f>_xlfn.XLOOKUP(C440, '75'!$C$2:$C$1142, '75'!$F$2:$F$1142)</f>
        <v>no</v>
      </c>
    </row>
    <row r="441" spans="1:6" x14ac:dyDescent="0.45">
      <c r="A441" t="s">
        <v>937</v>
      </c>
      <c r="B441" t="s">
        <v>938</v>
      </c>
      <c r="C441">
        <v>55730132400</v>
      </c>
      <c r="D441">
        <v>56327680200</v>
      </c>
      <c r="E441">
        <v>81</v>
      </c>
      <c r="F441" t="str">
        <f>_xlfn.XLOOKUP(C441, '75'!$C$2:$C$1142, '75'!$F$2:$F$1142)</f>
        <v>no</v>
      </c>
    </row>
    <row r="442" spans="1:6" x14ac:dyDescent="0.45">
      <c r="A442" t="s">
        <v>940</v>
      </c>
      <c r="B442" t="s">
        <v>939</v>
      </c>
      <c r="C442">
        <v>55481796400</v>
      </c>
      <c r="D442">
        <v>57225884119</v>
      </c>
      <c r="E442">
        <v>87</v>
      </c>
      <c r="F442" t="str">
        <f>_xlfn.XLOOKUP(C442, '75'!$C$2:$C$1142, '75'!$F$2:$F$1142)</f>
        <v>no</v>
      </c>
    </row>
    <row r="443" spans="1:6" x14ac:dyDescent="0.45">
      <c r="A443" t="s">
        <v>942</v>
      </c>
      <c r="B443" t="s">
        <v>943</v>
      </c>
      <c r="C443">
        <v>57207778078</v>
      </c>
      <c r="D443">
        <v>57189662898</v>
      </c>
      <c r="E443">
        <v>78</v>
      </c>
      <c r="F443" t="str">
        <f>_xlfn.XLOOKUP(C443, '75'!$C$2:$C$1142, '75'!$F$2:$F$1142)</f>
        <v>no</v>
      </c>
    </row>
    <row r="444" spans="1:6" x14ac:dyDescent="0.45">
      <c r="A444" t="s">
        <v>944</v>
      </c>
      <c r="B444" t="s">
        <v>945</v>
      </c>
      <c r="C444">
        <v>17436214000</v>
      </c>
      <c r="D444">
        <v>57219942757</v>
      </c>
      <c r="E444">
        <v>84</v>
      </c>
      <c r="F444" t="str">
        <f>_xlfn.XLOOKUP(C444, '75'!$C$2:$C$1142, '75'!$F$2:$F$1142)</f>
        <v>ok</v>
      </c>
    </row>
    <row r="445" spans="1:6" x14ac:dyDescent="0.45">
      <c r="A445" t="s">
        <v>944</v>
      </c>
      <c r="B445" t="s">
        <v>946</v>
      </c>
      <c r="C445">
        <v>17436214000</v>
      </c>
      <c r="D445">
        <v>58196547100</v>
      </c>
      <c r="E445">
        <v>80</v>
      </c>
      <c r="F445" t="str">
        <f>_xlfn.XLOOKUP(C445, '75'!$C$2:$C$1142, '75'!$F$2:$F$1142)</f>
        <v>ok</v>
      </c>
    </row>
    <row r="446" spans="1:6" x14ac:dyDescent="0.45">
      <c r="A446" t="s">
        <v>947</v>
      </c>
      <c r="B446" t="s">
        <v>948</v>
      </c>
      <c r="C446">
        <v>55727328700</v>
      </c>
      <c r="D446">
        <v>57966537000</v>
      </c>
      <c r="E446">
        <v>87</v>
      </c>
      <c r="F446" t="str">
        <f>_xlfn.XLOOKUP(C446, '75'!$C$2:$C$1142, '75'!$F$2:$F$1142)</f>
        <v>ok</v>
      </c>
    </row>
    <row r="447" spans="1:6" x14ac:dyDescent="0.45">
      <c r="A447" t="s">
        <v>949</v>
      </c>
      <c r="B447" t="s">
        <v>950</v>
      </c>
      <c r="C447">
        <v>35109792700</v>
      </c>
      <c r="D447">
        <v>54403980500</v>
      </c>
      <c r="E447">
        <v>79</v>
      </c>
      <c r="F447" t="str">
        <f>_xlfn.XLOOKUP(C447, '75'!$C$2:$C$1142, '75'!$F$2:$F$1142)</f>
        <v>no</v>
      </c>
    </row>
    <row r="448" spans="1:6" x14ac:dyDescent="0.45">
      <c r="A448" t="s">
        <v>945</v>
      </c>
      <c r="B448" t="s">
        <v>946</v>
      </c>
      <c r="C448">
        <v>57219942757</v>
      </c>
      <c r="D448">
        <v>58196547100</v>
      </c>
      <c r="E448">
        <v>94</v>
      </c>
      <c r="F448" t="str">
        <f>_xlfn.XLOOKUP(C448, '75'!$C$2:$C$1142, '75'!$F$2:$F$1142)</f>
        <v>ok</v>
      </c>
    </row>
    <row r="449" spans="1:6" x14ac:dyDescent="0.45">
      <c r="A449" t="s">
        <v>951</v>
      </c>
      <c r="B449" t="s">
        <v>952</v>
      </c>
      <c r="C449">
        <v>57192395903</v>
      </c>
      <c r="D449">
        <v>57189233669</v>
      </c>
      <c r="E449">
        <v>78</v>
      </c>
      <c r="F449" t="str">
        <f>_xlfn.XLOOKUP(C449, '75'!$C$2:$C$1142, '75'!$F$2:$F$1142)</f>
        <v>no</v>
      </c>
    </row>
    <row r="450" spans="1:6" x14ac:dyDescent="0.45">
      <c r="A450" t="s">
        <v>951</v>
      </c>
      <c r="B450" t="s">
        <v>953</v>
      </c>
      <c r="C450">
        <v>57192395903</v>
      </c>
      <c r="D450">
        <v>58968378700</v>
      </c>
      <c r="E450">
        <v>84</v>
      </c>
      <c r="F450" t="str">
        <f>_xlfn.XLOOKUP(C450, '75'!$C$2:$C$1142, '75'!$F$2:$F$1142)</f>
        <v>no</v>
      </c>
    </row>
    <row r="451" spans="1:6" x14ac:dyDescent="0.45">
      <c r="A451" t="s">
        <v>954</v>
      </c>
      <c r="B451" t="s">
        <v>955</v>
      </c>
      <c r="C451">
        <v>57208091149</v>
      </c>
      <c r="D451">
        <v>57221226659</v>
      </c>
      <c r="E451">
        <v>82</v>
      </c>
      <c r="F451" t="str">
        <f>_xlfn.XLOOKUP(C451, '75'!$C$2:$C$1142, '75'!$F$2:$F$1142)</f>
        <v>no</v>
      </c>
    </row>
    <row r="452" spans="1:6" x14ac:dyDescent="0.45">
      <c r="A452" t="s">
        <v>956</v>
      </c>
      <c r="B452" t="s">
        <v>957</v>
      </c>
      <c r="C452">
        <v>57221028264</v>
      </c>
      <c r="D452">
        <v>57234373700</v>
      </c>
      <c r="E452">
        <v>78</v>
      </c>
      <c r="F452" t="str">
        <f>_xlfn.XLOOKUP(C452, '75'!$C$2:$C$1142, '75'!$F$2:$F$1142)</f>
        <v>no</v>
      </c>
    </row>
    <row r="453" spans="1:6" x14ac:dyDescent="0.45">
      <c r="A453" t="s">
        <v>960</v>
      </c>
      <c r="B453" t="s">
        <v>941</v>
      </c>
      <c r="C453">
        <v>56909615000</v>
      </c>
      <c r="D453">
        <v>57198912866</v>
      </c>
      <c r="E453">
        <v>81</v>
      </c>
      <c r="F453" t="str">
        <f>_xlfn.XLOOKUP(C453, '75'!$C$2:$C$1142, '75'!$F$2:$F$1142)</f>
        <v>no</v>
      </c>
    </row>
    <row r="454" spans="1:6" x14ac:dyDescent="0.45">
      <c r="A454" t="s">
        <v>961</v>
      </c>
      <c r="B454" t="s">
        <v>962</v>
      </c>
      <c r="C454">
        <v>57866275800</v>
      </c>
      <c r="D454">
        <v>58520690600</v>
      </c>
      <c r="E454">
        <v>80</v>
      </c>
      <c r="F454" t="str">
        <f>_xlfn.XLOOKUP(C454, '75'!$C$2:$C$1142, '75'!$F$2:$F$1142)</f>
        <v>no</v>
      </c>
    </row>
    <row r="455" spans="1:6" x14ac:dyDescent="0.45">
      <c r="A455" t="s">
        <v>967</v>
      </c>
      <c r="B455" t="s">
        <v>968</v>
      </c>
      <c r="C455">
        <v>57219292286</v>
      </c>
      <c r="D455">
        <v>57214823165</v>
      </c>
      <c r="E455">
        <v>96</v>
      </c>
      <c r="F455" t="str">
        <f>_xlfn.XLOOKUP(C455, '75'!$C$2:$C$1142, '75'!$F$2:$F$1142)</f>
        <v>ok</v>
      </c>
    </row>
    <row r="456" spans="1:6" x14ac:dyDescent="0.45">
      <c r="A456" t="s">
        <v>969</v>
      </c>
      <c r="B456" t="s">
        <v>970</v>
      </c>
      <c r="C456">
        <v>57217129575</v>
      </c>
      <c r="D456">
        <v>57383215700</v>
      </c>
      <c r="E456">
        <v>96</v>
      </c>
      <c r="F456" t="str">
        <f>_xlfn.XLOOKUP(C456, '75'!$C$2:$C$1142, '75'!$F$2:$F$1142)</f>
        <v>no</v>
      </c>
    </row>
    <row r="457" spans="1:6" x14ac:dyDescent="0.45">
      <c r="A457" t="s">
        <v>972</v>
      </c>
      <c r="B457" t="s">
        <v>962</v>
      </c>
      <c r="C457">
        <v>57212614266</v>
      </c>
      <c r="D457">
        <v>58520690600</v>
      </c>
      <c r="E457">
        <v>80</v>
      </c>
      <c r="F457" t="str">
        <f>_xlfn.XLOOKUP(C457, '75'!$C$2:$C$1142, '75'!$F$2:$F$1142)</f>
        <v>no</v>
      </c>
    </row>
    <row r="458" spans="1:6" x14ac:dyDescent="0.45">
      <c r="A458" t="s">
        <v>962</v>
      </c>
      <c r="B458" t="s">
        <v>974</v>
      </c>
      <c r="C458">
        <v>58520690600</v>
      </c>
      <c r="D458">
        <v>55726699700</v>
      </c>
      <c r="E458">
        <v>82</v>
      </c>
      <c r="F458" t="str">
        <f>_xlfn.XLOOKUP(C458, '75'!$C$2:$C$1142, '75'!$F$2:$F$1142)</f>
        <v>no</v>
      </c>
    </row>
    <row r="459" spans="1:6" x14ac:dyDescent="0.45">
      <c r="A459" t="s">
        <v>977</v>
      </c>
      <c r="B459" t="s">
        <v>978</v>
      </c>
      <c r="C459">
        <v>57196029837</v>
      </c>
      <c r="D459">
        <v>57211444621</v>
      </c>
      <c r="E459">
        <v>98</v>
      </c>
      <c r="F459" t="str">
        <f>_xlfn.XLOOKUP(C459, '75'!$C$2:$C$1142, '75'!$F$2:$F$1142)</f>
        <v>ok</v>
      </c>
    </row>
    <row r="460" spans="1:6" x14ac:dyDescent="0.45">
      <c r="A460" t="s">
        <v>979</v>
      </c>
      <c r="B460" t="s">
        <v>980</v>
      </c>
      <c r="C460">
        <v>24178542700</v>
      </c>
      <c r="D460">
        <v>58917995400</v>
      </c>
      <c r="E460">
        <v>95</v>
      </c>
      <c r="F460" t="str">
        <f>_xlfn.XLOOKUP(C460, '75'!$C$2:$C$1142, '75'!$F$2:$F$1142)</f>
        <v>ok</v>
      </c>
    </row>
    <row r="461" spans="1:6" x14ac:dyDescent="0.45">
      <c r="A461" t="s">
        <v>981</v>
      </c>
      <c r="B461" t="s">
        <v>982</v>
      </c>
      <c r="C461">
        <v>55768611600</v>
      </c>
      <c r="D461">
        <v>55833173500</v>
      </c>
      <c r="E461">
        <v>86</v>
      </c>
      <c r="F461" t="str">
        <f>_xlfn.XLOOKUP(C461, '75'!$C$2:$C$1142, '75'!$F$2:$F$1142)</f>
        <v>no</v>
      </c>
    </row>
    <row r="462" spans="1:6" x14ac:dyDescent="0.45">
      <c r="A462" t="s">
        <v>983</v>
      </c>
      <c r="B462" t="s">
        <v>985</v>
      </c>
      <c r="C462">
        <v>55878723400</v>
      </c>
      <c r="D462">
        <v>57226131863</v>
      </c>
      <c r="E462">
        <v>80</v>
      </c>
      <c r="F462" t="str">
        <f>_xlfn.XLOOKUP(C462, '75'!$C$2:$C$1142, '75'!$F$2:$F$1142)</f>
        <v>no</v>
      </c>
    </row>
    <row r="463" spans="1:6" x14ac:dyDescent="0.45">
      <c r="A463" t="s">
        <v>986</v>
      </c>
      <c r="B463" t="s">
        <v>987</v>
      </c>
      <c r="C463">
        <v>57193508488</v>
      </c>
      <c r="D463">
        <v>57283910800</v>
      </c>
      <c r="E463">
        <v>79</v>
      </c>
      <c r="F463" t="str">
        <f>_xlfn.XLOOKUP(C463, '75'!$C$2:$C$1142, '75'!$F$2:$F$1142)</f>
        <v>no</v>
      </c>
    </row>
    <row r="464" spans="1:6" x14ac:dyDescent="0.45">
      <c r="A464" t="s">
        <v>988</v>
      </c>
      <c r="B464" t="s">
        <v>989</v>
      </c>
      <c r="C464">
        <v>52264998100</v>
      </c>
      <c r="D464">
        <v>57201917282</v>
      </c>
      <c r="E464">
        <v>79</v>
      </c>
      <c r="F464" t="str">
        <f>_xlfn.XLOOKUP(C464, '75'!$C$2:$C$1142, '75'!$F$2:$F$1142)</f>
        <v>no</v>
      </c>
    </row>
    <row r="465" spans="1:6" x14ac:dyDescent="0.45">
      <c r="A465" t="s">
        <v>988</v>
      </c>
      <c r="B465" t="s">
        <v>990</v>
      </c>
      <c r="C465">
        <v>52264998100</v>
      </c>
      <c r="D465">
        <v>57216315221</v>
      </c>
      <c r="E465">
        <v>87</v>
      </c>
      <c r="F465" t="str">
        <f>_xlfn.XLOOKUP(C465, '75'!$C$2:$C$1142, '75'!$F$2:$F$1142)</f>
        <v>no</v>
      </c>
    </row>
    <row r="466" spans="1:6" x14ac:dyDescent="0.45">
      <c r="A466" t="s">
        <v>988</v>
      </c>
      <c r="B466" t="s">
        <v>991</v>
      </c>
      <c r="C466">
        <v>52264998100</v>
      </c>
      <c r="D466">
        <v>57206601221</v>
      </c>
      <c r="E466">
        <v>79</v>
      </c>
      <c r="F466" t="str">
        <f>_xlfn.XLOOKUP(C466, '75'!$C$2:$C$1142, '75'!$F$2:$F$1142)</f>
        <v>no</v>
      </c>
    </row>
    <row r="467" spans="1:6" x14ac:dyDescent="0.45">
      <c r="A467" t="s">
        <v>989</v>
      </c>
      <c r="B467" t="s">
        <v>990</v>
      </c>
      <c r="C467">
        <v>57201917282</v>
      </c>
      <c r="D467">
        <v>57216315221</v>
      </c>
      <c r="E467">
        <v>86</v>
      </c>
      <c r="F467" t="str">
        <f>_xlfn.XLOOKUP(C467, '75'!$C$2:$C$1142, '75'!$F$2:$F$1142)</f>
        <v>no</v>
      </c>
    </row>
    <row r="468" spans="1:6" x14ac:dyDescent="0.45">
      <c r="A468" t="s">
        <v>999</v>
      </c>
      <c r="B468" t="s">
        <v>1000</v>
      </c>
      <c r="C468">
        <v>57200444598</v>
      </c>
      <c r="D468">
        <v>57651849600</v>
      </c>
      <c r="E468">
        <v>83</v>
      </c>
      <c r="F468" t="str">
        <f>_xlfn.XLOOKUP(C468, '75'!$C$2:$C$1142, '75'!$F$2:$F$1142)</f>
        <v>no</v>
      </c>
    </row>
    <row r="469" spans="1:6" x14ac:dyDescent="0.45">
      <c r="A469" t="s">
        <v>1001</v>
      </c>
      <c r="B469" t="s">
        <v>995</v>
      </c>
      <c r="C469">
        <v>57205341535</v>
      </c>
      <c r="D469">
        <v>58097854500</v>
      </c>
      <c r="E469">
        <v>78</v>
      </c>
      <c r="F469" t="str">
        <f>_xlfn.XLOOKUP(C469, '75'!$C$2:$C$1142, '75'!$F$2:$F$1142)</f>
        <v>no</v>
      </c>
    </row>
    <row r="470" spans="1:6" x14ac:dyDescent="0.45">
      <c r="A470" t="s">
        <v>1003</v>
      </c>
      <c r="B470" t="s">
        <v>1004</v>
      </c>
      <c r="C470">
        <v>8552760400</v>
      </c>
      <c r="D470">
        <v>57278336100</v>
      </c>
      <c r="E470">
        <v>80</v>
      </c>
      <c r="F470" t="str">
        <f>_xlfn.XLOOKUP(C470, '75'!$C$2:$C$1142, '75'!$F$2:$F$1142)</f>
        <v>no</v>
      </c>
    </row>
    <row r="471" spans="1:6" x14ac:dyDescent="0.45">
      <c r="A471" t="s">
        <v>1006</v>
      </c>
      <c r="B471" t="s">
        <v>1008</v>
      </c>
      <c r="C471">
        <v>59619524600</v>
      </c>
      <c r="D471">
        <v>57218865182</v>
      </c>
      <c r="E471">
        <v>83</v>
      </c>
      <c r="F471" t="str">
        <f>_xlfn.XLOOKUP(C471, '75'!$C$2:$C$1142, '75'!$F$2:$F$1142)</f>
        <v>no</v>
      </c>
    </row>
    <row r="472" spans="1:6" x14ac:dyDescent="0.45">
      <c r="A472" t="s">
        <v>1009</v>
      </c>
      <c r="B472" t="s">
        <v>1013</v>
      </c>
      <c r="C472">
        <v>57192109237</v>
      </c>
      <c r="D472">
        <v>7601513640</v>
      </c>
      <c r="E472">
        <v>80</v>
      </c>
      <c r="F472" t="str">
        <f>_xlfn.XLOOKUP(C472, '75'!$C$2:$C$1142, '75'!$F$2:$F$1142)</f>
        <v>no</v>
      </c>
    </row>
    <row r="473" spans="1:6" x14ac:dyDescent="0.45">
      <c r="A473" t="s">
        <v>1015</v>
      </c>
      <c r="B473" t="s">
        <v>1016</v>
      </c>
      <c r="C473">
        <v>56178007800</v>
      </c>
      <c r="D473">
        <v>57221311967</v>
      </c>
      <c r="E473">
        <v>93</v>
      </c>
      <c r="F473" t="str">
        <f>_xlfn.XLOOKUP(C473, '75'!$C$2:$C$1142, '75'!$F$2:$F$1142)</f>
        <v>no</v>
      </c>
    </row>
    <row r="474" spans="1:6" x14ac:dyDescent="0.45">
      <c r="A474" t="s">
        <v>1017</v>
      </c>
      <c r="B474" t="s">
        <v>1018</v>
      </c>
      <c r="C474">
        <v>57204153607</v>
      </c>
      <c r="D474">
        <v>57201989467</v>
      </c>
      <c r="E474">
        <v>80</v>
      </c>
      <c r="F474" t="str">
        <f>_xlfn.XLOOKUP(C474, '75'!$C$2:$C$1142, '75'!$F$2:$F$1142)</f>
        <v>no</v>
      </c>
    </row>
    <row r="475" spans="1:6" x14ac:dyDescent="0.45">
      <c r="A475" t="s">
        <v>1019</v>
      </c>
      <c r="B475" t="s">
        <v>1020</v>
      </c>
      <c r="C475">
        <v>56294067200</v>
      </c>
      <c r="D475">
        <v>57829144400</v>
      </c>
      <c r="E475">
        <v>78</v>
      </c>
      <c r="F475" t="str">
        <f>_xlfn.XLOOKUP(C475, '75'!$C$2:$C$1142, '75'!$F$2:$F$1142)</f>
        <v>no</v>
      </c>
    </row>
    <row r="476" spans="1:6" x14ac:dyDescent="0.45">
      <c r="A476" t="s">
        <v>1021</v>
      </c>
      <c r="B476" t="s">
        <v>1022</v>
      </c>
      <c r="C476">
        <v>57732522000</v>
      </c>
      <c r="D476">
        <v>57207046672</v>
      </c>
      <c r="E476">
        <v>80</v>
      </c>
      <c r="F476" t="str">
        <f>_xlfn.XLOOKUP(C476, '75'!$C$2:$C$1142, '75'!$F$2:$F$1142)</f>
        <v>no</v>
      </c>
    </row>
    <row r="477" spans="1:6" x14ac:dyDescent="0.45">
      <c r="A477" t="s">
        <v>1023</v>
      </c>
      <c r="B477" t="s">
        <v>1024</v>
      </c>
      <c r="C477">
        <v>57202576436</v>
      </c>
      <c r="D477">
        <v>57225083226</v>
      </c>
      <c r="E477">
        <v>80</v>
      </c>
      <c r="F477" t="str">
        <f>_xlfn.XLOOKUP(C477, '75'!$C$2:$C$1142, '75'!$F$2:$F$1142)</f>
        <v>no</v>
      </c>
    </row>
    <row r="478" spans="1:6" x14ac:dyDescent="0.45">
      <c r="A478" t="s">
        <v>1023</v>
      </c>
      <c r="B478" t="s">
        <v>1025</v>
      </c>
      <c r="C478">
        <v>57202576436</v>
      </c>
      <c r="D478">
        <v>57212385020</v>
      </c>
      <c r="E478">
        <v>78</v>
      </c>
      <c r="F478" t="str">
        <f>_xlfn.XLOOKUP(C478, '75'!$C$2:$C$1142, '75'!$F$2:$F$1142)</f>
        <v>no</v>
      </c>
    </row>
    <row r="479" spans="1:6" x14ac:dyDescent="0.45">
      <c r="A479" t="s">
        <v>1023</v>
      </c>
      <c r="B479" t="s">
        <v>1028</v>
      </c>
      <c r="C479">
        <v>57202576436</v>
      </c>
      <c r="D479">
        <v>57215193390</v>
      </c>
      <c r="E479">
        <v>84</v>
      </c>
      <c r="F479" t="str">
        <f>_xlfn.XLOOKUP(C479, '75'!$C$2:$C$1142, '75'!$F$2:$F$1142)</f>
        <v>no</v>
      </c>
    </row>
    <row r="480" spans="1:6" x14ac:dyDescent="0.45">
      <c r="A480" t="s">
        <v>1023</v>
      </c>
      <c r="B480" t="s">
        <v>1029</v>
      </c>
      <c r="C480">
        <v>57202576436</v>
      </c>
      <c r="D480">
        <v>57222498131</v>
      </c>
      <c r="E480">
        <v>78</v>
      </c>
      <c r="F480" t="str">
        <f>_xlfn.XLOOKUP(C480, '75'!$C$2:$C$1142, '75'!$F$2:$F$1142)</f>
        <v>no</v>
      </c>
    </row>
    <row r="481" spans="1:6" x14ac:dyDescent="0.45">
      <c r="A481" t="s">
        <v>1023</v>
      </c>
      <c r="B481" t="s">
        <v>1012</v>
      </c>
      <c r="C481">
        <v>57202576436</v>
      </c>
      <c r="D481">
        <v>55718418500</v>
      </c>
      <c r="E481">
        <v>80</v>
      </c>
      <c r="F481" t="str">
        <f>_xlfn.XLOOKUP(C481, '75'!$C$2:$C$1142, '75'!$F$2:$F$1142)</f>
        <v>no</v>
      </c>
    </row>
    <row r="482" spans="1:6" x14ac:dyDescent="0.45">
      <c r="A482" t="s">
        <v>1023</v>
      </c>
      <c r="B482" t="s">
        <v>1030</v>
      </c>
      <c r="C482">
        <v>57202576436</v>
      </c>
      <c r="D482">
        <v>55712748700</v>
      </c>
      <c r="E482">
        <v>80</v>
      </c>
      <c r="F482" t="str">
        <f>_xlfn.XLOOKUP(C482, '75'!$C$2:$C$1142, '75'!$F$2:$F$1142)</f>
        <v>no</v>
      </c>
    </row>
    <row r="483" spans="1:6" x14ac:dyDescent="0.45">
      <c r="A483" t="s">
        <v>1031</v>
      </c>
      <c r="B483" t="s">
        <v>1032</v>
      </c>
      <c r="C483">
        <v>57202638979</v>
      </c>
      <c r="D483">
        <v>57198861619</v>
      </c>
      <c r="E483">
        <v>83</v>
      </c>
      <c r="F483" t="str">
        <f>_xlfn.XLOOKUP(C483, '75'!$C$2:$C$1142, '75'!$F$2:$F$1142)</f>
        <v>no</v>
      </c>
    </row>
    <row r="484" spans="1:6" x14ac:dyDescent="0.45">
      <c r="A484" t="s">
        <v>1033</v>
      </c>
      <c r="B484" t="s">
        <v>1034</v>
      </c>
      <c r="C484">
        <v>58220752100</v>
      </c>
      <c r="D484">
        <v>58916234900</v>
      </c>
      <c r="E484">
        <v>78</v>
      </c>
      <c r="F484" t="str">
        <f>_xlfn.XLOOKUP(C484, '75'!$C$2:$C$1142, '75'!$F$2:$F$1142)</f>
        <v>no</v>
      </c>
    </row>
    <row r="485" spans="1:6" x14ac:dyDescent="0.45">
      <c r="A485" t="s">
        <v>1024</v>
      </c>
      <c r="B485" t="s">
        <v>1035</v>
      </c>
      <c r="C485">
        <v>57225083226</v>
      </c>
      <c r="D485">
        <v>57200661953</v>
      </c>
      <c r="E485">
        <v>82</v>
      </c>
      <c r="F485" t="str">
        <f>_xlfn.XLOOKUP(C485, '75'!$C$2:$C$1142, '75'!$F$2:$F$1142)</f>
        <v>no</v>
      </c>
    </row>
    <row r="486" spans="1:6" x14ac:dyDescent="0.45">
      <c r="A486" t="s">
        <v>1024</v>
      </c>
      <c r="B486" t="s">
        <v>1036</v>
      </c>
      <c r="C486">
        <v>57225083226</v>
      </c>
      <c r="D486">
        <v>59662621300</v>
      </c>
      <c r="E486">
        <v>78</v>
      </c>
      <c r="F486" t="str">
        <f>_xlfn.XLOOKUP(C486, '75'!$C$2:$C$1142, '75'!$F$2:$F$1142)</f>
        <v>no</v>
      </c>
    </row>
    <row r="487" spans="1:6" x14ac:dyDescent="0.45">
      <c r="A487" t="s">
        <v>1024</v>
      </c>
      <c r="B487" t="s">
        <v>1037</v>
      </c>
      <c r="C487">
        <v>57225083226</v>
      </c>
      <c r="D487">
        <v>58867040100</v>
      </c>
      <c r="E487">
        <v>78</v>
      </c>
      <c r="F487" t="str">
        <f>_xlfn.XLOOKUP(C487, '75'!$C$2:$C$1142, '75'!$F$2:$F$1142)</f>
        <v>no</v>
      </c>
    </row>
    <row r="488" spans="1:6" x14ac:dyDescent="0.45">
      <c r="A488" t="s">
        <v>1024</v>
      </c>
      <c r="B488" t="s">
        <v>995</v>
      </c>
      <c r="C488">
        <v>57225083226</v>
      </c>
      <c r="D488">
        <v>58097854500</v>
      </c>
      <c r="E488">
        <v>80</v>
      </c>
      <c r="F488" t="str">
        <f>_xlfn.XLOOKUP(C488, '75'!$C$2:$C$1142, '75'!$F$2:$F$1142)</f>
        <v>no</v>
      </c>
    </row>
    <row r="489" spans="1:6" x14ac:dyDescent="0.45">
      <c r="A489" t="s">
        <v>1024</v>
      </c>
      <c r="B489" t="s">
        <v>1026</v>
      </c>
      <c r="C489">
        <v>57225083226</v>
      </c>
      <c r="D489">
        <v>57218868125</v>
      </c>
      <c r="E489">
        <v>80</v>
      </c>
      <c r="F489" t="str">
        <f>_xlfn.XLOOKUP(C489, '75'!$C$2:$C$1142, '75'!$F$2:$F$1142)</f>
        <v>no</v>
      </c>
    </row>
    <row r="490" spans="1:6" x14ac:dyDescent="0.45">
      <c r="A490" t="s">
        <v>1024</v>
      </c>
      <c r="B490" t="s">
        <v>996</v>
      </c>
      <c r="C490">
        <v>57225083226</v>
      </c>
      <c r="D490">
        <v>59773982900</v>
      </c>
      <c r="E490">
        <v>78</v>
      </c>
      <c r="F490" t="str">
        <f>_xlfn.XLOOKUP(C490, '75'!$C$2:$C$1142, '75'!$F$2:$F$1142)</f>
        <v>no</v>
      </c>
    </row>
    <row r="491" spans="1:6" x14ac:dyDescent="0.45">
      <c r="A491" t="s">
        <v>1024</v>
      </c>
      <c r="B491" t="s">
        <v>1029</v>
      </c>
      <c r="C491">
        <v>57225083226</v>
      </c>
      <c r="D491">
        <v>57222498131</v>
      </c>
      <c r="E491">
        <v>82</v>
      </c>
      <c r="F491" t="str">
        <f>_xlfn.XLOOKUP(C491, '75'!$C$2:$C$1142, '75'!$F$2:$F$1142)</f>
        <v>no</v>
      </c>
    </row>
    <row r="492" spans="1:6" x14ac:dyDescent="0.45">
      <c r="A492" t="s">
        <v>1024</v>
      </c>
      <c r="B492" t="s">
        <v>1013</v>
      </c>
      <c r="C492">
        <v>57225083226</v>
      </c>
      <c r="D492">
        <v>7601513640</v>
      </c>
      <c r="E492">
        <v>80</v>
      </c>
      <c r="F492" t="str">
        <f>_xlfn.XLOOKUP(C492, '75'!$C$2:$C$1142, '75'!$F$2:$F$1142)</f>
        <v>no</v>
      </c>
    </row>
    <row r="493" spans="1:6" x14ac:dyDescent="0.45">
      <c r="A493" t="s">
        <v>1035</v>
      </c>
      <c r="B493" t="s">
        <v>1027</v>
      </c>
      <c r="C493">
        <v>57200661953</v>
      </c>
      <c r="D493">
        <v>59560883400</v>
      </c>
      <c r="E493">
        <v>78</v>
      </c>
      <c r="F493" t="str">
        <f>_xlfn.XLOOKUP(C493, '75'!$C$2:$C$1142, '75'!$F$2:$F$1142)</f>
        <v>no</v>
      </c>
    </row>
    <row r="494" spans="1:6" x14ac:dyDescent="0.45">
      <c r="A494" t="s">
        <v>994</v>
      </c>
      <c r="B494" t="s">
        <v>995</v>
      </c>
      <c r="C494">
        <v>58653787300</v>
      </c>
      <c r="D494">
        <v>58097854500</v>
      </c>
      <c r="E494">
        <v>84</v>
      </c>
      <c r="F494" t="str">
        <f>_xlfn.XLOOKUP(C494, '75'!$C$2:$C$1142, '75'!$F$2:$F$1142)</f>
        <v>no</v>
      </c>
    </row>
    <row r="495" spans="1:6" x14ac:dyDescent="0.45">
      <c r="A495" t="s">
        <v>990</v>
      </c>
      <c r="B495" t="s">
        <v>1047</v>
      </c>
      <c r="C495">
        <v>57216315221</v>
      </c>
      <c r="D495">
        <v>57221799820</v>
      </c>
      <c r="E495">
        <v>79</v>
      </c>
      <c r="F495" t="str">
        <f>_xlfn.XLOOKUP(C495, '75'!$C$2:$C$1142, '75'!$F$2:$F$1142)</f>
        <v>no</v>
      </c>
    </row>
    <row r="496" spans="1:6" x14ac:dyDescent="0.45">
      <c r="A496" t="s">
        <v>990</v>
      </c>
      <c r="B496" t="s">
        <v>991</v>
      </c>
      <c r="C496">
        <v>57216315221</v>
      </c>
      <c r="D496">
        <v>57206601221</v>
      </c>
      <c r="E496">
        <v>86</v>
      </c>
      <c r="F496" t="str">
        <f>_xlfn.XLOOKUP(C496, '75'!$C$2:$C$1142, '75'!$F$2:$F$1142)</f>
        <v>no</v>
      </c>
    </row>
    <row r="497" spans="1:6" x14ac:dyDescent="0.45">
      <c r="A497" t="s">
        <v>1052</v>
      </c>
      <c r="B497" t="s">
        <v>1053</v>
      </c>
      <c r="C497">
        <v>58864775700</v>
      </c>
      <c r="D497">
        <v>58118977100</v>
      </c>
      <c r="E497">
        <v>85</v>
      </c>
      <c r="F497" t="str">
        <f>_xlfn.XLOOKUP(C497, '75'!$C$2:$C$1142, '75'!$F$2:$F$1142)</f>
        <v>no</v>
      </c>
    </row>
    <row r="498" spans="1:6" x14ac:dyDescent="0.45">
      <c r="A498" t="s">
        <v>1053</v>
      </c>
      <c r="B498" t="s">
        <v>1025</v>
      </c>
      <c r="C498">
        <v>58118977100</v>
      </c>
      <c r="D498">
        <v>57212385020</v>
      </c>
      <c r="E498">
        <v>82</v>
      </c>
      <c r="F498" t="str">
        <f>_xlfn.XLOOKUP(C498, '75'!$C$2:$C$1142, '75'!$F$2:$F$1142)</f>
        <v>no</v>
      </c>
    </row>
    <row r="499" spans="1:6" x14ac:dyDescent="0.45">
      <c r="A499" t="s">
        <v>1053</v>
      </c>
      <c r="B499" t="s">
        <v>1037</v>
      </c>
      <c r="C499">
        <v>58118977100</v>
      </c>
      <c r="D499">
        <v>58867040100</v>
      </c>
      <c r="E499">
        <v>87</v>
      </c>
      <c r="F499" t="str">
        <f>_xlfn.XLOOKUP(C499, '75'!$C$2:$C$1142, '75'!$F$2:$F$1142)</f>
        <v>no</v>
      </c>
    </row>
    <row r="500" spans="1:6" x14ac:dyDescent="0.45">
      <c r="A500" t="s">
        <v>1025</v>
      </c>
      <c r="B500" t="s">
        <v>1011</v>
      </c>
      <c r="C500">
        <v>57212385020</v>
      </c>
      <c r="D500">
        <v>59815240100</v>
      </c>
      <c r="E500">
        <v>84</v>
      </c>
      <c r="F500" t="str">
        <f>_xlfn.XLOOKUP(C500, '75'!$C$2:$C$1142, '75'!$F$2:$F$1142)</f>
        <v>no</v>
      </c>
    </row>
    <row r="501" spans="1:6" x14ac:dyDescent="0.45">
      <c r="A501" t="s">
        <v>1025</v>
      </c>
      <c r="B501" t="s">
        <v>1029</v>
      </c>
      <c r="C501">
        <v>57212385020</v>
      </c>
      <c r="D501">
        <v>57222498131</v>
      </c>
      <c r="E501">
        <v>80</v>
      </c>
      <c r="F501" t="str">
        <f>_xlfn.XLOOKUP(C501, '75'!$C$2:$C$1142, '75'!$F$2:$F$1142)</f>
        <v>no</v>
      </c>
    </row>
    <row r="502" spans="1:6" x14ac:dyDescent="0.45">
      <c r="A502" t="s">
        <v>1036</v>
      </c>
      <c r="B502" t="s">
        <v>1014</v>
      </c>
      <c r="C502">
        <v>59662621300</v>
      </c>
      <c r="D502">
        <v>57218475801</v>
      </c>
      <c r="E502">
        <v>80</v>
      </c>
      <c r="F502" t="str">
        <f>_xlfn.XLOOKUP(C502, '75'!$C$2:$C$1142, '75'!$F$2:$F$1142)</f>
        <v>no</v>
      </c>
    </row>
    <row r="503" spans="1:6" x14ac:dyDescent="0.45">
      <c r="A503" t="s">
        <v>1041</v>
      </c>
      <c r="B503" t="s">
        <v>995</v>
      </c>
      <c r="C503">
        <v>57219265536</v>
      </c>
      <c r="D503">
        <v>58097854500</v>
      </c>
      <c r="E503">
        <v>80</v>
      </c>
      <c r="F503" t="str">
        <f>_xlfn.XLOOKUP(C503, '75'!$C$2:$C$1142, '75'!$F$2:$F$1142)</f>
        <v>no</v>
      </c>
    </row>
    <row r="504" spans="1:6" x14ac:dyDescent="0.45">
      <c r="A504" t="s">
        <v>1041</v>
      </c>
      <c r="B504" t="s">
        <v>1055</v>
      </c>
      <c r="C504">
        <v>57219265536</v>
      </c>
      <c r="D504">
        <v>59474255400</v>
      </c>
      <c r="E504">
        <v>86</v>
      </c>
      <c r="F504" t="str">
        <f>_xlfn.XLOOKUP(C504, '75'!$C$2:$C$1142, '75'!$F$2:$F$1142)</f>
        <v>no</v>
      </c>
    </row>
    <row r="505" spans="1:6" x14ac:dyDescent="0.45">
      <c r="A505" t="s">
        <v>1047</v>
      </c>
      <c r="B505" t="s">
        <v>991</v>
      </c>
      <c r="C505">
        <v>57221799820</v>
      </c>
      <c r="D505">
        <v>57206601221</v>
      </c>
      <c r="E505">
        <v>85</v>
      </c>
      <c r="F505" t="str">
        <f>_xlfn.XLOOKUP(C505, '75'!$C$2:$C$1142, '75'!$F$2:$F$1142)</f>
        <v>no</v>
      </c>
    </row>
    <row r="506" spans="1:6" x14ac:dyDescent="0.45">
      <c r="A506" t="s">
        <v>1047</v>
      </c>
      <c r="B506" t="s">
        <v>1056</v>
      </c>
      <c r="C506">
        <v>57221799820</v>
      </c>
      <c r="D506">
        <v>58527206800</v>
      </c>
      <c r="E506">
        <v>80</v>
      </c>
      <c r="F506" t="str">
        <f>_xlfn.XLOOKUP(C506, '75'!$C$2:$C$1142, '75'!$F$2:$F$1142)</f>
        <v>no</v>
      </c>
    </row>
    <row r="507" spans="1:6" x14ac:dyDescent="0.45">
      <c r="A507" t="s">
        <v>985</v>
      </c>
      <c r="B507" t="s">
        <v>1026</v>
      </c>
      <c r="C507">
        <v>57226131863</v>
      </c>
      <c r="D507">
        <v>57218868125</v>
      </c>
      <c r="E507">
        <v>89</v>
      </c>
      <c r="F507" t="str">
        <f>_xlfn.XLOOKUP(C507, '75'!$C$2:$C$1142, '75'!$F$2:$F$1142)</f>
        <v>no</v>
      </c>
    </row>
    <row r="508" spans="1:6" x14ac:dyDescent="0.45">
      <c r="A508" t="s">
        <v>985</v>
      </c>
      <c r="B508" t="s">
        <v>1027</v>
      </c>
      <c r="C508">
        <v>57226131863</v>
      </c>
      <c r="D508">
        <v>59560883400</v>
      </c>
      <c r="E508">
        <v>78</v>
      </c>
      <c r="F508" t="str">
        <f>_xlfn.XLOOKUP(C508, '75'!$C$2:$C$1142, '75'!$F$2:$F$1142)</f>
        <v>no</v>
      </c>
    </row>
    <row r="509" spans="1:6" x14ac:dyDescent="0.45">
      <c r="A509" t="s">
        <v>1037</v>
      </c>
      <c r="B509" t="s">
        <v>1011</v>
      </c>
      <c r="C509">
        <v>58867040100</v>
      </c>
      <c r="D509">
        <v>59815240100</v>
      </c>
      <c r="E509">
        <v>80</v>
      </c>
      <c r="F509" t="str">
        <f>_xlfn.XLOOKUP(C509, '75'!$C$2:$C$1142, '75'!$F$2:$F$1142)</f>
        <v>no</v>
      </c>
    </row>
    <row r="510" spans="1:6" x14ac:dyDescent="0.45">
      <c r="A510" t="s">
        <v>995</v>
      </c>
      <c r="B510" t="s">
        <v>993</v>
      </c>
      <c r="C510">
        <v>58097854500</v>
      </c>
      <c r="D510">
        <v>59537723600</v>
      </c>
      <c r="E510">
        <v>82</v>
      </c>
      <c r="F510" t="str">
        <f>_xlfn.XLOOKUP(C510, '75'!$C$2:$C$1142, '75'!$F$2:$F$1142)</f>
        <v>no</v>
      </c>
    </row>
    <row r="511" spans="1:6" x14ac:dyDescent="0.45">
      <c r="A511" t="s">
        <v>1026</v>
      </c>
      <c r="B511" t="s">
        <v>1054</v>
      </c>
      <c r="C511">
        <v>57218868125</v>
      </c>
      <c r="D511">
        <v>57220783660</v>
      </c>
      <c r="E511">
        <v>84</v>
      </c>
      <c r="F511" t="str">
        <f>_xlfn.XLOOKUP(C511, '75'!$C$2:$C$1142, '75'!$F$2:$F$1142)</f>
        <v>no</v>
      </c>
    </row>
    <row r="512" spans="1:6" x14ac:dyDescent="0.45">
      <c r="A512" t="s">
        <v>1026</v>
      </c>
      <c r="B512" t="s">
        <v>1030</v>
      </c>
      <c r="C512">
        <v>57218868125</v>
      </c>
      <c r="D512">
        <v>55712748700</v>
      </c>
      <c r="E512">
        <v>80</v>
      </c>
      <c r="F512" t="str">
        <f>_xlfn.XLOOKUP(C512, '75'!$C$2:$C$1142, '75'!$F$2:$F$1142)</f>
        <v>no</v>
      </c>
    </row>
    <row r="513" spans="1:6" x14ac:dyDescent="0.45">
      <c r="A513" t="s">
        <v>1027</v>
      </c>
      <c r="B513" t="s">
        <v>1030</v>
      </c>
      <c r="C513">
        <v>59560883400</v>
      </c>
      <c r="D513">
        <v>55712748700</v>
      </c>
      <c r="E513">
        <v>80</v>
      </c>
      <c r="F513" t="str">
        <f>_xlfn.XLOOKUP(C513, '75'!$C$2:$C$1142, '75'!$F$2:$F$1142)</f>
        <v>no</v>
      </c>
    </row>
    <row r="514" spans="1:6" x14ac:dyDescent="0.45">
      <c r="A514" t="s">
        <v>1058</v>
      </c>
      <c r="B514" t="s">
        <v>1059</v>
      </c>
      <c r="C514">
        <v>59658256200</v>
      </c>
      <c r="D514">
        <v>57226715462</v>
      </c>
      <c r="E514">
        <v>80</v>
      </c>
      <c r="F514" t="str">
        <f>_xlfn.XLOOKUP(C514, '75'!$C$2:$C$1142, '75'!$F$2:$F$1142)</f>
        <v>no</v>
      </c>
    </row>
    <row r="515" spans="1:6" x14ac:dyDescent="0.45">
      <c r="A515" t="s">
        <v>1010</v>
      </c>
      <c r="B515" t="s">
        <v>1029</v>
      </c>
      <c r="C515">
        <v>57216771994</v>
      </c>
      <c r="D515">
        <v>57222498131</v>
      </c>
      <c r="E515">
        <v>84</v>
      </c>
      <c r="F515" t="str">
        <f>_xlfn.XLOOKUP(C515, '75'!$C$2:$C$1142, '75'!$F$2:$F$1142)</f>
        <v>no</v>
      </c>
    </row>
    <row r="516" spans="1:6" x14ac:dyDescent="0.45">
      <c r="A516" t="s">
        <v>1010</v>
      </c>
      <c r="B516" t="s">
        <v>1013</v>
      </c>
      <c r="C516">
        <v>57216771994</v>
      </c>
      <c r="D516">
        <v>7601513640</v>
      </c>
      <c r="E516">
        <v>94</v>
      </c>
      <c r="F516" t="str">
        <f>_xlfn.XLOOKUP(C516, '75'!$C$2:$C$1142, '75'!$F$2:$F$1142)</f>
        <v>no</v>
      </c>
    </row>
    <row r="517" spans="1:6" x14ac:dyDescent="0.45">
      <c r="A517" t="s">
        <v>996</v>
      </c>
      <c r="B517" t="s">
        <v>1014</v>
      </c>
      <c r="C517">
        <v>59773982900</v>
      </c>
      <c r="D517">
        <v>57218475801</v>
      </c>
      <c r="E517">
        <v>80</v>
      </c>
      <c r="F517" t="str">
        <f>_xlfn.XLOOKUP(C517, '75'!$C$2:$C$1142, '75'!$F$2:$F$1142)</f>
        <v>no</v>
      </c>
    </row>
    <row r="518" spans="1:6" x14ac:dyDescent="0.45">
      <c r="A518" t="s">
        <v>1060</v>
      </c>
      <c r="B518" t="s">
        <v>1061</v>
      </c>
      <c r="C518">
        <v>58670992800</v>
      </c>
      <c r="D518">
        <v>55949122700</v>
      </c>
      <c r="E518">
        <v>78</v>
      </c>
      <c r="F518" t="str">
        <f>_xlfn.XLOOKUP(C518, '75'!$C$2:$C$1142, '75'!$F$2:$F$1142)</f>
        <v>no</v>
      </c>
    </row>
    <row r="519" spans="1:6" x14ac:dyDescent="0.45">
      <c r="A519" t="s">
        <v>1028</v>
      </c>
      <c r="B519" t="s">
        <v>1012</v>
      </c>
      <c r="C519">
        <v>57215193390</v>
      </c>
      <c r="D519">
        <v>55718418500</v>
      </c>
      <c r="E519">
        <v>78</v>
      </c>
      <c r="F519" t="str">
        <f>_xlfn.XLOOKUP(C519, '75'!$C$2:$C$1142, '75'!$F$2:$F$1142)</f>
        <v>no</v>
      </c>
    </row>
    <row r="520" spans="1:6" x14ac:dyDescent="0.45">
      <c r="A520" t="s">
        <v>1011</v>
      </c>
      <c r="B520" t="s">
        <v>1014</v>
      </c>
      <c r="C520">
        <v>59815240100</v>
      </c>
      <c r="D520">
        <v>57218475801</v>
      </c>
      <c r="E520">
        <v>78</v>
      </c>
      <c r="F520" t="str">
        <f>_xlfn.XLOOKUP(C520, '75'!$C$2:$C$1142, '75'!$F$2:$F$1142)</f>
        <v>no</v>
      </c>
    </row>
    <row r="521" spans="1:6" x14ac:dyDescent="0.45">
      <c r="A521" t="s">
        <v>1029</v>
      </c>
      <c r="B521" t="s">
        <v>1013</v>
      </c>
      <c r="C521">
        <v>57222498131</v>
      </c>
      <c r="D521">
        <v>7601513640</v>
      </c>
      <c r="E521">
        <v>89</v>
      </c>
      <c r="F521" t="str">
        <f>_xlfn.XLOOKUP(C521, '75'!$C$2:$C$1142, '75'!$F$2:$F$1142)</f>
        <v>no</v>
      </c>
    </row>
    <row r="522" spans="1:6" x14ac:dyDescent="0.45">
      <c r="A522" t="s">
        <v>1030</v>
      </c>
      <c r="B522" t="s">
        <v>1013</v>
      </c>
      <c r="C522">
        <v>55712748700</v>
      </c>
      <c r="D522">
        <v>7601513640</v>
      </c>
      <c r="E522">
        <v>80</v>
      </c>
      <c r="F522" t="str">
        <f>_xlfn.XLOOKUP(C522, '75'!$C$2:$C$1142, '75'!$F$2:$F$1142)</f>
        <v>no</v>
      </c>
    </row>
    <row r="523" spans="1:6" x14ac:dyDescent="0.45">
      <c r="A523" t="s">
        <v>1068</v>
      </c>
      <c r="B523" t="s">
        <v>1069</v>
      </c>
      <c r="C523">
        <v>57196732836</v>
      </c>
      <c r="D523">
        <v>57188645378</v>
      </c>
      <c r="E523">
        <v>80</v>
      </c>
      <c r="F523" t="str">
        <f>_xlfn.XLOOKUP(C523, '75'!$C$2:$C$1142, '75'!$F$2:$F$1142)</f>
        <v>no</v>
      </c>
    </row>
    <row r="524" spans="1:6" x14ac:dyDescent="0.45">
      <c r="A524" t="s">
        <v>1073</v>
      </c>
      <c r="B524" t="s">
        <v>1074</v>
      </c>
      <c r="C524">
        <v>24443034100</v>
      </c>
      <c r="D524">
        <v>57248304100</v>
      </c>
      <c r="E524">
        <v>85</v>
      </c>
      <c r="F524" t="str">
        <f>_xlfn.XLOOKUP(C524, '75'!$C$2:$C$1142, '75'!$F$2:$F$1142)</f>
        <v>ok</v>
      </c>
    </row>
    <row r="525" spans="1:6" x14ac:dyDescent="0.45">
      <c r="A525" t="s">
        <v>1075</v>
      </c>
      <c r="B525" t="s">
        <v>1076</v>
      </c>
      <c r="C525">
        <v>7405855808</v>
      </c>
      <c r="D525">
        <v>57344777600</v>
      </c>
      <c r="E525">
        <v>79</v>
      </c>
      <c r="F525" t="str">
        <f>_xlfn.XLOOKUP(C525, '75'!$C$2:$C$1142, '75'!$F$2:$F$1142)</f>
        <v>ok</v>
      </c>
    </row>
    <row r="526" spans="1:6" x14ac:dyDescent="0.45">
      <c r="A526" t="s">
        <v>1082</v>
      </c>
      <c r="B526" t="s">
        <v>1083</v>
      </c>
      <c r="C526">
        <v>57207812926</v>
      </c>
      <c r="D526">
        <v>57203390142</v>
      </c>
      <c r="E526">
        <v>86</v>
      </c>
      <c r="F526" t="str">
        <f>_xlfn.XLOOKUP(C526, '75'!$C$2:$C$1142, '75'!$F$2:$F$1142)</f>
        <v>no</v>
      </c>
    </row>
    <row r="527" spans="1:6" x14ac:dyDescent="0.45">
      <c r="A527" t="s">
        <v>1084</v>
      </c>
      <c r="B527" t="s">
        <v>1085</v>
      </c>
      <c r="C527">
        <v>57194277787</v>
      </c>
      <c r="D527">
        <v>55388137300</v>
      </c>
      <c r="E527">
        <v>78</v>
      </c>
      <c r="F527" t="str">
        <f>_xlfn.XLOOKUP(C527, '75'!$C$2:$C$1142, '75'!$F$2:$F$1142)</f>
        <v>no</v>
      </c>
    </row>
    <row r="528" spans="1:6" x14ac:dyDescent="0.45">
      <c r="A528" t="s">
        <v>1086</v>
      </c>
      <c r="B528" t="s">
        <v>1087</v>
      </c>
      <c r="C528">
        <v>35147042400</v>
      </c>
      <c r="D528">
        <v>57219498582</v>
      </c>
      <c r="E528">
        <v>95</v>
      </c>
      <c r="F528" t="str">
        <f>_xlfn.XLOOKUP(C528, '75'!$C$2:$C$1142, '75'!$F$2:$F$1142)</f>
        <v>no</v>
      </c>
    </row>
    <row r="529" spans="1:6" x14ac:dyDescent="0.45">
      <c r="A529" t="s">
        <v>1089</v>
      </c>
      <c r="B529" t="s">
        <v>1090</v>
      </c>
      <c r="C529">
        <v>7006651181</v>
      </c>
      <c r="D529">
        <v>57217006788</v>
      </c>
      <c r="E529">
        <v>78</v>
      </c>
      <c r="F529" t="str">
        <f>_xlfn.XLOOKUP(C529, '75'!$C$2:$C$1142, '75'!$F$2:$F$1142)</f>
        <v>no</v>
      </c>
    </row>
    <row r="530" spans="1:6" x14ac:dyDescent="0.45">
      <c r="A530" t="s">
        <v>1091</v>
      </c>
      <c r="B530" t="s">
        <v>1092</v>
      </c>
      <c r="C530">
        <v>57484914600</v>
      </c>
      <c r="D530">
        <v>59705724000</v>
      </c>
      <c r="E530">
        <v>78</v>
      </c>
      <c r="F530" t="str">
        <f>_xlfn.XLOOKUP(C530, '75'!$C$2:$C$1142, '75'!$F$2:$F$1142)</f>
        <v>no</v>
      </c>
    </row>
    <row r="531" spans="1:6" x14ac:dyDescent="0.45">
      <c r="A531" t="s">
        <v>1093</v>
      </c>
      <c r="B531" t="s">
        <v>1094</v>
      </c>
      <c r="C531">
        <v>57197518788</v>
      </c>
      <c r="D531">
        <v>57581006200</v>
      </c>
      <c r="E531">
        <v>86</v>
      </c>
      <c r="F531" t="str">
        <f>_xlfn.XLOOKUP(C531, '75'!$C$2:$C$1142, '75'!$F$2:$F$1142)</f>
        <v>no</v>
      </c>
    </row>
    <row r="532" spans="1:6" x14ac:dyDescent="0.45">
      <c r="A532" t="s">
        <v>1083</v>
      </c>
      <c r="B532" t="s">
        <v>1095</v>
      </c>
      <c r="C532">
        <v>57203390142</v>
      </c>
      <c r="D532">
        <v>58905961200</v>
      </c>
      <c r="E532">
        <v>78</v>
      </c>
      <c r="F532" t="str">
        <f>_xlfn.XLOOKUP(C532, '75'!$C$2:$C$1142, '75'!$F$2:$F$1142)</f>
        <v>no</v>
      </c>
    </row>
    <row r="533" spans="1:6" x14ac:dyDescent="0.45">
      <c r="A533" t="s">
        <v>1096</v>
      </c>
      <c r="B533" t="s">
        <v>1097</v>
      </c>
      <c r="C533">
        <v>57221630135</v>
      </c>
      <c r="D533">
        <v>57718687400</v>
      </c>
      <c r="E533">
        <v>82</v>
      </c>
      <c r="F533" t="str">
        <f>_xlfn.XLOOKUP(C533, '75'!$C$2:$C$1142, '75'!$F$2:$F$1142)</f>
        <v>no</v>
      </c>
    </row>
    <row r="534" spans="1:6" x14ac:dyDescent="0.45">
      <c r="A534" t="s">
        <v>1092</v>
      </c>
      <c r="B534" t="s">
        <v>1098</v>
      </c>
      <c r="C534">
        <v>59705724000</v>
      </c>
      <c r="D534">
        <v>57956141800</v>
      </c>
      <c r="E534">
        <v>82</v>
      </c>
      <c r="F534" t="str">
        <f>_xlfn.XLOOKUP(C534, '75'!$C$2:$C$1142, '75'!$F$2:$F$1142)</f>
        <v>no</v>
      </c>
    </row>
    <row r="535" spans="1:6" x14ac:dyDescent="0.45">
      <c r="A535" t="s">
        <v>1097</v>
      </c>
      <c r="B535" t="s">
        <v>1099</v>
      </c>
      <c r="C535">
        <v>57718687400</v>
      </c>
      <c r="D535">
        <v>56548002700</v>
      </c>
      <c r="E535">
        <v>78</v>
      </c>
      <c r="F535" t="str">
        <f>_xlfn.XLOOKUP(C535, '75'!$C$2:$C$1142, '75'!$F$2:$F$1142)</f>
        <v>no</v>
      </c>
    </row>
    <row r="536" spans="1:6" x14ac:dyDescent="0.45">
      <c r="A536" t="s">
        <v>1100</v>
      </c>
      <c r="B536" t="s">
        <v>1101</v>
      </c>
      <c r="C536">
        <v>55685656900</v>
      </c>
      <c r="D536">
        <v>57219838274</v>
      </c>
      <c r="E536">
        <v>87</v>
      </c>
      <c r="F536" t="str">
        <f>_xlfn.XLOOKUP(C536, '75'!$C$2:$C$1142, '75'!$F$2:$F$1142)</f>
        <v>ok</v>
      </c>
    </row>
    <row r="537" spans="1:6" x14ac:dyDescent="0.45">
      <c r="A537" t="s">
        <v>1103</v>
      </c>
      <c r="B537" t="s">
        <v>1104</v>
      </c>
      <c r="C537">
        <v>59130540100</v>
      </c>
      <c r="D537">
        <v>57193678960</v>
      </c>
      <c r="E537">
        <v>84</v>
      </c>
      <c r="F537" t="str">
        <f>_xlfn.XLOOKUP(C537, '75'!$C$2:$C$1142, '75'!$F$2:$F$1142)</f>
        <v>no</v>
      </c>
    </row>
    <row r="538" spans="1:6" x14ac:dyDescent="0.45">
      <c r="A538" t="s">
        <v>1103</v>
      </c>
      <c r="B538" t="s">
        <v>1105</v>
      </c>
      <c r="C538">
        <v>59130540100</v>
      </c>
      <c r="D538">
        <v>57192159108</v>
      </c>
      <c r="E538">
        <v>78</v>
      </c>
      <c r="F538" t="str">
        <f>_xlfn.XLOOKUP(C538, '75'!$C$2:$C$1142, '75'!$F$2:$F$1142)</f>
        <v>no</v>
      </c>
    </row>
    <row r="539" spans="1:6" x14ac:dyDescent="0.45">
      <c r="A539" t="s">
        <v>1103</v>
      </c>
      <c r="B539" t="s">
        <v>1106</v>
      </c>
      <c r="C539">
        <v>59130540100</v>
      </c>
      <c r="D539">
        <v>56675471800</v>
      </c>
      <c r="E539">
        <v>89</v>
      </c>
      <c r="F539" t="str">
        <f>_xlfn.XLOOKUP(C539, '75'!$C$2:$C$1142, '75'!$F$2:$F$1142)</f>
        <v>no</v>
      </c>
    </row>
    <row r="540" spans="1:6" x14ac:dyDescent="0.45">
      <c r="A540" t="s">
        <v>1103</v>
      </c>
      <c r="B540" t="s">
        <v>1107</v>
      </c>
      <c r="C540">
        <v>59130540100</v>
      </c>
      <c r="D540">
        <v>56083560200</v>
      </c>
      <c r="E540">
        <v>78</v>
      </c>
      <c r="F540" t="str">
        <f>_xlfn.XLOOKUP(C540, '75'!$C$2:$C$1142, '75'!$F$2:$F$1142)</f>
        <v>no</v>
      </c>
    </row>
    <row r="541" spans="1:6" x14ac:dyDescent="0.45">
      <c r="A541" t="s">
        <v>1103</v>
      </c>
      <c r="B541" t="s">
        <v>1108</v>
      </c>
      <c r="C541">
        <v>59130540100</v>
      </c>
      <c r="D541">
        <v>55330996300</v>
      </c>
      <c r="E541">
        <v>84</v>
      </c>
      <c r="F541" t="str">
        <f>_xlfn.XLOOKUP(C541, '75'!$C$2:$C$1142, '75'!$F$2:$F$1142)</f>
        <v>no</v>
      </c>
    </row>
    <row r="542" spans="1:6" x14ac:dyDescent="0.45">
      <c r="A542" t="s">
        <v>1103</v>
      </c>
      <c r="B542" t="s">
        <v>1109</v>
      </c>
      <c r="C542">
        <v>59130540100</v>
      </c>
      <c r="D542">
        <v>57217109201</v>
      </c>
      <c r="E542">
        <v>80</v>
      </c>
      <c r="F542" t="str">
        <f>_xlfn.XLOOKUP(C542, '75'!$C$2:$C$1142, '75'!$F$2:$F$1142)</f>
        <v>no</v>
      </c>
    </row>
    <row r="543" spans="1:6" x14ac:dyDescent="0.45">
      <c r="A543" t="s">
        <v>1103</v>
      </c>
      <c r="B543" t="s">
        <v>1111</v>
      </c>
      <c r="C543">
        <v>59130540100</v>
      </c>
      <c r="D543">
        <v>26023886900</v>
      </c>
      <c r="E543">
        <v>78</v>
      </c>
      <c r="F543" t="str">
        <f>_xlfn.XLOOKUP(C543, '75'!$C$2:$C$1142, '75'!$F$2:$F$1142)</f>
        <v>no</v>
      </c>
    </row>
    <row r="544" spans="1:6" x14ac:dyDescent="0.45">
      <c r="A544" t="s">
        <v>1113</v>
      </c>
      <c r="B544" t="s">
        <v>1116</v>
      </c>
      <c r="C544">
        <v>57192375762</v>
      </c>
      <c r="D544">
        <v>57490488200</v>
      </c>
      <c r="E544">
        <v>82</v>
      </c>
      <c r="F544" t="str">
        <f>_xlfn.XLOOKUP(C544, '75'!$C$2:$C$1142, '75'!$F$2:$F$1142)</f>
        <v>no</v>
      </c>
    </row>
    <row r="545" spans="1:6" x14ac:dyDescent="0.45">
      <c r="A545" t="s">
        <v>1113</v>
      </c>
      <c r="B545" t="s">
        <v>1118</v>
      </c>
      <c r="C545">
        <v>57192375762</v>
      </c>
      <c r="D545">
        <v>57928856000</v>
      </c>
      <c r="E545">
        <v>82</v>
      </c>
      <c r="F545" t="str">
        <f>_xlfn.XLOOKUP(C545, '75'!$C$2:$C$1142, '75'!$F$2:$F$1142)</f>
        <v>no</v>
      </c>
    </row>
    <row r="546" spans="1:6" x14ac:dyDescent="0.45">
      <c r="A546" t="s">
        <v>1113</v>
      </c>
      <c r="B546" t="s">
        <v>1119</v>
      </c>
      <c r="C546">
        <v>57192375762</v>
      </c>
      <c r="D546">
        <v>57225984973</v>
      </c>
      <c r="E546">
        <v>78</v>
      </c>
      <c r="F546" t="str">
        <f>_xlfn.XLOOKUP(C546, '75'!$C$2:$C$1142, '75'!$F$2:$F$1142)</f>
        <v>no</v>
      </c>
    </row>
    <row r="547" spans="1:6" x14ac:dyDescent="0.45">
      <c r="A547" t="s">
        <v>1120</v>
      </c>
      <c r="B547" t="s">
        <v>1121</v>
      </c>
      <c r="C547">
        <v>57191637431</v>
      </c>
      <c r="D547">
        <v>56149865900</v>
      </c>
      <c r="E547">
        <v>84</v>
      </c>
      <c r="F547" t="str">
        <f>_xlfn.XLOOKUP(C547, '75'!$C$2:$C$1142, '75'!$F$2:$F$1142)</f>
        <v>no</v>
      </c>
    </row>
    <row r="548" spans="1:6" x14ac:dyDescent="0.45">
      <c r="A548" t="s">
        <v>1120</v>
      </c>
      <c r="B548" t="s">
        <v>1122</v>
      </c>
      <c r="C548">
        <v>57191637431</v>
      </c>
      <c r="D548">
        <v>57216204512</v>
      </c>
      <c r="E548">
        <v>82</v>
      </c>
      <c r="F548" t="str">
        <f>_xlfn.XLOOKUP(C548, '75'!$C$2:$C$1142, '75'!$F$2:$F$1142)</f>
        <v>no</v>
      </c>
    </row>
    <row r="549" spans="1:6" x14ac:dyDescent="0.45">
      <c r="A549" t="s">
        <v>1120</v>
      </c>
      <c r="B549" t="s">
        <v>1125</v>
      </c>
      <c r="C549">
        <v>57191637431</v>
      </c>
      <c r="D549">
        <v>59504639600</v>
      </c>
      <c r="E549">
        <v>80</v>
      </c>
      <c r="F549" t="str">
        <f>_xlfn.XLOOKUP(C549, '75'!$C$2:$C$1142, '75'!$F$2:$F$1142)</f>
        <v>no</v>
      </c>
    </row>
    <row r="550" spans="1:6" x14ac:dyDescent="0.45">
      <c r="A550" t="s">
        <v>1104</v>
      </c>
      <c r="B550" t="s">
        <v>1105</v>
      </c>
      <c r="C550">
        <v>57193678960</v>
      </c>
      <c r="D550">
        <v>57192159108</v>
      </c>
      <c r="E550">
        <v>84</v>
      </c>
      <c r="F550" t="str">
        <f>_xlfn.XLOOKUP(C550, '75'!$C$2:$C$1142, '75'!$F$2:$F$1142)</f>
        <v>no</v>
      </c>
    </row>
    <row r="551" spans="1:6" x14ac:dyDescent="0.45">
      <c r="A551" t="s">
        <v>1104</v>
      </c>
      <c r="B551" t="s">
        <v>1108</v>
      </c>
      <c r="C551">
        <v>57193678960</v>
      </c>
      <c r="D551">
        <v>55330996300</v>
      </c>
      <c r="E551">
        <v>90</v>
      </c>
      <c r="F551" t="str">
        <f>_xlfn.XLOOKUP(C551, '75'!$C$2:$C$1142, '75'!$F$2:$F$1142)</f>
        <v>no</v>
      </c>
    </row>
    <row r="552" spans="1:6" x14ac:dyDescent="0.45">
      <c r="A552" t="s">
        <v>1104</v>
      </c>
      <c r="B552" t="s">
        <v>1127</v>
      </c>
      <c r="C552">
        <v>57193678960</v>
      </c>
      <c r="D552">
        <v>58511137000</v>
      </c>
      <c r="E552">
        <v>78</v>
      </c>
      <c r="F552" t="str">
        <f>_xlfn.XLOOKUP(C552, '75'!$C$2:$C$1142, '75'!$F$2:$F$1142)</f>
        <v>no</v>
      </c>
    </row>
    <row r="553" spans="1:6" x14ac:dyDescent="0.45">
      <c r="A553" t="s">
        <v>1104</v>
      </c>
      <c r="B553" t="s">
        <v>1112</v>
      </c>
      <c r="C553">
        <v>57193678960</v>
      </c>
      <c r="D553">
        <v>57220902381</v>
      </c>
      <c r="E553">
        <v>82</v>
      </c>
      <c r="F553" t="str">
        <f>_xlfn.XLOOKUP(C553, '75'!$C$2:$C$1142, '75'!$F$2:$F$1142)</f>
        <v>no</v>
      </c>
    </row>
    <row r="554" spans="1:6" x14ac:dyDescent="0.45">
      <c r="A554" t="s">
        <v>1134</v>
      </c>
      <c r="B554" t="s">
        <v>1136</v>
      </c>
      <c r="C554">
        <v>57202010045</v>
      </c>
      <c r="D554">
        <v>58484470900</v>
      </c>
      <c r="E554">
        <v>78</v>
      </c>
      <c r="F554" t="str">
        <f>_xlfn.XLOOKUP(C554, '75'!$C$2:$C$1142, '75'!$F$2:$F$1142)</f>
        <v>no</v>
      </c>
    </row>
    <row r="555" spans="1:6" x14ac:dyDescent="0.45">
      <c r="A555" t="s">
        <v>1134</v>
      </c>
      <c r="B555" t="s">
        <v>1137</v>
      </c>
      <c r="C555">
        <v>57202010045</v>
      </c>
      <c r="D555">
        <v>58659062200</v>
      </c>
      <c r="E555">
        <v>96</v>
      </c>
      <c r="F555" t="str">
        <f>_xlfn.XLOOKUP(C555, '75'!$C$2:$C$1142, '75'!$F$2:$F$1142)</f>
        <v>no</v>
      </c>
    </row>
    <row r="556" spans="1:6" x14ac:dyDescent="0.45">
      <c r="A556" t="s">
        <v>1134</v>
      </c>
      <c r="B556" t="s">
        <v>1138</v>
      </c>
      <c r="C556">
        <v>57202010045</v>
      </c>
      <c r="D556">
        <v>56420749300</v>
      </c>
      <c r="E556">
        <v>80</v>
      </c>
      <c r="F556" t="str">
        <f>_xlfn.XLOOKUP(C556, '75'!$C$2:$C$1142, '75'!$F$2:$F$1142)</f>
        <v>no</v>
      </c>
    </row>
    <row r="557" spans="1:6" x14ac:dyDescent="0.45">
      <c r="A557" t="s">
        <v>1140</v>
      </c>
      <c r="B557" t="s">
        <v>1141</v>
      </c>
      <c r="C557">
        <v>57227645300</v>
      </c>
      <c r="D557">
        <v>14833666800</v>
      </c>
      <c r="E557">
        <v>78</v>
      </c>
      <c r="F557" t="str">
        <f>_xlfn.XLOOKUP(C557, '75'!$C$2:$C$1142, '75'!$F$2:$F$1142)</f>
        <v>no</v>
      </c>
    </row>
    <row r="558" spans="1:6" x14ac:dyDescent="0.45">
      <c r="A558" t="s">
        <v>1105</v>
      </c>
      <c r="B558" t="s">
        <v>1126</v>
      </c>
      <c r="C558">
        <v>57192159108</v>
      </c>
      <c r="D558">
        <v>57202358222</v>
      </c>
      <c r="E558">
        <v>78</v>
      </c>
      <c r="F558" t="str">
        <f>_xlfn.XLOOKUP(C558, '75'!$C$2:$C$1142, '75'!$F$2:$F$1142)</f>
        <v>no</v>
      </c>
    </row>
    <row r="559" spans="1:6" x14ac:dyDescent="0.45">
      <c r="A559" t="s">
        <v>1105</v>
      </c>
      <c r="B559" t="s">
        <v>1108</v>
      </c>
      <c r="C559">
        <v>57192159108</v>
      </c>
      <c r="D559">
        <v>55330996300</v>
      </c>
      <c r="E559">
        <v>95</v>
      </c>
      <c r="F559" t="str">
        <f>_xlfn.XLOOKUP(C559, '75'!$C$2:$C$1142, '75'!$F$2:$F$1142)</f>
        <v>no</v>
      </c>
    </row>
    <row r="560" spans="1:6" x14ac:dyDescent="0.45">
      <c r="A560" t="s">
        <v>1105</v>
      </c>
      <c r="B560" t="s">
        <v>1127</v>
      </c>
      <c r="C560">
        <v>57192159108</v>
      </c>
      <c r="D560">
        <v>58511137000</v>
      </c>
      <c r="E560">
        <v>82</v>
      </c>
      <c r="F560" t="str">
        <f>_xlfn.XLOOKUP(C560, '75'!$C$2:$C$1142, '75'!$F$2:$F$1142)</f>
        <v>no</v>
      </c>
    </row>
    <row r="561" spans="1:6" x14ac:dyDescent="0.45">
      <c r="A561" t="s">
        <v>1105</v>
      </c>
      <c r="B561" t="s">
        <v>1112</v>
      </c>
      <c r="C561">
        <v>57192159108</v>
      </c>
      <c r="D561">
        <v>57220902381</v>
      </c>
      <c r="E561">
        <v>86</v>
      </c>
      <c r="F561" t="str">
        <f>_xlfn.XLOOKUP(C561, '75'!$C$2:$C$1142, '75'!$F$2:$F$1142)</f>
        <v>no</v>
      </c>
    </row>
    <row r="562" spans="1:6" x14ac:dyDescent="0.45">
      <c r="A562" t="s">
        <v>1105</v>
      </c>
      <c r="B562" t="s">
        <v>1128</v>
      </c>
      <c r="C562">
        <v>57192159108</v>
      </c>
      <c r="D562">
        <v>57222133578</v>
      </c>
      <c r="E562">
        <v>78</v>
      </c>
      <c r="F562" t="str">
        <f>_xlfn.XLOOKUP(C562, '75'!$C$2:$C$1142, '75'!$F$2:$F$1142)</f>
        <v>no</v>
      </c>
    </row>
    <row r="563" spans="1:6" x14ac:dyDescent="0.45">
      <c r="A563" t="s">
        <v>1105</v>
      </c>
      <c r="B563" t="s">
        <v>1142</v>
      </c>
      <c r="C563">
        <v>57192159108</v>
      </c>
      <c r="D563">
        <v>56591076800</v>
      </c>
      <c r="E563">
        <v>78</v>
      </c>
      <c r="F563" t="str">
        <f>_xlfn.XLOOKUP(C563, '75'!$C$2:$C$1142, '75'!$F$2:$F$1142)</f>
        <v>no</v>
      </c>
    </row>
    <row r="564" spans="1:6" x14ac:dyDescent="0.45">
      <c r="A564" t="s">
        <v>1106</v>
      </c>
      <c r="B564" t="s">
        <v>1143</v>
      </c>
      <c r="C564">
        <v>56675471800</v>
      </c>
      <c r="D564">
        <v>58148929600</v>
      </c>
      <c r="E564">
        <v>82</v>
      </c>
      <c r="F564" t="str">
        <f>_xlfn.XLOOKUP(C564, '75'!$C$2:$C$1142, '75'!$F$2:$F$1142)</f>
        <v>no</v>
      </c>
    </row>
    <row r="565" spans="1:6" x14ac:dyDescent="0.45">
      <c r="A565" t="s">
        <v>1106</v>
      </c>
      <c r="B565" t="s">
        <v>1107</v>
      </c>
      <c r="C565">
        <v>56675471800</v>
      </c>
      <c r="D565">
        <v>56083560200</v>
      </c>
      <c r="E565">
        <v>78</v>
      </c>
      <c r="F565" t="str">
        <f>_xlfn.XLOOKUP(C565, '75'!$C$2:$C$1142, '75'!$F$2:$F$1142)</f>
        <v>no</v>
      </c>
    </row>
    <row r="566" spans="1:6" x14ac:dyDescent="0.45">
      <c r="A566" t="s">
        <v>1106</v>
      </c>
      <c r="B566" t="s">
        <v>1109</v>
      </c>
      <c r="C566">
        <v>56675471800</v>
      </c>
      <c r="D566">
        <v>57217109201</v>
      </c>
      <c r="E566">
        <v>80</v>
      </c>
      <c r="F566" t="str">
        <f>_xlfn.XLOOKUP(C566, '75'!$C$2:$C$1142, '75'!$F$2:$F$1142)</f>
        <v>no</v>
      </c>
    </row>
    <row r="567" spans="1:6" x14ac:dyDescent="0.45">
      <c r="A567" t="s">
        <v>1106</v>
      </c>
      <c r="B567" t="s">
        <v>1111</v>
      </c>
      <c r="C567">
        <v>56675471800</v>
      </c>
      <c r="D567">
        <v>26023886900</v>
      </c>
      <c r="E567">
        <v>78</v>
      </c>
      <c r="F567" t="str">
        <f>_xlfn.XLOOKUP(C567, '75'!$C$2:$C$1142, '75'!$F$2:$F$1142)</f>
        <v>no</v>
      </c>
    </row>
    <row r="568" spans="1:6" x14ac:dyDescent="0.45">
      <c r="A568" t="s">
        <v>1106</v>
      </c>
      <c r="B568" t="s">
        <v>1149</v>
      </c>
      <c r="C568">
        <v>56675471800</v>
      </c>
      <c r="D568">
        <v>57445736500</v>
      </c>
      <c r="E568">
        <v>78</v>
      </c>
      <c r="F568" t="str">
        <f>_xlfn.XLOOKUP(C568, '75'!$C$2:$C$1142, '75'!$F$2:$F$1142)</f>
        <v>no</v>
      </c>
    </row>
    <row r="569" spans="1:6" x14ac:dyDescent="0.45">
      <c r="A569" t="s">
        <v>1150</v>
      </c>
      <c r="B569" t="s">
        <v>1151</v>
      </c>
      <c r="C569">
        <v>57195335713</v>
      </c>
      <c r="D569">
        <v>57210362788</v>
      </c>
      <c r="E569">
        <v>88</v>
      </c>
      <c r="F569" t="str">
        <f>_xlfn.XLOOKUP(C569, '75'!$C$2:$C$1142, '75'!$F$2:$F$1142)</f>
        <v>no</v>
      </c>
    </row>
    <row r="570" spans="1:6" x14ac:dyDescent="0.45">
      <c r="A570" t="s">
        <v>1150</v>
      </c>
      <c r="B570" t="s">
        <v>1155</v>
      </c>
      <c r="C570">
        <v>57195335713</v>
      </c>
      <c r="D570">
        <v>57216635351</v>
      </c>
      <c r="E570">
        <v>83</v>
      </c>
      <c r="F570" t="str">
        <f>_xlfn.XLOOKUP(C570, '75'!$C$2:$C$1142, '75'!$F$2:$F$1142)</f>
        <v>no</v>
      </c>
    </row>
    <row r="571" spans="1:6" x14ac:dyDescent="0.45">
      <c r="A571" t="s">
        <v>1150</v>
      </c>
      <c r="B571" t="s">
        <v>1156</v>
      </c>
      <c r="C571">
        <v>57195335713</v>
      </c>
      <c r="D571">
        <v>57545971500</v>
      </c>
      <c r="E571">
        <v>78</v>
      </c>
      <c r="F571" t="str">
        <f>_xlfn.XLOOKUP(C571, '75'!$C$2:$C$1142, '75'!$F$2:$F$1142)</f>
        <v>no</v>
      </c>
    </row>
    <row r="572" spans="1:6" x14ac:dyDescent="0.45">
      <c r="A572" t="s">
        <v>1150</v>
      </c>
      <c r="B572" t="s">
        <v>1158</v>
      </c>
      <c r="C572">
        <v>57195335713</v>
      </c>
      <c r="D572">
        <v>54390643800</v>
      </c>
      <c r="E572">
        <v>78</v>
      </c>
      <c r="F572" t="str">
        <f>_xlfn.XLOOKUP(C572, '75'!$C$2:$C$1142, '75'!$F$2:$F$1142)</f>
        <v>no</v>
      </c>
    </row>
    <row r="573" spans="1:6" x14ac:dyDescent="0.45">
      <c r="A573" t="s">
        <v>1150</v>
      </c>
      <c r="B573" t="s">
        <v>1159</v>
      </c>
      <c r="C573">
        <v>57195335713</v>
      </c>
      <c r="D573">
        <v>59814155200</v>
      </c>
      <c r="E573">
        <v>86</v>
      </c>
      <c r="F573" t="str">
        <f>_xlfn.XLOOKUP(C573, '75'!$C$2:$C$1142, '75'!$F$2:$F$1142)</f>
        <v>no</v>
      </c>
    </row>
    <row r="574" spans="1:6" x14ac:dyDescent="0.45">
      <c r="A574" t="s">
        <v>1160</v>
      </c>
      <c r="B574" t="s">
        <v>1161</v>
      </c>
      <c r="C574">
        <v>56963027800</v>
      </c>
      <c r="D574">
        <v>57214091117</v>
      </c>
      <c r="E574">
        <v>83</v>
      </c>
      <c r="F574" t="str">
        <f>_xlfn.XLOOKUP(C574, '75'!$C$2:$C$1142, '75'!$F$2:$F$1142)</f>
        <v>ok</v>
      </c>
    </row>
    <row r="575" spans="1:6" x14ac:dyDescent="0.45">
      <c r="A575" t="s">
        <v>1160</v>
      </c>
      <c r="B575" t="s">
        <v>1162</v>
      </c>
      <c r="C575">
        <v>56963027800</v>
      </c>
      <c r="D575">
        <v>57221753163</v>
      </c>
      <c r="E575">
        <v>78</v>
      </c>
      <c r="F575" t="str">
        <f>_xlfn.XLOOKUP(C575, '75'!$C$2:$C$1142, '75'!$F$2:$F$1142)</f>
        <v>ok</v>
      </c>
    </row>
    <row r="576" spans="1:6" x14ac:dyDescent="0.45">
      <c r="A576" t="s">
        <v>1160</v>
      </c>
      <c r="B576" t="s">
        <v>1163</v>
      </c>
      <c r="C576">
        <v>56963027800</v>
      </c>
      <c r="D576">
        <v>59315530000</v>
      </c>
      <c r="E576">
        <v>78</v>
      </c>
      <c r="F576" t="str">
        <f>_xlfn.XLOOKUP(C576, '75'!$C$2:$C$1142, '75'!$F$2:$F$1142)</f>
        <v>ok</v>
      </c>
    </row>
    <row r="577" spans="1:6" x14ac:dyDescent="0.45">
      <c r="A577" t="s">
        <v>1160</v>
      </c>
      <c r="B577" t="s">
        <v>1133</v>
      </c>
      <c r="C577">
        <v>56963027800</v>
      </c>
      <c r="D577">
        <v>58835262000</v>
      </c>
      <c r="E577">
        <v>78</v>
      </c>
      <c r="F577" t="str">
        <f>_xlfn.XLOOKUP(C577, '75'!$C$2:$C$1142, '75'!$F$2:$F$1142)</f>
        <v>ok</v>
      </c>
    </row>
    <row r="578" spans="1:6" x14ac:dyDescent="0.45">
      <c r="A578" t="s">
        <v>1101</v>
      </c>
      <c r="B578" t="s">
        <v>1102</v>
      </c>
      <c r="C578">
        <v>57219838274</v>
      </c>
      <c r="D578">
        <v>58368085700</v>
      </c>
      <c r="E578">
        <v>80</v>
      </c>
      <c r="F578" t="str">
        <f>_xlfn.XLOOKUP(C578, '75'!$C$2:$C$1142, '75'!$F$2:$F$1142)</f>
        <v>no</v>
      </c>
    </row>
    <row r="579" spans="1:6" x14ac:dyDescent="0.45">
      <c r="A579" t="s">
        <v>1168</v>
      </c>
      <c r="B579" t="s">
        <v>1117</v>
      </c>
      <c r="C579">
        <v>57565427400</v>
      </c>
      <c r="D579">
        <v>58809508500</v>
      </c>
      <c r="E579">
        <v>83</v>
      </c>
      <c r="F579" t="str">
        <f>_xlfn.XLOOKUP(C579, '75'!$C$2:$C$1142, '75'!$F$2:$F$1142)</f>
        <v>no</v>
      </c>
    </row>
    <row r="580" spans="1:6" x14ac:dyDescent="0.45">
      <c r="A580" t="s">
        <v>1151</v>
      </c>
      <c r="B580" t="s">
        <v>1148</v>
      </c>
      <c r="C580">
        <v>57210362788</v>
      </c>
      <c r="D580">
        <v>57215863345</v>
      </c>
      <c r="E580">
        <v>80</v>
      </c>
      <c r="F580" t="str">
        <f>_xlfn.XLOOKUP(C580, '75'!$C$2:$C$1142, '75'!$F$2:$F$1142)</f>
        <v>no</v>
      </c>
    </row>
    <row r="581" spans="1:6" x14ac:dyDescent="0.45">
      <c r="A581" t="s">
        <v>1143</v>
      </c>
      <c r="B581" t="s">
        <v>1146</v>
      </c>
      <c r="C581">
        <v>58148929600</v>
      </c>
      <c r="D581">
        <v>57732522100</v>
      </c>
      <c r="E581">
        <v>88</v>
      </c>
      <c r="F581" t="str">
        <f>_xlfn.XLOOKUP(C581, '75'!$C$2:$C$1142, '75'!$F$2:$F$1142)</f>
        <v>no</v>
      </c>
    </row>
    <row r="582" spans="1:6" x14ac:dyDescent="0.45">
      <c r="A582" t="s">
        <v>1107</v>
      </c>
      <c r="B582" t="s">
        <v>1172</v>
      </c>
      <c r="C582">
        <v>56083560200</v>
      </c>
      <c r="D582">
        <v>57226464367</v>
      </c>
      <c r="E582">
        <v>80</v>
      </c>
      <c r="F582" t="str">
        <f>_xlfn.XLOOKUP(C582, '75'!$C$2:$C$1142, '75'!$F$2:$F$1142)</f>
        <v>no</v>
      </c>
    </row>
    <row r="583" spans="1:6" x14ac:dyDescent="0.45">
      <c r="A583" t="s">
        <v>1107</v>
      </c>
      <c r="B583" t="s">
        <v>1111</v>
      </c>
      <c r="C583">
        <v>56083560200</v>
      </c>
      <c r="D583">
        <v>26023886900</v>
      </c>
      <c r="E583">
        <v>78</v>
      </c>
      <c r="F583" t="str">
        <f>_xlfn.XLOOKUP(C583, '75'!$C$2:$C$1142, '75'!$F$2:$F$1142)</f>
        <v>no</v>
      </c>
    </row>
    <row r="584" spans="1:6" x14ac:dyDescent="0.45">
      <c r="A584" t="s">
        <v>1107</v>
      </c>
      <c r="B584" t="s">
        <v>1149</v>
      </c>
      <c r="C584">
        <v>56083560200</v>
      </c>
      <c r="D584">
        <v>57445736500</v>
      </c>
      <c r="E584">
        <v>78</v>
      </c>
      <c r="F584" t="str">
        <f>_xlfn.XLOOKUP(C584, '75'!$C$2:$C$1142, '75'!$F$2:$F$1142)</f>
        <v>no</v>
      </c>
    </row>
    <row r="585" spans="1:6" x14ac:dyDescent="0.45">
      <c r="A585" t="s">
        <v>1152</v>
      </c>
      <c r="B585" t="s">
        <v>1162</v>
      </c>
      <c r="C585">
        <v>57197774098</v>
      </c>
      <c r="D585">
        <v>57221753163</v>
      </c>
      <c r="E585">
        <v>88</v>
      </c>
      <c r="F585" t="str">
        <f>_xlfn.XLOOKUP(C585, '75'!$C$2:$C$1142, '75'!$F$2:$F$1142)</f>
        <v>no</v>
      </c>
    </row>
    <row r="586" spans="1:6" x14ac:dyDescent="0.45">
      <c r="A586" t="s">
        <v>1152</v>
      </c>
      <c r="B586" t="s">
        <v>1159</v>
      </c>
      <c r="C586">
        <v>57197774098</v>
      </c>
      <c r="D586">
        <v>59814155200</v>
      </c>
      <c r="E586">
        <v>86</v>
      </c>
      <c r="F586" t="str">
        <f>_xlfn.XLOOKUP(C586, '75'!$C$2:$C$1142, '75'!$F$2:$F$1142)</f>
        <v>no</v>
      </c>
    </row>
    <row r="587" spans="1:6" x14ac:dyDescent="0.45">
      <c r="A587" t="s">
        <v>1144</v>
      </c>
      <c r="B587" t="s">
        <v>1130</v>
      </c>
      <c r="C587">
        <v>57219650380</v>
      </c>
      <c r="D587">
        <v>58250313900</v>
      </c>
      <c r="E587">
        <v>80</v>
      </c>
      <c r="F587" t="str">
        <f>_xlfn.XLOOKUP(C587, '75'!$C$2:$C$1142, '75'!$F$2:$F$1142)</f>
        <v>no</v>
      </c>
    </row>
    <row r="588" spans="1:6" x14ac:dyDescent="0.45">
      <c r="A588" t="s">
        <v>1144</v>
      </c>
      <c r="B588" t="s">
        <v>1163</v>
      </c>
      <c r="C588">
        <v>57219650380</v>
      </c>
      <c r="D588">
        <v>59315530000</v>
      </c>
      <c r="E588">
        <v>80</v>
      </c>
      <c r="F588" t="str">
        <f>_xlfn.XLOOKUP(C588, '75'!$C$2:$C$1142, '75'!$F$2:$F$1142)</f>
        <v>no</v>
      </c>
    </row>
    <row r="589" spans="1:6" x14ac:dyDescent="0.45">
      <c r="A589" t="s">
        <v>1175</v>
      </c>
      <c r="B589" t="s">
        <v>1123</v>
      </c>
      <c r="C589">
        <v>57215871469</v>
      </c>
      <c r="D589">
        <v>57388977900</v>
      </c>
      <c r="E589">
        <v>84</v>
      </c>
      <c r="F589" t="str">
        <f>_xlfn.XLOOKUP(C589, '75'!$C$2:$C$1142, '75'!$F$2:$F$1142)</f>
        <v>ok</v>
      </c>
    </row>
    <row r="590" spans="1:6" x14ac:dyDescent="0.45">
      <c r="A590" t="s">
        <v>1175</v>
      </c>
      <c r="B590" t="s">
        <v>1176</v>
      </c>
      <c r="C590">
        <v>57215871469</v>
      </c>
      <c r="D590">
        <v>59469547500</v>
      </c>
      <c r="E590">
        <v>91</v>
      </c>
      <c r="F590" t="str">
        <f>_xlfn.XLOOKUP(C590, '75'!$C$2:$C$1142, '75'!$F$2:$F$1142)</f>
        <v>ok</v>
      </c>
    </row>
    <row r="591" spans="1:6" x14ac:dyDescent="0.45">
      <c r="A591" t="s">
        <v>1153</v>
      </c>
      <c r="B591" t="s">
        <v>1135</v>
      </c>
      <c r="C591">
        <v>56652361000</v>
      </c>
      <c r="D591">
        <v>57234148200</v>
      </c>
      <c r="E591">
        <v>82</v>
      </c>
      <c r="F591" t="str">
        <f>_xlfn.XLOOKUP(C591, '75'!$C$2:$C$1142, '75'!$F$2:$F$1142)</f>
        <v>no</v>
      </c>
    </row>
    <row r="592" spans="1:6" x14ac:dyDescent="0.45">
      <c r="A592" t="s">
        <v>1153</v>
      </c>
      <c r="B592" t="s">
        <v>1156</v>
      </c>
      <c r="C592">
        <v>56652361000</v>
      </c>
      <c r="D592">
        <v>57545971500</v>
      </c>
      <c r="E592">
        <v>80</v>
      </c>
      <c r="F592" t="str">
        <f>_xlfn.XLOOKUP(C592, '75'!$C$2:$C$1142, '75'!$F$2:$F$1142)</f>
        <v>no</v>
      </c>
    </row>
    <row r="593" spans="1:6" x14ac:dyDescent="0.45">
      <c r="A593" t="s">
        <v>1153</v>
      </c>
      <c r="B593" t="s">
        <v>1111</v>
      </c>
      <c r="C593">
        <v>56652361000</v>
      </c>
      <c r="D593">
        <v>26023886900</v>
      </c>
      <c r="E593">
        <v>78</v>
      </c>
      <c r="F593" t="str">
        <f>_xlfn.XLOOKUP(C593, '75'!$C$2:$C$1142, '75'!$F$2:$F$1142)</f>
        <v>no</v>
      </c>
    </row>
    <row r="594" spans="1:6" x14ac:dyDescent="0.45">
      <c r="A594" t="s">
        <v>1153</v>
      </c>
      <c r="B594" t="s">
        <v>1138</v>
      </c>
      <c r="C594">
        <v>56652361000</v>
      </c>
      <c r="D594">
        <v>56420749300</v>
      </c>
      <c r="E594">
        <v>89</v>
      </c>
      <c r="F594" t="str">
        <f>_xlfn.XLOOKUP(C594, '75'!$C$2:$C$1142, '75'!$F$2:$F$1142)</f>
        <v>no</v>
      </c>
    </row>
    <row r="595" spans="1:6" x14ac:dyDescent="0.45">
      <c r="A595" t="s">
        <v>1153</v>
      </c>
      <c r="B595" t="s">
        <v>1178</v>
      </c>
      <c r="C595">
        <v>56652361000</v>
      </c>
      <c r="D595">
        <v>59359288300</v>
      </c>
      <c r="E595">
        <v>80</v>
      </c>
      <c r="F595" t="str">
        <f>_xlfn.XLOOKUP(C595, '75'!$C$2:$C$1142, '75'!$F$2:$F$1142)</f>
        <v>no</v>
      </c>
    </row>
    <row r="596" spans="1:6" x14ac:dyDescent="0.45">
      <c r="A596" t="s">
        <v>1153</v>
      </c>
      <c r="B596" t="s">
        <v>1142</v>
      </c>
      <c r="C596">
        <v>56652361000</v>
      </c>
      <c r="D596">
        <v>56591076800</v>
      </c>
      <c r="E596">
        <v>89</v>
      </c>
      <c r="F596" t="str">
        <f>_xlfn.XLOOKUP(C596, '75'!$C$2:$C$1142, '75'!$F$2:$F$1142)</f>
        <v>no</v>
      </c>
    </row>
    <row r="597" spans="1:6" x14ac:dyDescent="0.45">
      <c r="A597" t="s">
        <v>1153</v>
      </c>
      <c r="B597" t="s">
        <v>1149</v>
      </c>
      <c r="C597">
        <v>56652361000</v>
      </c>
      <c r="D597">
        <v>57445736500</v>
      </c>
      <c r="E597">
        <v>78</v>
      </c>
      <c r="F597" t="str">
        <f>_xlfn.XLOOKUP(C597, '75'!$C$2:$C$1142, '75'!$F$2:$F$1142)</f>
        <v>no</v>
      </c>
    </row>
    <row r="598" spans="1:6" x14ac:dyDescent="0.45">
      <c r="A598" t="s">
        <v>1153</v>
      </c>
      <c r="B598" t="s">
        <v>1159</v>
      </c>
      <c r="C598">
        <v>56652361000</v>
      </c>
      <c r="D598">
        <v>59814155200</v>
      </c>
      <c r="E598">
        <v>89</v>
      </c>
      <c r="F598" t="str">
        <f>_xlfn.XLOOKUP(C598, '75'!$C$2:$C$1142, '75'!$F$2:$F$1142)</f>
        <v>no</v>
      </c>
    </row>
    <row r="599" spans="1:6" x14ac:dyDescent="0.45">
      <c r="A599" t="s">
        <v>1171</v>
      </c>
      <c r="B599" t="s">
        <v>1130</v>
      </c>
      <c r="C599">
        <v>58669484300</v>
      </c>
      <c r="D599">
        <v>58250313900</v>
      </c>
      <c r="E599">
        <v>80</v>
      </c>
      <c r="F599" t="str">
        <f>_xlfn.XLOOKUP(C599, '75'!$C$2:$C$1142, '75'!$F$2:$F$1142)</f>
        <v>no</v>
      </c>
    </row>
    <row r="600" spans="1:6" x14ac:dyDescent="0.45">
      <c r="A600" t="s">
        <v>1171</v>
      </c>
      <c r="B600" t="s">
        <v>1111</v>
      </c>
      <c r="C600">
        <v>58669484300</v>
      </c>
      <c r="D600">
        <v>26023886900</v>
      </c>
      <c r="E600">
        <v>86</v>
      </c>
      <c r="F600" t="str">
        <f>_xlfn.XLOOKUP(C600, '75'!$C$2:$C$1142, '75'!$F$2:$F$1142)</f>
        <v>no</v>
      </c>
    </row>
    <row r="601" spans="1:6" x14ac:dyDescent="0.45">
      <c r="A601" t="s">
        <v>1145</v>
      </c>
      <c r="B601" t="s">
        <v>1146</v>
      </c>
      <c r="C601">
        <v>56066618800</v>
      </c>
      <c r="D601">
        <v>57732522100</v>
      </c>
      <c r="E601">
        <v>83</v>
      </c>
      <c r="F601" t="str">
        <f>_xlfn.XLOOKUP(C601, '75'!$C$2:$C$1142, '75'!$F$2:$F$1142)</f>
        <v>no</v>
      </c>
    </row>
    <row r="602" spans="1:6" x14ac:dyDescent="0.45">
      <c r="A602" t="s">
        <v>1145</v>
      </c>
      <c r="B602" t="s">
        <v>1156</v>
      </c>
      <c r="C602">
        <v>56066618800</v>
      </c>
      <c r="D602">
        <v>57545971500</v>
      </c>
      <c r="E602">
        <v>78</v>
      </c>
      <c r="F602" t="str">
        <f>_xlfn.XLOOKUP(C602, '75'!$C$2:$C$1142, '75'!$F$2:$F$1142)</f>
        <v>no</v>
      </c>
    </row>
    <row r="603" spans="1:6" x14ac:dyDescent="0.45">
      <c r="A603" t="s">
        <v>1145</v>
      </c>
      <c r="B603" t="s">
        <v>1148</v>
      </c>
      <c r="C603">
        <v>56066618800</v>
      </c>
      <c r="D603">
        <v>57215863345</v>
      </c>
      <c r="E603">
        <v>83</v>
      </c>
      <c r="F603" t="str">
        <f>_xlfn.XLOOKUP(C603, '75'!$C$2:$C$1142, '75'!$F$2:$F$1142)</f>
        <v>no</v>
      </c>
    </row>
    <row r="604" spans="1:6" x14ac:dyDescent="0.45">
      <c r="A604" t="s">
        <v>1145</v>
      </c>
      <c r="B604" t="s">
        <v>1170</v>
      </c>
      <c r="C604">
        <v>56066618800</v>
      </c>
      <c r="D604">
        <v>57191914913</v>
      </c>
      <c r="E604">
        <v>80</v>
      </c>
      <c r="F604" t="str">
        <f>_xlfn.XLOOKUP(C604, '75'!$C$2:$C$1142, '75'!$F$2:$F$1142)</f>
        <v>no</v>
      </c>
    </row>
    <row r="605" spans="1:6" x14ac:dyDescent="0.45">
      <c r="A605" t="s">
        <v>1179</v>
      </c>
      <c r="B605" t="s">
        <v>1162</v>
      </c>
      <c r="C605">
        <v>59622258600</v>
      </c>
      <c r="D605">
        <v>57221753163</v>
      </c>
      <c r="E605">
        <v>78</v>
      </c>
      <c r="F605" t="str">
        <f>_xlfn.XLOOKUP(C605, '75'!$C$2:$C$1142, '75'!$F$2:$F$1142)</f>
        <v>no</v>
      </c>
    </row>
    <row r="606" spans="1:6" x14ac:dyDescent="0.45">
      <c r="A606" t="s">
        <v>1126</v>
      </c>
      <c r="B606" t="s">
        <v>1108</v>
      </c>
      <c r="C606">
        <v>57202358222</v>
      </c>
      <c r="D606">
        <v>55330996300</v>
      </c>
      <c r="E606">
        <v>83</v>
      </c>
      <c r="F606" t="str">
        <f>_xlfn.XLOOKUP(C606, '75'!$C$2:$C$1142, '75'!$F$2:$F$1142)</f>
        <v>no</v>
      </c>
    </row>
    <row r="607" spans="1:6" x14ac:dyDescent="0.45">
      <c r="A607" t="s">
        <v>1126</v>
      </c>
      <c r="B607" t="s">
        <v>1127</v>
      </c>
      <c r="C607">
        <v>57202358222</v>
      </c>
      <c r="D607">
        <v>58511137000</v>
      </c>
      <c r="E607">
        <v>81</v>
      </c>
      <c r="F607" t="str">
        <f>_xlfn.XLOOKUP(C607, '75'!$C$2:$C$1142, '75'!$F$2:$F$1142)</f>
        <v>no</v>
      </c>
    </row>
    <row r="608" spans="1:6" x14ac:dyDescent="0.45">
      <c r="A608" t="s">
        <v>1126</v>
      </c>
      <c r="B608" t="s">
        <v>1128</v>
      </c>
      <c r="C608">
        <v>57202358222</v>
      </c>
      <c r="D608">
        <v>57222133578</v>
      </c>
      <c r="E608">
        <v>86</v>
      </c>
      <c r="F608" t="str">
        <f>_xlfn.XLOOKUP(C608, '75'!$C$2:$C$1142, '75'!$F$2:$F$1142)</f>
        <v>no</v>
      </c>
    </row>
    <row r="609" spans="1:6" x14ac:dyDescent="0.45">
      <c r="A609" t="s">
        <v>1126</v>
      </c>
      <c r="B609" t="s">
        <v>1142</v>
      </c>
      <c r="C609">
        <v>57202358222</v>
      </c>
      <c r="D609">
        <v>56591076800</v>
      </c>
      <c r="E609">
        <v>78</v>
      </c>
      <c r="F609" t="str">
        <f>_xlfn.XLOOKUP(C609, '75'!$C$2:$C$1142, '75'!$F$2:$F$1142)</f>
        <v>no</v>
      </c>
    </row>
    <row r="610" spans="1:6" x14ac:dyDescent="0.45">
      <c r="A610" t="s">
        <v>1108</v>
      </c>
      <c r="B610" t="s">
        <v>1127</v>
      </c>
      <c r="C610">
        <v>55330996300</v>
      </c>
      <c r="D610">
        <v>58511137000</v>
      </c>
      <c r="E610">
        <v>87</v>
      </c>
      <c r="F610" t="str">
        <f>_xlfn.XLOOKUP(C610, '75'!$C$2:$C$1142, '75'!$F$2:$F$1142)</f>
        <v>no</v>
      </c>
    </row>
    <row r="611" spans="1:6" x14ac:dyDescent="0.45">
      <c r="A611" t="s">
        <v>1108</v>
      </c>
      <c r="B611" t="s">
        <v>1112</v>
      </c>
      <c r="C611">
        <v>55330996300</v>
      </c>
      <c r="D611">
        <v>57220902381</v>
      </c>
      <c r="E611">
        <v>91</v>
      </c>
      <c r="F611" t="str">
        <f>_xlfn.XLOOKUP(C611, '75'!$C$2:$C$1142, '75'!$F$2:$F$1142)</f>
        <v>no</v>
      </c>
    </row>
    <row r="612" spans="1:6" x14ac:dyDescent="0.45">
      <c r="A612" t="s">
        <v>1108</v>
      </c>
      <c r="B612" t="s">
        <v>1128</v>
      </c>
      <c r="C612">
        <v>55330996300</v>
      </c>
      <c r="D612">
        <v>57222133578</v>
      </c>
      <c r="E612">
        <v>83</v>
      </c>
      <c r="F612" t="str">
        <f>_xlfn.XLOOKUP(C612, '75'!$C$2:$C$1142, '75'!$F$2:$F$1142)</f>
        <v>no</v>
      </c>
    </row>
    <row r="613" spans="1:6" x14ac:dyDescent="0.45">
      <c r="A613" t="s">
        <v>1108</v>
      </c>
      <c r="B613" t="s">
        <v>1142</v>
      </c>
      <c r="C613">
        <v>55330996300</v>
      </c>
      <c r="D613">
        <v>56591076800</v>
      </c>
      <c r="E613">
        <v>84</v>
      </c>
      <c r="F613" t="str">
        <f>_xlfn.XLOOKUP(C613, '75'!$C$2:$C$1142, '75'!$F$2:$F$1142)</f>
        <v>no</v>
      </c>
    </row>
    <row r="614" spans="1:6" x14ac:dyDescent="0.45">
      <c r="A614" t="s">
        <v>1181</v>
      </c>
      <c r="B614" t="s">
        <v>1182</v>
      </c>
      <c r="C614">
        <v>56503285300</v>
      </c>
      <c r="D614">
        <v>57609969300</v>
      </c>
      <c r="E614">
        <v>81</v>
      </c>
      <c r="F614" t="str">
        <f>_xlfn.XLOOKUP(C614, '75'!$C$2:$C$1142, '75'!$F$2:$F$1142)</f>
        <v>no</v>
      </c>
    </row>
    <row r="615" spans="1:6" x14ac:dyDescent="0.45">
      <c r="A615" t="s">
        <v>1181</v>
      </c>
      <c r="B615" t="s">
        <v>1159</v>
      </c>
      <c r="C615">
        <v>56503285300</v>
      </c>
      <c r="D615">
        <v>59814155200</v>
      </c>
      <c r="E615">
        <v>78</v>
      </c>
      <c r="F615" t="str">
        <f>_xlfn.XLOOKUP(C615, '75'!$C$2:$C$1142, '75'!$F$2:$F$1142)</f>
        <v>no</v>
      </c>
    </row>
    <row r="616" spans="1:6" x14ac:dyDescent="0.45">
      <c r="A616" t="s">
        <v>1154</v>
      </c>
      <c r="B616" t="s">
        <v>1130</v>
      </c>
      <c r="C616">
        <v>57654567800</v>
      </c>
      <c r="D616">
        <v>58250313900</v>
      </c>
      <c r="E616">
        <v>80</v>
      </c>
      <c r="F616" t="str">
        <f>_xlfn.XLOOKUP(C616, '75'!$C$2:$C$1142, '75'!$F$2:$F$1142)</f>
        <v>no</v>
      </c>
    </row>
    <row r="617" spans="1:6" x14ac:dyDescent="0.45">
      <c r="A617" t="s">
        <v>1154</v>
      </c>
      <c r="B617" t="s">
        <v>1163</v>
      </c>
      <c r="C617">
        <v>57654567800</v>
      </c>
      <c r="D617">
        <v>59315530000</v>
      </c>
      <c r="E617">
        <v>80</v>
      </c>
      <c r="F617" t="str">
        <f>_xlfn.XLOOKUP(C617, '75'!$C$2:$C$1142, '75'!$F$2:$F$1142)</f>
        <v>no</v>
      </c>
    </row>
    <row r="618" spans="1:6" x14ac:dyDescent="0.45">
      <c r="A618" t="s">
        <v>1146</v>
      </c>
      <c r="B618" t="s">
        <v>1148</v>
      </c>
      <c r="C618">
        <v>57732522100</v>
      </c>
      <c r="D618">
        <v>57215863345</v>
      </c>
      <c r="E618">
        <v>83</v>
      </c>
      <c r="F618" t="str">
        <f>_xlfn.XLOOKUP(C618, '75'!$C$2:$C$1142, '75'!$F$2:$F$1142)</f>
        <v>no</v>
      </c>
    </row>
    <row r="619" spans="1:6" x14ac:dyDescent="0.45">
      <c r="A619" t="s">
        <v>1146</v>
      </c>
      <c r="B619" t="s">
        <v>1170</v>
      </c>
      <c r="C619">
        <v>57732522100</v>
      </c>
      <c r="D619">
        <v>57191914913</v>
      </c>
      <c r="E619">
        <v>80</v>
      </c>
      <c r="F619" t="str">
        <f>_xlfn.XLOOKUP(C619, '75'!$C$2:$C$1142, '75'!$F$2:$F$1142)</f>
        <v>no</v>
      </c>
    </row>
    <row r="620" spans="1:6" x14ac:dyDescent="0.45">
      <c r="A620" t="s">
        <v>1130</v>
      </c>
      <c r="B620" t="s">
        <v>1184</v>
      </c>
      <c r="C620">
        <v>58250313900</v>
      </c>
      <c r="D620">
        <v>59305816100</v>
      </c>
      <c r="E620">
        <v>80</v>
      </c>
      <c r="F620" t="str">
        <f>_xlfn.XLOOKUP(C620, '75'!$C$2:$C$1142, '75'!$F$2:$F$1142)</f>
        <v>no</v>
      </c>
    </row>
    <row r="621" spans="1:6" x14ac:dyDescent="0.45">
      <c r="A621" t="s">
        <v>1130</v>
      </c>
      <c r="B621" t="s">
        <v>1131</v>
      </c>
      <c r="C621">
        <v>58250313900</v>
      </c>
      <c r="D621">
        <v>57195715824</v>
      </c>
      <c r="E621">
        <v>85</v>
      </c>
      <c r="F621" t="str">
        <f>_xlfn.XLOOKUP(C621, '75'!$C$2:$C$1142, '75'!$F$2:$F$1142)</f>
        <v>no</v>
      </c>
    </row>
    <row r="622" spans="1:6" x14ac:dyDescent="0.45">
      <c r="A622" t="s">
        <v>1184</v>
      </c>
      <c r="B622" t="s">
        <v>1131</v>
      </c>
      <c r="C622">
        <v>59305816100</v>
      </c>
      <c r="D622">
        <v>57195715824</v>
      </c>
      <c r="E622">
        <v>88</v>
      </c>
      <c r="F622" t="str">
        <f>_xlfn.XLOOKUP(C622, '75'!$C$2:$C$1142, '75'!$F$2:$F$1142)</f>
        <v>no</v>
      </c>
    </row>
    <row r="623" spans="1:6" x14ac:dyDescent="0.45">
      <c r="A623" t="s">
        <v>1162</v>
      </c>
      <c r="B623" t="s">
        <v>1159</v>
      </c>
      <c r="C623">
        <v>57221753163</v>
      </c>
      <c r="D623">
        <v>59814155200</v>
      </c>
      <c r="E623">
        <v>82</v>
      </c>
      <c r="F623" t="str">
        <f>_xlfn.XLOOKUP(C623, '75'!$C$2:$C$1142, '75'!$F$2:$F$1142)</f>
        <v>no</v>
      </c>
    </row>
    <row r="624" spans="1:6" x14ac:dyDescent="0.45">
      <c r="A624" t="s">
        <v>1135</v>
      </c>
      <c r="B624" t="s">
        <v>1136</v>
      </c>
      <c r="C624">
        <v>57234148200</v>
      </c>
      <c r="D624">
        <v>58484470900</v>
      </c>
      <c r="E624">
        <v>80</v>
      </c>
      <c r="F624" t="str">
        <f>_xlfn.XLOOKUP(C624, '75'!$C$2:$C$1142, '75'!$F$2:$F$1142)</f>
        <v>no</v>
      </c>
    </row>
    <row r="625" spans="1:6" x14ac:dyDescent="0.45">
      <c r="A625" t="s">
        <v>1135</v>
      </c>
      <c r="B625" t="s">
        <v>1137</v>
      </c>
      <c r="C625">
        <v>57234148200</v>
      </c>
      <c r="D625">
        <v>58659062200</v>
      </c>
      <c r="E625">
        <v>80</v>
      </c>
      <c r="F625" t="str">
        <f>_xlfn.XLOOKUP(C625, '75'!$C$2:$C$1142, '75'!$F$2:$F$1142)</f>
        <v>no</v>
      </c>
    </row>
    <row r="626" spans="1:6" x14ac:dyDescent="0.45">
      <c r="A626" t="s">
        <v>1109</v>
      </c>
      <c r="B626" t="s">
        <v>1111</v>
      </c>
      <c r="C626">
        <v>57217109201</v>
      </c>
      <c r="D626">
        <v>26023886900</v>
      </c>
      <c r="E626">
        <v>80</v>
      </c>
      <c r="F626" t="str">
        <f>_xlfn.XLOOKUP(C626, '75'!$C$2:$C$1142, '75'!$F$2:$F$1142)</f>
        <v>no</v>
      </c>
    </row>
    <row r="627" spans="1:6" x14ac:dyDescent="0.45">
      <c r="A627" t="s">
        <v>1123</v>
      </c>
      <c r="B627" t="s">
        <v>1188</v>
      </c>
      <c r="C627">
        <v>57388977900</v>
      </c>
      <c r="D627">
        <v>57215719895</v>
      </c>
      <c r="E627">
        <v>82</v>
      </c>
      <c r="F627" t="str">
        <f>_xlfn.XLOOKUP(C627, '75'!$C$2:$C$1142, '75'!$F$2:$F$1142)</f>
        <v>no</v>
      </c>
    </row>
    <row r="628" spans="1:6" x14ac:dyDescent="0.45">
      <c r="A628" t="s">
        <v>1123</v>
      </c>
      <c r="B628" t="s">
        <v>1125</v>
      </c>
      <c r="C628">
        <v>57388977900</v>
      </c>
      <c r="D628">
        <v>59504639600</v>
      </c>
      <c r="E628">
        <v>80</v>
      </c>
      <c r="F628" t="str">
        <f>_xlfn.XLOOKUP(C628, '75'!$C$2:$C$1142, '75'!$F$2:$F$1142)</f>
        <v>no</v>
      </c>
    </row>
    <row r="629" spans="1:6" x14ac:dyDescent="0.45">
      <c r="A629" t="s">
        <v>1123</v>
      </c>
      <c r="B629" t="s">
        <v>1176</v>
      </c>
      <c r="C629">
        <v>57388977900</v>
      </c>
      <c r="D629">
        <v>59469547500</v>
      </c>
      <c r="E629">
        <v>84</v>
      </c>
      <c r="F629" t="str">
        <f>_xlfn.XLOOKUP(C629, '75'!$C$2:$C$1142, '75'!$F$2:$F$1142)</f>
        <v>no</v>
      </c>
    </row>
    <row r="630" spans="1:6" x14ac:dyDescent="0.45">
      <c r="A630" t="s">
        <v>1155</v>
      </c>
      <c r="B630" t="s">
        <v>1156</v>
      </c>
      <c r="C630">
        <v>57216635351</v>
      </c>
      <c r="D630">
        <v>57545971500</v>
      </c>
      <c r="E630">
        <v>78</v>
      </c>
      <c r="F630" t="str">
        <f>_xlfn.XLOOKUP(C630, '75'!$C$2:$C$1142, '75'!$F$2:$F$1142)</f>
        <v>no</v>
      </c>
    </row>
    <row r="631" spans="1:6" x14ac:dyDescent="0.45">
      <c r="A631" t="s">
        <v>1155</v>
      </c>
      <c r="B631" t="s">
        <v>1149</v>
      </c>
      <c r="C631">
        <v>57216635351</v>
      </c>
      <c r="D631">
        <v>57445736500</v>
      </c>
      <c r="E631">
        <v>86</v>
      </c>
      <c r="F631" t="str">
        <f>_xlfn.XLOOKUP(C631, '75'!$C$2:$C$1142, '75'!$F$2:$F$1142)</f>
        <v>no</v>
      </c>
    </row>
    <row r="632" spans="1:6" x14ac:dyDescent="0.45">
      <c r="A632" t="s">
        <v>1155</v>
      </c>
      <c r="B632" t="s">
        <v>1159</v>
      </c>
      <c r="C632">
        <v>57216635351</v>
      </c>
      <c r="D632">
        <v>59814155200</v>
      </c>
      <c r="E632">
        <v>86</v>
      </c>
      <c r="F632" t="str">
        <f>_xlfn.XLOOKUP(C632, '75'!$C$2:$C$1142, '75'!$F$2:$F$1142)</f>
        <v>no</v>
      </c>
    </row>
    <row r="633" spans="1:6" x14ac:dyDescent="0.45">
      <c r="A633" t="s">
        <v>1190</v>
      </c>
      <c r="B633" t="s">
        <v>1191</v>
      </c>
      <c r="C633">
        <v>57203870410</v>
      </c>
      <c r="D633">
        <v>56565802200</v>
      </c>
      <c r="E633">
        <v>84</v>
      </c>
      <c r="F633" t="str">
        <f>_xlfn.XLOOKUP(C633, '75'!$C$2:$C$1142, '75'!$F$2:$F$1142)</f>
        <v>no</v>
      </c>
    </row>
    <row r="634" spans="1:6" x14ac:dyDescent="0.45">
      <c r="A634" t="s">
        <v>1163</v>
      </c>
      <c r="B634" t="s">
        <v>1142</v>
      </c>
      <c r="C634">
        <v>59315530000</v>
      </c>
      <c r="D634">
        <v>56591076800</v>
      </c>
      <c r="E634">
        <v>82</v>
      </c>
      <c r="F634" t="str">
        <f>_xlfn.XLOOKUP(C634, '75'!$C$2:$C$1142, '75'!$F$2:$F$1142)</f>
        <v>no</v>
      </c>
    </row>
    <row r="635" spans="1:6" x14ac:dyDescent="0.45">
      <c r="A635" t="s">
        <v>1188</v>
      </c>
      <c r="B635" t="s">
        <v>1124</v>
      </c>
      <c r="C635">
        <v>57215719895</v>
      </c>
      <c r="D635">
        <v>57770966500</v>
      </c>
      <c r="E635">
        <v>82</v>
      </c>
      <c r="F635" t="str">
        <f>_xlfn.XLOOKUP(C635, '75'!$C$2:$C$1142, '75'!$F$2:$F$1142)</f>
        <v>no</v>
      </c>
    </row>
    <row r="636" spans="1:6" x14ac:dyDescent="0.45">
      <c r="A636" t="s">
        <v>1136</v>
      </c>
      <c r="B636" t="s">
        <v>1137</v>
      </c>
      <c r="C636">
        <v>58484470900</v>
      </c>
      <c r="D636">
        <v>58659062200</v>
      </c>
      <c r="E636">
        <v>83</v>
      </c>
      <c r="F636" t="str">
        <f>_xlfn.XLOOKUP(C636, '75'!$C$2:$C$1142, '75'!$F$2:$F$1142)</f>
        <v>no</v>
      </c>
    </row>
    <row r="637" spans="1:6" x14ac:dyDescent="0.45">
      <c r="A637" t="s">
        <v>1136</v>
      </c>
      <c r="B637" t="s">
        <v>1149</v>
      </c>
      <c r="C637">
        <v>58484470900</v>
      </c>
      <c r="D637">
        <v>57445736500</v>
      </c>
      <c r="E637">
        <v>86</v>
      </c>
      <c r="F637" t="str">
        <f>_xlfn.XLOOKUP(C637, '75'!$C$2:$C$1142, '75'!$F$2:$F$1142)</f>
        <v>no</v>
      </c>
    </row>
    <row r="638" spans="1:6" x14ac:dyDescent="0.45">
      <c r="A638" t="s">
        <v>1137</v>
      </c>
      <c r="B638" t="s">
        <v>1138</v>
      </c>
      <c r="C638">
        <v>58659062200</v>
      </c>
      <c r="D638">
        <v>56420749300</v>
      </c>
      <c r="E638">
        <v>86</v>
      </c>
      <c r="F638" t="str">
        <f>_xlfn.XLOOKUP(C638, '75'!$C$2:$C$1142, '75'!$F$2:$F$1142)</f>
        <v>no</v>
      </c>
    </row>
    <row r="639" spans="1:6" x14ac:dyDescent="0.45">
      <c r="A639" t="s">
        <v>1124</v>
      </c>
      <c r="B639" t="s">
        <v>1180</v>
      </c>
      <c r="C639">
        <v>57770966500</v>
      </c>
      <c r="D639">
        <v>58438192400</v>
      </c>
      <c r="E639">
        <v>89</v>
      </c>
      <c r="F639" t="str">
        <f>_xlfn.XLOOKUP(C639, '75'!$C$2:$C$1142, '75'!$F$2:$F$1142)</f>
        <v>no</v>
      </c>
    </row>
    <row r="640" spans="1:6" x14ac:dyDescent="0.45">
      <c r="A640" t="s">
        <v>1124</v>
      </c>
      <c r="B640" t="s">
        <v>1125</v>
      </c>
      <c r="C640">
        <v>57770966500</v>
      </c>
      <c r="D640">
        <v>59504639600</v>
      </c>
      <c r="E640">
        <v>80</v>
      </c>
      <c r="F640" t="str">
        <f>_xlfn.XLOOKUP(C640, '75'!$C$2:$C$1142, '75'!$F$2:$F$1142)</f>
        <v>no</v>
      </c>
    </row>
    <row r="641" spans="1:6" x14ac:dyDescent="0.45">
      <c r="A641" t="s">
        <v>1124</v>
      </c>
      <c r="B641" t="s">
        <v>1142</v>
      </c>
      <c r="C641">
        <v>57770966500</v>
      </c>
      <c r="D641">
        <v>56591076800</v>
      </c>
      <c r="E641">
        <v>82</v>
      </c>
      <c r="F641" t="str">
        <f>_xlfn.XLOOKUP(C641, '75'!$C$2:$C$1142, '75'!$F$2:$F$1142)</f>
        <v>no</v>
      </c>
    </row>
    <row r="642" spans="1:6" x14ac:dyDescent="0.45">
      <c r="A642" t="s">
        <v>1156</v>
      </c>
      <c r="B642" t="s">
        <v>1142</v>
      </c>
      <c r="C642">
        <v>57545971500</v>
      </c>
      <c r="D642">
        <v>56591076800</v>
      </c>
      <c r="E642">
        <v>90</v>
      </c>
      <c r="F642" t="str">
        <f>_xlfn.XLOOKUP(C642, '75'!$C$2:$C$1142, '75'!$F$2:$F$1142)</f>
        <v>no</v>
      </c>
    </row>
    <row r="643" spans="1:6" x14ac:dyDescent="0.45">
      <c r="A643" t="s">
        <v>1156</v>
      </c>
      <c r="B643" t="s">
        <v>1159</v>
      </c>
      <c r="C643">
        <v>57545971500</v>
      </c>
      <c r="D643">
        <v>59814155200</v>
      </c>
      <c r="E643">
        <v>80</v>
      </c>
      <c r="F643" t="str">
        <f>_xlfn.XLOOKUP(C643, '75'!$C$2:$C$1142, '75'!$F$2:$F$1142)</f>
        <v>no</v>
      </c>
    </row>
    <row r="644" spans="1:6" x14ac:dyDescent="0.45">
      <c r="A644" t="s">
        <v>1182</v>
      </c>
      <c r="B644" t="s">
        <v>1142</v>
      </c>
      <c r="C644">
        <v>57609969300</v>
      </c>
      <c r="D644">
        <v>56591076800</v>
      </c>
      <c r="E644">
        <v>82</v>
      </c>
      <c r="F644" t="str">
        <f>_xlfn.XLOOKUP(C644, '75'!$C$2:$C$1142, '75'!$F$2:$F$1142)</f>
        <v>no</v>
      </c>
    </row>
    <row r="645" spans="1:6" x14ac:dyDescent="0.45">
      <c r="A645" t="s">
        <v>1127</v>
      </c>
      <c r="B645" t="s">
        <v>1112</v>
      </c>
      <c r="C645">
        <v>58511137000</v>
      </c>
      <c r="D645">
        <v>57220902381</v>
      </c>
      <c r="E645">
        <v>80</v>
      </c>
      <c r="F645" t="str">
        <f>_xlfn.XLOOKUP(C645, '75'!$C$2:$C$1142, '75'!$F$2:$F$1142)</f>
        <v>no</v>
      </c>
    </row>
    <row r="646" spans="1:6" x14ac:dyDescent="0.45">
      <c r="A646" t="s">
        <v>1127</v>
      </c>
      <c r="B646" t="s">
        <v>1128</v>
      </c>
      <c r="C646">
        <v>58511137000</v>
      </c>
      <c r="D646">
        <v>57222133578</v>
      </c>
      <c r="E646">
        <v>81</v>
      </c>
      <c r="F646" t="str">
        <f>_xlfn.XLOOKUP(C646, '75'!$C$2:$C$1142, '75'!$F$2:$F$1142)</f>
        <v>no</v>
      </c>
    </row>
    <row r="647" spans="1:6" x14ac:dyDescent="0.45">
      <c r="A647" t="s">
        <v>1127</v>
      </c>
      <c r="B647" t="s">
        <v>1142</v>
      </c>
      <c r="C647">
        <v>58511137000</v>
      </c>
      <c r="D647">
        <v>56591076800</v>
      </c>
      <c r="E647">
        <v>82</v>
      </c>
      <c r="F647" t="str">
        <f>_xlfn.XLOOKUP(C647, '75'!$C$2:$C$1142, '75'!$F$2:$F$1142)</f>
        <v>no</v>
      </c>
    </row>
    <row r="648" spans="1:6" x14ac:dyDescent="0.45">
      <c r="A648" t="s">
        <v>1111</v>
      </c>
      <c r="B648" t="s">
        <v>1142</v>
      </c>
      <c r="C648">
        <v>26023886900</v>
      </c>
      <c r="D648">
        <v>56591076800</v>
      </c>
      <c r="E648">
        <v>78</v>
      </c>
      <c r="F648" t="str">
        <f>_xlfn.XLOOKUP(C648, '75'!$C$2:$C$1142, '75'!$F$2:$F$1142)</f>
        <v>no</v>
      </c>
    </row>
    <row r="649" spans="1:6" x14ac:dyDescent="0.45">
      <c r="A649" t="s">
        <v>1111</v>
      </c>
      <c r="B649" t="s">
        <v>1159</v>
      </c>
      <c r="C649">
        <v>26023886900</v>
      </c>
      <c r="D649">
        <v>59814155200</v>
      </c>
      <c r="E649">
        <v>78</v>
      </c>
      <c r="F649" t="str">
        <f>_xlfn.XLOOKUP(C649, '75'!$C$2:$C$1142, '75'!$F$2:$F$1142)</f>
        <v>no</v>
      </c>
    </row>
    <row r="650" spans="1:6" x14ac:dyDescent="0.45">
      <c r="A650" t="s">
        <v>1148</v>
      </c>
      <c r="B650" t="s">
        <v>1158</v>
      </c>
      <c r="C650">
        <v>57215863345</v>
      </c>
      <c r="D650">
        <v>54390643800</v>
      </c>
      <c r="E650">
        <v>78</v>
      </c>
      <c r="F650" t="str">
        <f>_xlfn.XLOOKUP(C650, '75'!$C$2:$C$1142, '75'!$F$2:$F$1142)</f>
        <v>no</v>
      </c>
    </row>
    <row r="651" spans="1:6" x14ac:dyDescent="0.45">
      <c r="A651" t="s">
        <v>1192</v>
      </c>
      <c r="B651" t="s">
        <v>1142</v>
      </c>
      <c r="C651">
        <v>57846861700</v>
      </c>
      <c r="D651">
        <v>56591076800</v>
      </c>
      <c r="E651">
        <v>80</v>
      </c>
      <c r="F651" t="str">
        <f>_xlfn.XLOOKUP(C651, '75'!$C$2:$C$1142, '75'!$F$2:$F$1142)</f>
        <v>no</v>
      </c>
    </row>
    <row r="652" spans="1:6" x14ac:dyDescent="0.45">
      <c r="A652" t="s">
        <v>1158</v>
      </c>
      <c r="B652" t="s">
        <v>1193</v>
      </c>
      <c r="C652">
        <v>54390643800</v>
      </c>
      <c r="D652">
        <v>37084737400</v>
      </c>
      <c r="E652">
        <v>82</v>
      </c>
      <c r="F652" t="str">
        <f>_xlfn.XLOOKUP(C652, '75'!$C$2:$C$1142, '75'!$F$2:$F$1142)</f>
        <v>no</v>
      </c>
    </row>
    <row r="653" spans="1:6" x14ac:dyDescent="0.45">
      <c r="A653" t="s">
        <v>1158</v>
      </c>
      <c r="B653" t="s">
        <v>1149</v>
      </c>
      <c r="C653">
        <v>54390643800</v>
      </c>
      <c r="D653">
        <v>57445736500</v>
      </c>
      <c r="E653">
        <v>80</v>
      </c>
      <c r="F653" t="str">
        <f>_xlfn.XLOOKUP(C653, '75'!$C$2:$C$1142, '75'!$F$2:$F$1142)</f>
        <v>no</v>
      </c>
    </row>
    <row r="654" spans="1:6" x14ac:dyDescent="0.45">
      <c r="A654" t="s">
        <v>1138</v>
      </c>
      <c r="B654" t="s">
        <v>1133</v>
      </c>
      <c r="C654">
        <v>56420749300</v>
      </c>
      <c r="D654">
        <v>58835262000</v>
      </c>
      <c r="E654">
        <v>82</v>
      </c>
      <c r="F654" t="str">
        <f>_xlfn.XLOOKUP(C654, '75'!$C$2:$C$1142, '75'!$F$2:$F$1142)</f>
        <v>no</v>
      </c>
    </row>
    <row r="655" spans="1:6" x14ac:dyDescent="0.45">
      <c r="A655" t="s">
        <v>1138</v>
      </c>
      <c r="B655" t="s">
        <v>1178</v>
      </c>
      <c r="C655">
        <v>56420749300</v>
      </c>
      <c r="D655">
        <v>59359288300</v>
      </c>
      <c r="E655">
        <v>80</v>
      </c>
      <c r="F655" t="str">
        <f>_xlfn.XLOOKUP(C655, '75'!$C$2:$C$1142, '75'!$F$2:$F$1142)</f>
        <v>no</v>
      </c>
    </row>
    <row r="656" spans="1:6" x14ac:dyDescent="0.45">
      <c r="A656" t="s">
        <v>1138</v>
      </c>
      <c r="B656" t="s">
        <v>1142</v>
      </c>
      <c r="C656">
        <v>56420749300</v>
      </c>
      <c r="D656">
        <v>56591076800</v>
      </c>
      <c r="E656">
        <v>78</v>
      </c>
      <c r="F656" t="str">
        <f>_xlfn.XLOOKUP(C656, '75'!$C$2:$C$1142, '75'!$F$2:$F$1142)</f>
        <v>no</v>
      </c>
    </row>
    <row r="657" spans="1:6" x14ac:dyDescent="0.45">
      <c r="A657" t="s">
        <v>1138</v>
      </c>
      <c r="B657" t="s">
        <v>1149</v>
      </c>
      <c r="C657">
        <v>56420749300</v>
      </c>
      <c r="D657">
        <v>57445736500</v>
      </c>
      <c r="E657">
        <v>78</v>
      </c>
      <c r="F657" t="str">
        <f>_xlfn.XLOOKUP(C657, '75'!$C$2:$C$1142, '75'!$F$2:$F$1142)</f>
        <v>no</v>
      </c>
    </row>
    <row r="658" spans="1:6" x14ac:dyDescent="0.45">
      <c r="A658" t="s">
        <v>1138</v>
      </c>
      <c r="B658" t="s">
        <v>1159</v>
      </c>
      <c r="C658">
        <v>56420749300</v>
      </c>
      <c r="D658">
        <v>59814155200</v>
      </c>
      <c r="E658">
        <v>78</v>
      </c>
      <c r="F658" t="str">
        <f>_xlfn.XLOOKUP(C658, '75'!$C$2:$C$1142, '75'!$F$2:$F$1142)</f>
        <v>no</v>
      </c>
    </row>
    <row r="659" spans="1:6" x14ac:dyDescent="0.45">
      <c r="A659" t="s">
        <v>1194</v>
      </c>
      <c r="B659" t="s">
        <v>1187</v>
      </c>
      <c r="C659">
        <v>57218401531</v>
      </c>
      <c r="D659">
        <v>58746456100</v>
      </c>
      <c r="E659">
        <v>84</v>
      </c>
      <c r="F659" t="str">
        <f>_xlfn.XLOOKUP(C659, '75'!$C$2:$C$1142, '75'!$F$2:$F$1142)</f>
        <v>no</v>
      </c>
    </row>
    <row r="660" spans="1:6" x14ac:dyDescent="0.45">
      <c r="A660" t="s">
        <v>1128</v>
      </c>
      <c r="B660" t="s">
        <v>1142</v>
      </c>
      <c r="C660">
        <v>57222133578</v>
      </c>
      <c r="D660">
        <v>56591076800</v>
      </c>
      <c r="E660">
        <v>78</v>
      </c>
      <c r="F660" t="str">
        <f>_xlfn.XLOOKUP(C660, '75'!$C$2:$C$1142, '75'!$F$2:$F$1142)</f>
        <v>no</v>
      </c>
    </row>
    <row r="661" spans="1:6" x14ac:dyDescent="0.45">
      <c r="A661" t="s">
        <v>1169</v>
      </c>
      <c r="B661" t="s">
        <v>1191</v>
      </c>
      <c r="C661">
        <v>59138795000</v>
      </c>
      <c r="D661">
        <v>56565802200</v>
      </c>
      <c r="E661">
        <v>80</v>
      </c>
      <c r="F661" t="str">
        <f>_xlfn.XLOOKUP(C661, '75'!$C$2:$C$1142, '75'!$F$2:$F$1142)</f>
        <v>no</v>
      </c>
    </row>
    <row r="662" spans="1:6" x14ac:dyDescent="0.45">
      <c r="A662" t="s">
        <v>1119</v>
      </c>
      <c r="B662" t="s">
        <v>1191</v>
      </c>
      <c r="C662">
        <v>57225984973</v>
      </c>
      <c r="D662">
        <v>56565802200</v>
      </c>
      <c r="E662">
        <v>82</v>
      </c>
      <c r="F662" t="str">
        <f>_xlfn.XLOOKUP(C662, '75'!$C$2:$C$1142, '75'!$F$2:$F$1142)</f>
        <v>no</v>
      </c>
    </row>
    <row r="663" spans="1:6" x14ac:dyDescent="0.45">
      <c r="A663" t="s">
        <v>1142</v>
      </c>
      <c r="B663" t="s">
        <v>1149</v>
      </c>
      <c r="C663">
        <v>56591076800</v>
      </c>
      <c r="D663">
        <v>57445736500</v>
      </c>
      <c r="E663">
        <v>78</v>
      </c>
      <c r="F663" t="str">
        <f>_xlfn.XLOOKUP(C663, '75'!$C$2:$C$1142, '75'!$F$2:$F$1142)</f>
        <v>no</v>
      </c>
    </row>
    <row r="664" spans="1:6" x14ac:dyDescent="0.45">
      <c r="A664" t="s">
        <v>1142</v>
      </c>
      <c r="B664" t="s">
        <v>1159</v>
      </c>
      <c r="C664">
        <v>56591076800</v>
      </c>
      <c r="D664">
        <v>59814155200</v>
      </c>
      <c r="E664">
        <v>89</v>
      </c>
      <c r="F664" t="str">
        <f>_xlfn.XLOOKUP(C664, '75'!$C$2:$C$1142, '75'!$F$2:$F$1142)</f>
        <v>no</v>
      </c>
    </row>
    <row r="665" spans="1:6" x14ac:dyDescent="0.45">
      <c r="A665" t="s">
        <v>1149</v>
      </c>
      <c r="B665" t="s">
        <v>1159</v>
      </c>
      <c r="C665">
        <v>57445736500</v>
      </c>
      <c r="D665">
        <v>59814155200</v>
      </c>
      <c r="E665">
        <v>78</v>
      </c>
      <c r="F665" t="str">
        <f>_xlfn.XLOOKUP(C665, '75'!$C$2:$C$1142, '75'!$F$2:$F$1142)</f>
        <v>no</v>
      </c>
    </row>
  </sheetData>
  <autoFilter ref="A1:F1" xr:uid="{25EB3D76-1D06-4D3C-BF0D-80120EC929B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4C55-7734-448C-A74A-B605C31F8BDD}">
  <dimension ref="A1:J478"/>
  <sheetViews>
    <sheetView workbookViewId="0">
      <selection activeCell="F4" sqref="F4"/>
    </sheetView>
  </sheetViews>
  <sheetFormatPr defaultRowHeight="14.25" x14ac:dyDescent="0.45"/>
  <cols>
    <col min="1" max="1" width="24.73046875" bestFit="1" customWidth="1"/>
    <col min="2" max="2" width="23.6640625" bestFit="1" customWidth="1"/>
    <col min="3" max="4" width="11.73046875" bestFit="1" customWidth="1"/>
    <col min="5" max="5" width="13.46484375" bestFit="1" customWidth="1"/>
    <col min="6" max="6" width="10.3320312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1200</v>
      </c>
    </row>
    <row r="2" spans="1:10" x14ac:dyDescent="0.45">
      <c r="A2" t="s">
        <v>7</v>
      </c>
      <c r="B2" t="s">
        <v>8</v>
      </c>
      <c r="C2">
        <v>25930284300</v>
      </c>
      <c r="D2">
        <v>57194637587</v>
      </c>
      <c r="E2">
        <v>84</v>
      </c>
      <c r="F2" t="str">
        <f>_xlfn.XLOOKUP(C2, '75'!$C$2:$C$1142, '75'!$F$2:$F$1142)</f>
        <v>no</v>
      </c>
      <c r="H2" t="s">
        <v>1198</v>
      </c>
      <c r="I2">
        <f>COUNTIF(F2:F478, "ok")/477</f>
        <v>0.22851153039832284</v>
      </c>
      <c r="J2">
        <f>I2*477</f>
        <v>109</v>
      </c>
    </row>
    <row r="3" spans="1:10" x14ac:dyDescent="0.45">
      <c r="A3" t="s">
        <v>7</v>
      </c>
      <c r="B3" t="s">
        <v>9</v>
      </c>
      <c r="C3">
        <v>25930284300</v>
      </c>
      <c r="D3">
        <v>57204007272</v>
      </c>
      <c r="E3">
        <v>81</v>
      </c>
      <c r="F3" t="str">
        <f>_xlfn.XLOOKUP(C3, '75'!$C$2:$C$1142, '75'!$F$2:$F$1142)</f>
        <v>no</v>
      </c>
      <c r="I3">
        <f>COUNTIF(F2:F478, "no")/477</f>
        <v>0.77148846960167716</v>
      </c>
      <c r="J3">
        <f>I3*477</f>
        <v>368</v>
      </c>
    </row>
    <row r="4" spans="1:10" x14ac:dyDescent="0.45">
      <c r="A4" t="s">
        <v>19</v>
      </c>
      <c r="B4" t="s">
        <v>20</v>
      </c>
      <c r="C4">
        <v>57212395140</v>
      </c>
      <c r="D4">
        <v>56239028500</v>
      </c>
      <c r="E4">
        <v>83</v>
      </c>
      <c r="F4" t="str">
        <f>_xlfn.XLOOKUP(C4, '75'!$C$2:$C$1142, '75'!$F$2:$F$1142)</f>
        <v>no</v>
      </c>
    </row>
    <row r="5" spans="1:10" x14ac:dyDescent="0.45">
      <c r="A5" t="s">
        <v>21</v>
      </c>
      <c r="B5" t="s">
        <v>22</v>
      </c>
      <c r="C5">
        <v>55105815400</v>
      </c>
      <c r="D5">
        <v>57216688017</v>
      </c>
      <c r="E5">
        <v>90</v>
      </c>
      <c r="F5" t="str">
        <f>_xlfn.XLOOKUP(C5, '75'!$C$2:$C$1142, '75'!$F$2:$F$1142)</f>
        <v>ok</v>
      </c>
    </row>
    <row r="6" spans="1:10" x14ac:dyDescent="0.45">
      <c r="A6" t="s">
        <v>25</v>
      </c>
      <c r="B6" t="s">
        <v>26</v>
      </c>
      <c r="C6">
        <v>57218423351</v>
      </c>
      <c r="D6">
        <v>56965067200</v>
      </c>
      <c r="E6">
        <v>95</v>
      </c>
      <c r="F6" t="str">
        <f>_xlfn.XLOOKUP(C6, '75'!$C$2:$C$1142, '75'!$F$2:$F$1142)</f>
        <v>ok</v>
      </c>
    </row>
    <row r="7" spans="1:10" x14ac:dyDescent="0.45">
      <c r="A7" t="s">
        <v>35</v>
      </c>
      <c r="B7" t="s">
        <v>36</v>
      </c>
      <c r="C7">
        <v>56654006700</v>
      </c>
      <c r="D7">
        <v>7102310616</v>
      </c>
      <c r="E7">
        <v>93</v>
      </c>
      <c r="F7" t="str">
        <f>_xlfn.XLOOKUP(C7, '75'!$C$2:$C$1142, '75'!$F$2:$F$1142)</f>
        <v>ok</v>
      </c>
    </row>
    <row r="8" spans="1:10" x14ac:dyDescent="0.45">
      <c r="A8" t="s">
        <v>40</v>
      </c>
      <c r="B8" t="s">
        <v>41</v>
      </c>
      <c r="C8">
        <v>17344924200</v>
      </c>
      <c r="D8">
        <v>59806848700</v>
      </c>
      <c r="E8">
        <v>85</v>
      </c>
      <c r="F8" t="str">
        <f>_xlfn.XLOOKUP(C8, '75'!$C$2:$C$1142, '75'!$F$2:$F$1142)</f>
        <v>ok</v>
      </c>
    </row>
    <row r="9" spans="1:10" x14ac:dyDescent="0.45">
      <c r="A9" t="s">
        <v>42</v>
      </c>
      <c r="B9" t="s">
        <v>43</v>
      </c>
      <c r="C9">
        <v>6602479101</v>
      </c>
      <c r="D9">
        <v>59465106300</v>
      </c>
      <c r="E9">
        <v>92</v>
      </c>
      <c r="F9" t="str">
        <f>_xlfn.XLOOKUP(C9, '75'!$C$2:$C$1142, '75'!$F$2:$F$1142)</f>
        <v>ok</v>
      </c>
    </row>
    <row r="10" spans="1:10" x14ac:dyDescent="0.45">
      <c r="A10" t="s">
        <v>42</v>
      </c>
      <c r="B10" t="s">
        <v>44</v>
      </c>
      <c r="C10">
        <v>6602479101</v>
      </c>
      <c r="D10">
        <v>59119893600</v>
      </c>
      <c r="E10">
        <v>92</v>
      </c>
      <c r="F10" t="str">
        <f>_xlfn.XLOOKUP(C10, '75'!$C$2:$C$1142, '75'!$F$2:$F$1142)</f>
        <v>ok</v>
      </c>
    </row>
    <row r="11" spans="1:10" x14ac:dyDescent="0.45">
      <c r="A11" t="s">
        <v>45</v>
      </c>
      <c r="B11" t="s">
        <v>46</v>
      </c>
      <c r="C11">
        <v>7101816384</v>
      </c>
      <c r="D11">
        <v>57207558396</v>
      </c>
      <c r="E11">
        <v>80</v>
      </c>
      <c r="F11" t="str">
        <f>_xlfn.XLOOKUP(C11, '75'!$C$2:$C$1142, '75'!$F$2:$F$1142)</f>
        <v>no</v>
      </c>
    </row>
    <row r="12" spans="1:10" x14ac:dyDescent="0.45">
      <c r="A12" t="s">
        <v>49</v>
      </c>
      <c r="B12" t="s">
        <v>50</v>
      </c>
      <c r="C12">
        <v>42760951000</v>
      </c>
      <c r="D12">
        <v>57937968100</v>
      </c>
      <c r="E12">
        <v>91</v>
      </c>
      <c r="F12" t="str">
        <f>_xlfn.XLOOKUP(C12, '75'!$C$2:$C$1142, '75'!$F$2:$F$1142)</f>
        <v>ok</v>
      </c>
    </row>
    <row r="13" spans="1:10" x14ac:dyDescent="0.45">
      <c r="A13" t="s">
        <v>51</v>
      </c>
      <c r="B13" t="s">
        <v>52</v>
      </c>
      <c r="C13">
        <v>57204216471</v>
      </c>
      <c r="D13">
        <v>7004856179</v>
      </c>
      <c r="E13">
        <v>93</v>
      </c>
      <c r="F13" t="str">
        <f>_xlfn.XLOOKUP(C13, '75'!$C$2:$C$1142, '75'!$F$2:$F$1142)</f>
        <v>ok</v>
      </c>
    </row>
    <row r="14" spans="1:10" x14ac:dyDescent="0.45">
      <c r="A14" t="s">
        <v>55</v>
      </c>
      <c r="B14" t="s">
        <v>56</v>
      </c>
      <c r="C14">
        <v>24402486100</v>
      </c>
      <c r="D14">
        <v>59751141900</v>
      </c>
      <c r="E14">
        <v>81</v>
      </c>
      <c r="F14" t="str">
        <f>_xlfn.XLOOKUP(C14, '75'!$C$2:$C$1142, '75'!$F$2:$F$1142)</f>
        <v>no</v>
      </c>
    </row>
    <row r="15" spans="1:10" x14ac:dyDescent="0.45">
      <c r="A15" t="s">
        <v>59</v>
      </c>
      <c r="B15" t="s">
        <v>60</v>
      </c>
      <c r="C15">
        <v>7004232335</v>
      </c>
      <c r="D15">
        <v>57218515194</v>
      </c>
      <c r="E15">
        <v>96</v>
      </c>
      <c r="F15" t="str">
        <f>_xlfn.XLOOKUP(C15, '75'!$C$2:$C$1142, '75'!$F$2:$F$1142)</f>
        <v>ok</v>
      </c>
    </row>
    <row r="16" spans="1:10" x14ac:dyDescent="0.45">
      <c r="A16" t="s">
        <v>61</v>
      </c>
      <c r="B16" t="s">
        <v>62</v>
      </c>
      <c r="C16">
        <v>56452760200</v>
      </c>
      <c r="D16">
        <v>57215308262</v>
      </c>
      <c r="E16">
        <v>80</v>
      </c>
      <c r="F16" t="str">
        <f>_xlfn.XLOOKUP(C16, '75'!$C$2:$C$1142, '75'!$F$2:$F$1142)</f>
        <v>no</v>
      </c>
    </row>
    <row r="17" spans="1:6" x14ac:dyDescent="0.45">
      <c r="A17" t="s">
        <v>71</v>
      </c>
      <c r="B17" t="s">
        <v>72</v>
      </c>
      <c r="C17">
        <v>24433859000</v>
      </c>
      <c r="D17">
        <v>57225808826</v>
      </c>
      <c r="E17">
        <v>90</v>
      </c>
      <c r="F17" t="str">
        <f>_xlfn.XLOOKUP(C17, '75'!$C$2:$C$1142, '75'!$F$2:$F$1142)</f>
        <v>ok</v>
      </c>
    </row>
    <row r="18" spans="1:6" x14ac:dyDescent="0.45">
      <c r="A18" t="s">
        <v>75</v>
      </c>
      <c r="B18" t="s">
        <v>76</v>
      </c>
      <c r="C18">
        <v>35767452200</v>
      </c>
      <c r="D18">
        <v>59551498500</v>
      </c>
      <c r="E18">
        <v>80</v>
      </c>
      <c r="F18" t="str">
        <f>_xlfn.XLOOKUP(C18, '75'!$C$2:$C$1142, '75'!$F$2:$F$1142)</f>
        <v>no</v>
      </c>
    </row>
    <row r="19" spans="1:6" x14ac:dyDescent="0.45">
      <c r="A19" t="s">
        <v>64</v>
      </c>
      <c r="B19" t="s">
        <v>77</v>
      </c>
      <c r="C19">
        <v>59467571400</v>
      </c>
      <c r="D19">
        <v>57543086500</v>
      </c>
      <c r="E19">
        <v>86</v>
      </c>
      <c r="F19" t="str">
        <f>_xlfn.XLOOKUP(C19, '75'!$C$2:$C$1142, '75'!$F$2:$F$1142)</f>
        <v>no</v>
      </c>
    </row>
    <row r="20" spans="1:6" x14ac:dyDescent="0.45">
      <c r="A20" t="s">
        <v>43</v>
      </c>
      <c r="B20" t="s">
        <v>44</v>
      </c>
      <c r="C20">
        <v>59465106300</v>
      </c>
      <c r="D20">
        <v>59119893600</v>
      </c>
      <c r="E20">
        <v>83</v>
      </c>
      <c r="F20" t="str">
        <f>_xlfn.XLOOKUP(C20, '75'!$C$2:$C$1142, '75'!$F$2:$F$1142)</f>
        <v>ok</v>
      </c>
    </row>
    <row r="21" spans="1:6" x14ac:dyDescent="0.45">
      <c r="A21" t="s">
        <v>80</v>
      </c>
      <c r="B21" t="s">
        <v>81</v>
      </c>
      <c r="C21">
        <v>58480796700</v>
      </c>
      <c r="D21">
        <v>59482580700</v>
      </c>
      <c r="E21">
        <v>92</v>
      </c>
      <c r="F21" t="str">
        <f>_xlfn.XLOOKUP(C21, '75'!$C$2:$C$1142, '75'!$F$2:$F$1142)</f>
        <v>ok</v>
      </c>
    </row>
    <row r="22" spans="1:6" x14ac:dyDescent="0.45">
      <c r="A22" t="s">
        <v>82</v>
      </c>
      <c r="B22" t="s">
        <v>83</v>
      </c>
      <c r="C22">
        <v>57195104543</v>
      </c>
      <c r="D22">
        <v>59812475700</v>
      </c>
      <c r="E22">
        <v>96</v>
      </c>
      <c r="F22" t="str">
        <f>_xlfn.XLOOKUP(C22, '75'!$C$2:$C$1142, '75'!$F$2:$F$1142)</f>
        <v>ok</v>
      </c>
    </row>
    <row r="23" spans="1:6" x14ac:dyDescent="0.45">
      <c r="A23" t="s">
        <v>84</v>
      </c>
      <c r="B23" t="s">
        <v>85</v>
      </c>
      <c r="C23">
        <v>7005488549</v>
      </c>
      <c r="D23">
        <v>58680470600</v>
      </c>
      <c r="E23">
        <v>93</v>
      </c>
      <c r="F23" t="str">
        <f>_xlfn.XLOOKUP(C23, '75'!$C$2:$C$1142, '75'!$F$2:$F$1142)</f>
        <v>ok</v>
      </c>
    </row>
    <row r="24" spans="1:6" x14ac:dyDescent="0.45">
      <c r="A24" t="s">
        <v>86</v>
      </c>
      <c r="B24" t="s">
        <v>87</v>
      </c>
      <c r="C24">
        <v>16416871500</v>
      </c>
      <c r="D24">
        <v>57221322504</v>
      </c>
      <c r="E24">
        <v>93</v>
      </c>
      <c r="F24" t="str">
        <f>_xlfn.XLOOKUP(C24, '75'!$C$2:$C$1142, '75'!$F$2:$F$1142)</f>
        <v>ok</v>
      </c>
    </row>
    <row r="25" spans="1:6" x14ac:dyDescent="0.45">
      <c r="A25" t="s">
        <v>101</v>
      </c>
      <c r="B25" t="s">
        <v>102</v>
      </c>
      <c r="C25">
        <v>12645477200</v>
      </c>
      <c r="D25">
        <v>58313184000</v>
      </c>
      <c r="E25">
        <v>89</v>
      </c>
      <c r="F25" t="str">
        <f>_xlfn.XLOOKUP(C25, '75'!$C$2:$C$1142, '75'!$F$2:$F$1142)</f>
        <v>no</v>
      </c>
    </row>
    <row r="26" spans="1:6" x14ac:dyDescent="0.45">
      <c r="A26" t="s">
        <v>103</v>
      </c>
      <c r="B26" t="s">
        <v>104</v>
      </c>
      <c r="C26">
        <v>6506306176</v>
      </c>
      <c r="D26">
        <v>57222191447</v>
      </c>
      <c r="E26">
        <v>81</v>
      </c>
      <c r="F26" t="str">
        <f>_xlfn.XLOOKUP(C26, '75'!$C$2:$C$1142, '75'!$F$2:$F$1142)</f>
        <v>no</v>
      </c>
    </row>
    <row r="27" spans="1:6" x14ac:dyDescent="0.45">
      <c r="A27" t="s">
        <v>110</v>
      </c>
      <c r="B27" t="s">
        <v>111</v>
      </c>
      <c r="C27">
        <v>57202919677</v>
      </c>
      <c r="D27">
        <v>57209555584</v>
      </c>
      <c r="E27">
        <v>85</v>
      </c>
      <c r="F27" t="str">
        <f>_xlfn.XLOOKUP(C27, '75'!$C$2:$C$1142, '75'!$F$2:$F$1142)</f>
        <v>no</v>
      </c>
    </row>
    <row r="28" spans="1:6" x14ac:dyDescent="0.45">
      <c r="A28" t="s">
        <v>110</v>
      </c>
      <c r="B28" t="s">
        <v>112</v>
      </c>
      <c r="C28">
        <v>57202919677</v>
      </c>
      <c r="D28">
        <v>59135252300</v>
      </c>
      <c r="E28">
        <v>81</v>
      </c>
      <c r="F28" t="str">
        <f>_xlfn.XLOOKUP(C28, '75'!$C$2:$C$1142, '75'!$F$2:$F$1142)</f>
        <v>no</v>
      </c>
    </row>
    <row r="29" spans="1:6" x14ac:dyDescent="0.45">
      <c r="A29" t="s">
        <v>113</v>
      </c>
      <c r="B29" t="s">
        <v>115</v>
      </c>
      <c r="C29">
        <v>57200504717</v>
      </c>
      <c r="D29">
        <v>56612496600</v>
      </c>
      <c r="E29">
        <v>80</v>
      </c>
      <c r="F29" t="str">
        <f>_xlfn.XLOOKUP(C29, '75'!$C$2:$C$1142, '75'!$F$2:$F$1142)</f>
        <v>no</v>
      </c>
    </row>
    <row r="30" spans="1:6" x14ac:dyDescent="0.45">
      <c r="A30" t="s">
        <v>113</v>
      </c>
      <c r="B30" t="s">
        <v>120</v>
      </c>
      <c r="C30">
        <v>57200504717</v>
      </c>
      <c r="D30">
        <v>57464181400</v>
      </c>
      <c r="E30">
        <v>86</v>
      </c>
      <c r="F30" t="str">
        <f>_xlfn.XLOOKUP(C30, '75'!$C$2:$C$1142, '75'!$F$2:$F$1142)</f>
        <v>no</v>
      </c>
    </row>
    <row r="31" spans="1:6" x14ac:dyDescent="0.45">
      <c r="A31" t="s">
        <v>114</v>
      </c>
      <c r="B31" t="s">
        <v>124</v>
      </c>
      <c r="C31">
        <v>56040387500</v>
      </c>
      <c r="D31">
        <v>57328681600</v>
      </c>
      <c r="E31">
        <v>80</v>
      </c>
      <c r="F31" t="str">
        <f>_xlfn.XLOOKUP(C31, '75'!$C$2:$C$1142, '75'!$F$2:$F$1142)</f>
        <v>no</v>
      </c>
    </row>
    <row r="32" spans="1:6" x14ac:dyDescent="0.45">
      <c r="A32" t="s">
        <v>114</v>
      </c>
      <c r="B32" t="s">
        <v>125</v>
      </c>
      <c r="C32">
        <v>56040387500</v>
      </c>
      <c r="D32">
        <v>57214459624</v>
      </c>
      <c r="E32">
        <v>80</v>
      </c>
      <c r="F32" t="str">
        <f>_xlfn.XLOOKUP(C32, '75'!$C$2:$C$1142, '75'!$F$2:$F$1142)</f>
        <v>no</v>
      </c>
    </row>
    <row r="33" spans="1:6" x14ac:dyDescent="0.45">
      <c r="A33" t="s">
        <v>114</v>
      </c>
      <c r="B33" t="s">
        <v>119</v>
      </c>
      <c r="C33">
        <v>56040387500</v>
      </c>
      <c r="D33">
        <v>55049017000</v>
      </c>
      <c r="E33">
        <v>89</v>
      </c>
      <c r="F33" t="str">
        <f>_xlfn.XLOOKUP(C33, '75'!$C$2:$C$1142, '75'!$F$2:$F$1142)</f>
        <v>no</v>
      </c>
    </row>
    <row r="34" spans="1:6" x14ac:dyDescent="0.45">
      <c r="A34" t="s">
        <v>114</v>
      </c>
      <c r="B34" t="s">
        <v>127</v>
      </c>
      <c r="C34">
        <v>56040387500</v>
      </c>
      <c r="D34">
        <v>59353414700</v>
      </c>
      <c r="E34">
        <v>90</v>
      </c>
      <c r="F34" t="str">
        <f>_xlfn.XLOOKUP(C34, '75'!$C$2:$C$1142, '75'!$F$2:$F$1142)</f>
        <v>no</v>
      </c>
    </row>
    <row r="35" spans="1:6" x14ac:dyDescent="0.45">
      <c r="A35" t="s">
        <v>95</v>
      </c>
      <c r="B35" t="s">
        <v>128</v>
      </c>
      <c r="C35">
        <v>35306560600</v>
      </c>
      <c r="D35">
        <v>57214778958</v>
      </c>
      <c r="E35">
        <v>80</v>
      </c>
      <c r="F35" t="str">
        <f>_xlfn.XLOOKUP(C35, '75'!$C$2:$C$1142, '75'!$F$2:$F$1142)</f>
        <v>no</v>
      </c>
    </row>
    <row r="36" spans="1:6" x14ac:dyDescent="0.45">
      <c r="A36" t="s">
        <v>95</v>
      </c>
      <c r="B36" t="s">
        <v>129</v>
      </c>
      <c r="C36">
        <v>35306560600</v>
      </c>
      <c r="D36">
        <v>57382754500</v>
      </c>
      <c r="E36">
        <v>95</v>
      </c>
      <c r="F36" t="str">
        <f>_xlfn.XLOOKUP(C36, '75'!$C$2:$C$1142, '75'!$F$2:$F$1142)</f>
        <v>no</v>
      </c>
    </row>
    <row r="37" spans="1:6" x14ac:dyDescent="0.45">
      <c r="A37" t="s">
        <v>95</v>
      </c>
      <c r="B37" t="s">
        <v>130</v>
      </c>
      <c r="C37">
        <v>35306560600</v>
      </c>
      <c r="D37">
        <v>55447267000</v>
      </c>
      <c r="E37">
        <v>95</v>
      </c>
      <c r="F37" t="str">
        <f>_xlfn.XLOOKUP(C37, '75'!$C$2:$C$1142, '75'!$F$2:$F$1142)</f>
        <v>no</v>
      </c>
    </row>
    <row r="38" spans="1:6" x14ac:dyDescent="0.45">
      <c r="A38" t="s">
        <v>95</v>
      </c>
      <c r="B38" t="s">
        <v>127</v>
      </c>
      <c r="C38">
        <v>35306560600</v>
      </c>
      <c r="D38">
        <v>59353414700</v>
      </c>
      <c r="E38">
        <v>80</v>
      </c>
      <c r="F38" t="str">
        <f>_xlfn.XLOOKUP(C38, '75'!$C$2:$C$1142, '75'!$F$2:$F$1142)</f>
        <v>no</v>
      </c>
    </row>
    <row r="39" spans="1:6" x14ac:dyDescent="0.45">
      <c r="A39" t="s">
        <v>96</v>
      </c>
      <c r="B39" t="s">
        <v>99</v>
      </c>
      <c r="C39">
        <v>57202349101</v>
      </c>
      <c r="D39">
        <v>57221774756</v>
      </c>
      <c r="E39">
        <v>89</v>
      </c>
      <c r="F39" t="str">
        <f>_xlfn.XLOOKUP(C39, '75'!$C$2:$C$1142, '75'!$F$2:$F$1142)</f>
        <v>no</v>
      </c>
    </row>
    <row r="40" spans="1:6" x14ac:dyDescent="0.45">
      <c r="A40" t="s">
        <v>115</v>
      </c>
      <c r="B40" t="s">
        <v>120</v>
      </c>
      <c r="C40">
        <v>56612496600</v>
      </c>
      <c r="D40">
        <v>57464181400</v>
      </c>
      <c r="E40">
        <v>80</v>
      </c>
      <c r="F40" t="str">
        <f>_xlfn.XLOOKUP(C40, '75'!$C$2:$C$1142, '75'!$F$2:$F$1142)</f>
        <v>no</v>
      </c>
    </row>
    <row r="41" spans="1:6" x14ac:dyDescent="0.45">
      <c r="A41" t="s">
        <v>135</v>
      </c>
      <c r="B41" t="s">
        <v>136</v>
      </c>
      <c r="C41">
        <v>14059835000</v>
      </c>
      <c r="D41">
        <v>30467559600</v>
      </c>
      <c r="E41">
        <v>81</v>
      </c>
      <c r="F41" t="str">
        <f>_xlfn.XLOOKUP(C41, '75'!$C$2:$C$1142, '75'!$F$2:$F$1142)</f>
        <v>no</v>
      </c>
    </row>
    <row r="42" spans="1:6" x14ac:dyDescent="0.45">
      <c r="A42" t="s">
        <v>139</v>
      </c>
      <c r="B42" t="s">
        <v>140</v>
      </c>
      <c r="C42">
        <v>57211297356</v>
      </c>
      <c r="D42">
        <v>58042961200</v>
      </c>
      <c r="E42">
        <v>89</v>
      </c>
      <c r="F42" t="str">
        <f>_xlfn.XLOOKUP(C42, '75'!$C$2:$C$1142, '75'!$F$2:$F$1142)</f>
        <v>no</v>
      </c>
    </row>
    <row r="43" spans="1:6" x14ac:dyDescent="0.45">
      <c r="A43" t="s">
        <v>141</v>
      </c>
      <c r="B43" t="s">
        <v>131</v>
      </c>
      <c r="C43">
        <v>57217236520</v>
      </c>
      <c r="D43">
        <v>57432972100</v>
      </c>
      <c r="E43">
        <v>80</v>
      </c>
      <c r="F43" t="str">
        <f>_xlfn.XLOOKUP(C43, '75'!$C$2:$C$1142, '75'!$F$2:$F$1142)</f>
        <v>no</v>
      </c>
    </row>
    <row r="44" spans="1:6" x14ac:dyDescent="0.45">
      <c r="A44" t="s">
        <v>143</v>
      </c>
      <c r="B44" t="s">
        <v>144</v>
      </c>
      <c r="C44">
        <v>55520207400</v>
      </c>
      <c r="D44">
        <v>57040127500</v>
      </c>
      <c r="E44">
        <v>82</v>
      </c>
      <c r="F44" t="str">
        <f>_xlfn.XLOOKUP(C44, '75'!$C$2:$C$1142, '75'!$F$2:$F$1142)</f>
        <v>no</v>
      </c>
    </row>
    <row r="45" spans="1:6" x14ac:dyDescent="0.45">
      <c r="A45" t="s">
        <v>89</v>
      </c>
      <c r="B45" t="s">
        <v>119</v>
      </c>
      <c r="C45">
        <v>57203151209</v>
      </c>
      <c r="D45">
        <v>55049017000</v>
      </c>
      <c r="E45">
        <v>82</v>
      </c>
      <c r="F45" t="str">
        <f>_xlfn.XLOOKUP(C45, '75'!$C$2:$C$1142, '75'!$F$2:$F$1142)</f>
        <v>no</v>
      </c>
    </row>
    <row r="46" spans="1:6" x14ac:dyDescent="0.45">
      <c r="A46" t="s">
        <v>146</v>
      </c>
      <c r="B46" t="s">
        <v>147</v>
      </c>
      <c r="C46">
        <v>56572138800</v>
      </c>
      <c r="D46">
        <v>57917651800</v>
      </c>
      <c r="E46">
        <v>83</v>
      </c>
      <c r="F46" t="str">
        <f>_xlfn.XLOOKUP(C46, '75'!$C$2:$C$1142, '75'!$F$2:$F$1142)</f>
        <v>no</v>
      </c>
    </row>
    <row r="47" spans="1:6" x14ac:dyDescent="0.45">
      <c r="A47" t="s">
        <v>148</v>
      </c>
      <c r="B47" t="s">
        <v>118</v>
      </c>
      <c r="C47">
        <v>57193485712</v>
      </c>
      <c r="D47">
        <v>59549734700</v>
      </c>
      <c r="E47">
        <v>84</v>
      </c>
      <c r="F47" t="str">
        <f>_xlfn.XLOOKUP(C47, '75'!$C$2:$C$1142, '75'!$F$2:$F$1142)</f>
        <v>no</v>
      </c>
    </row>
    <row r="48" spans="1:6" x14ac:dyDescent="0.45">
      <c r="A48" t="s">
        <v>154</v>
      </c>
      <c r="B48" t="s">
        <v>155</v>
      </c>
      <c r="C48">
        <v>56085514500</v>
      </c>
      <c r="D48">
        <v>59501786900</v>
      </c>
      <c r="E48">
        <v>92</v>
      </c>
      <c r="F48" t="str">
        <f>_xlfn.XLOOKUP(C48, '75'!$C$2:$C$1142, '75'!$F$2:$F$1142)</f>
        <v>ok</v>
      </c>
    </row>
    <row r="49" spans="1:6" x14ac:dyDescent="0.45">
      <c r="A49" t="s">
        <v>158</v>
      </c>
      <c r="B49" t="s">
        <v>159</v>
      </c>
      <c r="C49">
        <v>57581194600</v>
      </c>
      <c r="D49">
        <v>57217373503</v>
      </c>
      <c r="E49">
        <v>80</v>
      </c>
      <c r="F49" t="str">
        <f>_xlfn.XLOOKUP(C49, '75'!$C$2:$C$1142, '75'!$F$2:$F$1142)</f>
        <v>no</v>
      </c>
    </row>
    <row r="50" spans="1:6" x14ac:dyDescent="0.45">
      <c r="A50" t="s">
        <v>124</v>
      </c>
      <c r="B50" t="s">
        <v>116</v>
      </c>
      <c r="C50">
        <v>57328681600</v>
      </c>
      <c r="D50">
        <v>57220043419</v>
      </c>
      <c r="E50">
        <v>80</v>
      </c>
      <c r="F50" t="str">
        <f>_xlfn.XLOOKUP(C50, '75'!$C$2:$C$1142, '75'!$F$2:$F$1142)</f>
        <v>no</v>
      </c>
    </row>
    <row r="51" spans="1:6" x14ac:dyDescent="0.45">
      <c r="A51" t="s">
        <v>124</v>
      </c>
      <c r="B51" t="s">
        <v>121</v>
      </c>
      <c r="C51">
        <v>57328681600</v>
      </c>
      <c r="D51">
        <v>59817205600</v>
      </c>
      <c r="E51">
        <v>82</v>
      </c>
      <c r="F51" t="str">
        <f>_xlfn.XLOOKUP(C51, '75'!$C$2:$C$1142, '75'!$F$2:$F$1142)</f>
        <v>no</v>
      </c>
    </row>
    <row r="52" spans="1:6" x14ac:dyDescent="0.45">
      <c r="A52" t="s">
        <v>129</v>
      </c>
      <c r="B52" t="s">
        <v>130</v>
      </c>
      <c r="C52">
        <v>57382754500</v>
      </c>
      <c r="D52">
        <v>55447267000</v>
      </c>
      <c r="E52">
        <v>90</v>
      </c>
      <c r="F52" t="str">
        <f>_xlfn.XLOOKUP(C52, '75'!$C$2:$C$1142, '75'!$F$2:$F$1142)</f>
        <v>no</v>
      </c>
    </row>
    <row r="53" spans="1:6" x14ac:dyDescent="0.45">
      <c r="A53" t="s">
        <v>169</v>
      </c>
      <c r="B53" t="s">
        <v>170</v>
      </c>
      <c r="C53">
        <v>58827810200</v>
      </c>
      <c r="D53">
        <v>56719213100</v>
      </c>
      <c r="E53">
        <v>92</v>
      </c>
      <c r="F53" t="str">
        <f>_xlfn.XLOOKUP(C53, '75'!$C$2:$C$1142, '75'!$F$2:$F$1142)</f>
        <v>ok</v>
      </c>
    </row>
    <row r="54" spans="1:6" x14ac:dyDescent="0.45">
      <c r="A54" t="s">
        <v>116</v>
      </c>
      <c r="B54" t="s">
        <v>172</v>
      </c>
      <c r="C54">
        <v>57220043419</v>
      </c>
      <c r="D54">
        <v>59352990300</v>
      </c>
      <c r="E54">
        <v>90</v>
      </c>
      <c r="F54" t="str">
        <f>_xlfn.XLOOKUP(C54, '75'!$C$2:$C$1142, '75'!$F$2:$F$1142)</f>
        <v>no</v>
      </c>
    </row>
    <row r="55" spans="1:6" x14ac:dyDescent="0.45">
      <c r="A55" t="s">
        <v>116</v>
      </c>
      <c r="B55" t="s">
        <v>121</v>
      </c>
      <c r="C55">
        <v>57220043419</v>
      </c>
      <c r="D55">
        <v>59817205600</v>
      </c>
      <c r="E55">
        <v>80</v>
      </c>
      <c r="F55" t="str">
        <f>_xlfn.XLOOKUP(C55, '75'!$C$2:$C$1142, '75'!$F$2:$F$1142)</f>
        <v>no</v>
      </c>
    </row>
    <row r="56" spans="1:6" x14ac:dyDescent="0.45">
      <c r="A56" t="s">
        <v>116</v>
      </c>
      <c r="B56" t="s">
        <v>127</v>
      </c>
      <c r="C56">
        <v>57220043419</v>
      </c>
      <c r="D56">
        <v>59353414700</v>
      </c>
      <c r="E56">
        <v>80</v>
      </c>
      <c r="F56" t="str">
        <f>_xlfn.XLOOKUP(C56, '75'!$C$2:$C$1142, '75'!$F$2:$F$1142)</f>
        <v>no</v>
      </c>
    </row>
    <row r="57" spans="1:6" x14ac:dyDescent="0.45">
      <c r="A57" t="s">
        <v>173</v>
      </c>
      <c r="B57" t="s">
        <v>117</v>
      </c>
      <c r="C57">
        <v>58830295700</v>
      </c>
      <c r="D57">
        <v>57219394662</v>
      </c>
      <c r="E57">
        <v>90</v>
      </c>
      <c r="F57" t="str">
        <f>_xlfn.XLOOKUP(C57, '75'!$C$2:$C$1142, '75'!$F$2:$F$1142)</f>
        <v>ok</v>
      </c>
    </row>
    <row r="58" spans="1:6" x14ac:dyDescent="0.45">
      <c r="A58" t="s">
        <v>125</v>
      </c>
      <c r="B58" t="s">
        <v>174</v>
      </c>
      <c r="C58">
        <v>57214459624</v>
      </c>
      <c r="D58">
        <v>57209849920</v>
      </c>
      <c r="E58">
        <v>82</v>
      </c>
      <c r="F58" t="str">
        <f>_xlfn.XLOOKUP(C58, '75'!$C$2:$C$1142, '75'!$F$2:$F$1142)</f>
        <v>no</v>
      </c>
    </row>
    <row r="59" spans="1:6" x14ac:dyDescent="0.45">
      <c r="A59" t="s">
        <v>125</v>
      </c>
      <c r="B59" t="s">
        <v>126</v>
      </c>
      <c r="C59">
        <v>57214459624</v>
      </c>
      <c r="D59">
        <v>57198649249</v>
      </c>
      <c r="E59">
        <v>80</v>
      </c>
      <c r="F59" t="str">
        <f>_xlfn.XLOOKUP(C59, '75'!$C$2:$C$1142, '75'!$F$2:$F$1142)</f>
        <v>no</v>
      </c>
    </row>
    <row r="60" spans="1:6" x14ac:dyDescent="0.45">
      <c r="A60" t="s">
        <v>93</v>
      </c>
      <c r="B60" t="s">
        <v>178</v>
      </c>
      <c r="C60">
        <v>56997016900</v>
      </c>
      <c r="D60">
        <v>57222103241</v>
      </c>
      <c r="E60">
        <v>83</v>
      </c>
      <c r="F60" t="str">
        <f>_xlfn.XLOOKUP(C60, '75'!$C$2:$C$1142, '75'!$F$2:$F$1142)</f>
        <v>no</v>
      </c>
    </row>
    <row r="61" spans="1:6" x14ac:dyDescent="0.45">
      <c r="A61" t="s">
        <v>171</v>
      </c>
      <c r="B61" t="s">
        <v>181</v>
      </c>
      <c r="C61">
        <v>57218999689</v>
      </c>
      <c r="D61">
        <v>57222864840</v>
      </c>
      <c r="E61">
        <v>80</v>
      </c>
      <c r="F61" t="str">
        <f>_xlfn.XLOOKUP(C61, '75'!$C$2:$C$1142, '75'!$F$2:$F$1142)</f>
        <v>no</v>
      </c>
    </row>
    <row r="62" spans="1:6" x14ac:dyDescent="0.45">
      <c r="A62" t="s">
        <v>177</v>
      </c>
      <c r="B62" t="s">
        <v>178</v>
      </c>
      <c r="C62">
        <v>57974985600</v>
      </c>
      <c r="D62">
        <v>57222103241</v>
      </c>
      <c r="E62">
        <v>86</v>
      </c>
      <c r="F62" t="str">
        <f>_xlfn.XLOOKUP(C62, '75'!$C$2:$C$1142, '75'!$F$2:$F$1142)</f>
        <v>no</v>
      </c>
    </row>
    <row r="63" spans="1:6" x14ac:dyDescent="0.45">
      <c r="A63" t="s">
        <v>185</v>
      </c>
      <c r="B63" t="s">
        <v>186</v>
      </c>
      <c r="C63">
        <v>57200793821</v>
      </c>
      <c r="D63">
        <v>56246965800</v>
      </c>
      <c r="E63">
        <v>80</v>
      </c>
      <c r="F63" t="str">
        <f>_xlfn.XLOOKUP(C63, '75'!$C$2:$C$1142, '75'!$F$2:$F$1142)</f>
        <v>no</v>
      </c>
    </row>
    <row r="64" spans="1:6" x14ac:dyDescent="0.45">
      <c r="A64" t="s">
        <v>187</v>
      </c>
      <c r="B64" t="s">
        <v>188</v>
      </c>
      <c r="C64">
        <v>59336849800</v>
      </c>
      <c r="D64">
        <v>59676745300</v>
      </c>
      <c r="E64">
        <v>80</v>
      </c>
      <c r="F64" t="str">
        <f>_xlfn.XLOOKUP(C64, '75'!$C$2:$C$1142, '75'!$F$2:$F$1142)</f>
        <v>ok</v>
      </c>
    </row>
    <row r="65" spans="1:6" x14ac:dyDescent="0.45">
      <c r="A65" t="s">
        <v>111</v>
      </c>
      <c r="B65" t="s">
        <v>112</v>
      </c>
      <c r="C65">
        <v>57209555584</v>
      </c>
      <c r="D65">
        <v>59135252300</v>
      </c>
      <c r="E65">
        <v>89</v>
      </c>
      <c r="F65" t="str">
        <f>_xlfn.XLOOKUP(C65, '75'!$C$2:$C$1142, '75'!$F$2:$F$1142)</f>
        <v>no</v>
      </c>
    </row>
    <row r="66" spans="1:6" x14ac:dyDescent="0.45">
      <c r="A66" t="s">
        <v>117</v>
      </c>
      <c r="B66" t="s">
        <v>132</v>
      </c>
      <c r="C66">
        <v>57219394662</v>
      </c>
      <c r="D66">
        <v>58018476700</v>
      </c>
      <c r="E66">
        <v>84</v>
      </c>
      <c r="F66" t="str">
        <f>_xlfn.XLOOKUP(C66, '75'!$C$2:$C$1142, '75'!$F$2:$F$1142)</f>
        <v>no</v>
      </c>
    </row>
    <row r="67" spans="1:6" x14ac:dyDescent="0.45">
      <c r="A67" t="s">
        <v>190</v>
      </c>
      <c r="B67" t="s">
        <v>191</v>
      </c>
      <c r="C67">
        <v>57821779900</v>
      </c>
      <c r="D67">
        <v>59415748800</v>
      </c>
      <c r="E67">
        <v>94</v>
      </c>
      <c r="F67" t="str">
        <f>_xlfn.XLOOKUP(C67, '75'!$C$2:$C$1142, '75'!$F$2:$F$1142)</f>
        <v>ok</v>
      </c>
    </row>
    <row r="68" spans="1:6" x14ac:dyDescent="0.45">
      <c r="A68" t="s">
        <v>192</v>
      </c>
      <c r="B68" t="s">
        <v>193</v>
      </c>
      <c r="C68">
        <v>57209470116</v>
      </c>
      <c r="D68">
        <v>59518222600</v>
      </c>
      <c r="E68">
        <v>81</v>
      </c>
      <c r="F68" t="str">
        <f>_xlfn.XLOOKUP(C68, '75'!$C$2:$C$1142, '75'!$F$2:$F$1142)</f>
        <v>no</v>
      </c>
    </row>
    <row r="69" spans="1:6" x14ac:dyDescent="0.45">
      <c r="A69" t="s">
        <v>195</v>
      </c>
      <c r="B69" t="s">
        <v>174</v>
      </c>
      <c r="C69">
        <v>57222654013</v>
      </c>
      <c r="D69">
        <v>57209849920</v>
      </c>
      <c r="E69">
        <v>82</v>
      </c>
      <c r="F69" t="str">
        <f>_xlfn.XLOOKUP(C69, '75'!$C$2:$C$1142, '75'!$F$2:$F$1142)</f>
        <v>no</v>
      </c>
    </row>
    <row r="70" spans="1:6" x14ac:dyDescent="0.45">
      <c r="A70" t="s">
        <v>166</v>
      </c>
      <c r="B70" t="s">
        <v>196</v>
      </c>
      <c r="C70">
        <v>57216440698</v>
      </c>
      <c r="D70">
        <v>58828197400</v>
      </c>
      <c r="E70">
        <v>80</v>
      </c>
      <c r="F70" t="str">
        <f>_xlfn.XLOOKUP(C70, '75'!$C$2:$C$1142, '75'!$F$2:$F$1142)</f>
        <v>no</v>
      </c>
    </row>
    <row r="71" spans="1:6" x14ac:dyDescent="0.45">
      <c r="A71" t="s">
        <v>174</v>
      </c>
      <c r="B71" t="s">
        <v>126</v>
      </c>
      <c r="C71">
        <v>57209849920</v>
      </c>
      <c r="D71">
        <v>57198649249</v>
      </c>
      <c r="E71">
        <v>80</v>
      </c>
      <c r="F71" t="str">
        <f>_xlfn.XLOOKUP(C71, '75'!$C$2:$C$1142, '75'!$F$2:$F$1142)</f>
        <v>no</v>
      </c>
    </row>
    <row r="72" spans="1:6" x14ac:dyDescent="0.45">
      <c r="A72" t="s">
        <v>174</v>
      </c>
      <c r="B72" t="s">
        <v>197</v>
      </c>
      <c r="C72">
        <v>57209849920</v>
      </c>
      <c r="D72">
        <v>57226542790</v>
      </c>
      <c r="E72">
        <v>80</v>
      </c>
      <c r="F72" t="str">
        <f>_xlfn.XLOOKUP(C72, '75'!$C$2:$C$1142, '75'!$F$2:$F$1142)</f>
        <v>no</v>
      </c>
    </row>
    <row r="73" spans="1:6" x14ac:dyDescent="0.45">
      <c r="A73" t="s">
        <v>142</v>
      </c>
      <c r="B73" t="s">
        <v>134</v>
      </c>
      <c r="C73">
        <v>57221630885</v>
      </c>
      <c r="D73">
        <v>57216638641</v>
      </c>
      <c r="E73">
        <v>84</v>
      </c>
      <c r="F73" t="str">
        <f>_xlfn.XLOOKUP(C73, '75'!$C$2:$C$1142, '75'!$F$2:$F$1142)</f>
        <v>no</v>
      </c>
    </row>
    <row r="74" spans="1:6" x14ac:dyDescent="0.45">
      <c r="A74" t="s">
        <v>200</v>
      </c>
      <c r="B74" t="s">
        <v>201</v>
      </c>
      <c r="C74">
        <v>59807760700</v>
      </c>
      <c r="D74">
        <v>7402666341</v>
      </c>
      <c r="E74">
        <v>92</v>
      </c>
      <c r="F74" t="str">
        <f>_xlfn.XLOOKUP(C74, '75'!$C$2:$C$1142, '75'!$F$2:$F$1142)</f>
        <v>ok</v>
      </c>
    </row>
    <row r="75" spans="1:6" x14ac:dyDescent="0.45">
      <c r="A75" t="s">
        <v>98</v>
      </c>
      <c r="B75" t="s">
        <v>134</v>
      </c>
      <c r="C75">
        <v>57218701161</v>
      </c>
      <c r="D75">
        <v>57216638641</v>
      </c>
      <c r="E75">
        <v>82</v>
      </c>
      <c r="F75" t="str">
        <f>_xlfn.XLOOKUP(C75, '75'!$C$2:$C$1142, '75'!$F$2:$F$1142)</f>
        <v>no</v>
      </c>
    </row>
    <row r="76" spans="1:6" x14ac:dyDescent="0.45">
      <c r="A76" t="s">
        <v>207</v>
      </c>
      <c r="B76" t="s">
        <v>208</v>
      </c>
      <c r="C76">
        <v>58287914600</v>
      </c>
      <c r="D76">
        <v>58061917200</v>
      </c>
      <c r="E76">
        <v>95</v>
      </c>
      <c r="F76" t="str">
        <f>_xlfn.XLOOKUP(C76, '75'!$C$2:$C$1142, '75'!$F$2:$F$1142)</f>
        <v>ok</v>
      </c>
    </row>
    <row r="77" spans="1:6" x14ac:dyDescent="0.45">
      <c r="A77" t="s">
        <v>147</v>
      </c>
      <c r="B77" t="s">
        <v>210</v>
      </c>
      <c r="C77">
        <v>57917651800</v>
      </c>
      <c r="D77">
        <v>57367161300</v>
      </c>
      <c r="E77">
        <v>81</v>
      </c>
      <c r="F77" t="str">
        <f>_xlfn.XLOOKUP(C77, '75'!$C$2:$C$1142, '75'!$F$2:$F$1142)</f>
        <v>no</v>
      </c>
    </row>
    <row r="78" spans="1:6" x14ac:dyDescent="0.45">
      <c r="A78" t="s">
        <v>118</v>
      </c>
      <c r="B78" t="s">
        <v>134</v>
      </c>
      <c r="C78">
        <v>59549734700</v>
      </c>
      <c r="D78">
        <v>57216638641</v>
      </c>
      <c r="E78">
        <v>82</v>
      </c>
      <c r="F78" t="str">
        <f>_xlfn.XLOOKUP(C78, '75'!$C$2:$C$1142, '75'!$F$2:$F$1142)</f>
        <v>no</v>
      </c>
    </row>
    <row r="79" spans="1:6" x14ac:dyDescent="0.45">
      <c r="A79" t="s">
        <v>118</v>
      </c>
      <c r="B79" t="s">
        <v>120</v>
      </c>
      <c r="C79">
        <v>59549734700</v>
      </c>
      <c r="D79">
        <v>57464181400</v>
      </c>
      <c r="E79">
        <v>88</v>
      </c>
      <c r="F79" t="str">
        <f>_xlfn.XLOOKUP(C79, '75'!$C$2:$C$1142, '75'!$F$2:$F$1142)</f>
        <v>no</v>
      </c>
    </row>
    <row r="80" spans="1:6" x14ac:dyDescent="0.45">
      <c r="A80" t="s">
        <v>133</v>
      </c>
      <c r="B80" t="s">
        <v>183</v>
      </c>
      <c r="C80">
        <v>58666893100</v>
      </c>
      <c r="D80">
        <v>57219506217</v>
      </c>
      <c r="E80">
        <v>82</v>
      </c>
      <c r="F80" t="str">
        <f>_xlfn.XLOOKUP(C80, '75'!$C$2:$C$1142, '75'!$F$2:$F$1142)</f>
        <v>no</v>
      </c>
    </row>
    <row r="81" spans="1:6" x14ac:dyDescent="0.45">
      <c r="A81" t="s">
        <v>204</v>
      </c>
      <c r="B81" t="s">
        <v>215</v>
      </c>
      <c r="C81">
        <v>59559800200</v>
      </c>
      <c r="D81">
        <v>57224812353</v>
      </c>
      <c r="E81">
        <v>80</v>
      </c>
      <c r="F81" t="str">
        <f>_xlfn.XLOOKUP(C81, '75'!$C$2:$C$1142, '75'!$F$2:$F$1142)</f>
        <v>no</v>
      </c>
    </row>
    <row r="82" spans="1:6" x14ac:dyDescent="0.45">
      <c r="A82" t="s">
        <v>119</v>
      </c>
      <c r="B82" t="s">
        <v>100</v>
      </c>
      <c r="C82">
        <v>55049017000</v>
      </c>
      <c r="D82">
        <v>58745556500</v>
      </c>
      <c r="E82">
        <v>80</v>
      </c>
      <c r="F82" t="str">
        <f>_xlfn.XLOOKUP(C82, '75'!$C$2:$C$1142, '75'!$F$2:$F$1142)</f>
        <v>ok</v>
      </c>
    </row>
    <row r="83" spans="1:6" x14ac:dyDescent="0.45">
      <c r="A83" t="s">
        <v>119</v>
      </c>
      <c r="B83" t="s">
        <v>127</v>
      </c>
      <c r="C83">
        <v>55049017000</v>
      </c>
      <c r="D83">
        <v>59353414700</v>
      </c>
      <c r="E83">
        <v>80</v>
      </c>
      <c r="F83" t="str">
        <f>_xlfn.XLOOKUP(C83, '75'!$C$2:$C$1142, '75'!$F$2:$F$1142)</f>
        <v>ok</v>
      </c>
    </row>
    <row r="84" spans="1:6" x14ac:dyDescent="0.45">
      <c r="A84" t="s">
        <v>217</v>
      </c>
      <c r="B84" t="s">
        <v>157</v>
      </c>
      <c r="C84">
        <v>58573541600</v>
      </c>
      <c r="D84">
        <v>57951745400</v>
      </c>
      <c r="E84">
        <v>81</v>
      </c>
      <c r="F84" t="str">
        <f>_xlfn.XLOOKUP(C84, '75'!$C$2:$C$1142, '75'!$F$2:$F$1142)</f>
        <v>no</v>
      </c>
    </row>
    <row r="85" spans="1:6" x14ac:dyDescent="0.45">
      <c r="A85" t="s">
        <v>218</v>
      </c>
      <c r="B85" t="s">
        <v>219</v>
      </c>
      <c r="C85">
        <v>57201730337</v>
      </c>
      <c r="D85">
        <v>57202912172</v>
      </c>
      <c r="E85">
        <v>93</v>
      </c>
      <c r="F85" t="str">
        <f>_xlfn.XLOOKUP(C85, '75'!$C$2:$C$1142, '75'!$F$2:$F$1142)</f>
        <v>ok</v>
      </c>
    </row>
    <row r="86" spans="1:6" x14ac:dyDescent="0.45">
      <c r="A86" t="s">
        <v>220</v>
      </c>
      <c r="B86" t="s">
        <v>221</v>
      </c>
      <c r="C86">
        <v>57211702395</v>
      </c>
      <c r="D86">
        <v>57225927794</v>
      </c>
      <c r="E86">
        <v>83</v>
      </c>
      <c r="F86" t="str">
        <f>_xlfn.XLOOKUP(C86, '75'!$C$2:$C$1142, '75'!$F$2:$F$1142)</f>
        <v>no</v>
      </c>
    </row>
    <row r="87" spans="1:6" x14ac:dyDescent="0.45">
      <c r="A87" t="s">
        <v>222</v>
      </c>
      <c r="B87" t="s">
        <v>223</v>
      </c>
      <c r="C87">
        <v>7004268181</v>
      </c>
      <c r="D87">
        <v>56840385400</v>
      </c>
      <c r="E87">
        <v>93</v>
      </c>
      <c r="F87" t="str">
        <f>_xlfn.XLOOKUP(C87, '75'!$C$2:$C$1142, '75'!$F$2:$F$1142)</f>
        <v>ok</v>
      </c>
    </row>
    <row r="88" spans="1:6" x14ac:dyDescent="0.45">
      <c r="A88" t="s">
        <v>226</v>
      </c>
      <c r="B88" t="s">
        <v>227</v>
      </c>
      <c r="C88">
        <v>55580787900</v>
      </c>
      <c r="D88">
        <v>57206727735</v>
      </c>
      <c r="E88">
        <v>80</v>
      </c>
      <c r="F88" t="str">
        <f>_xlfn.XLOOKUP(C88, '75'!$C$2:$C$1142, '75'!$F$2:$F$1142)</f>
        <v>no</v>
      </c>
    </row>
    <row r="89" spans="1:6" x14ac:dyDescent="0.45">
      <c r="A89" t="s">
        <v>230</v>
      </c>
      <c r="B89" t="s">
        <v>231</v>
      </c>
      <c r="C89">
        <v>59157783100</v>
      </c>
      <c r="D89">
        <v>59814698200</v>
      </c>
      <c r="E89">
        <v>92</v>
      </c>
      <c r="F89" t="str">
        <f>_xlfn.XLOOKUP(C89, '75'!$C$2:$C$1142, '75'!$F$2:$F$1142)</f>
        <v>ok</v>
      </c>
    </row>
    <row r="90" spans="1:6" x14ac:dyDescent="0.45">
      <c r="A90" t="s">
        <v>232</v>
      </c>
      <c r="B90" t="s">
        <v>233</v>
      </c>
      <c r="C90">
        <v>57287468800</v>
      </c>
      <c r="D90">
        <v>57575566400</v>
      </c>
      <c r="E90">
        <v>92</v>
      </c>
      <c r="F90" t="str">
        <f>_xlfn.XLOOKUP(C90, '75'!$C$2:$C$1142, '75'!$F$2:$F$1142)</f>
        <v>ok</v>
      </c>
    </row>
    <row r="91" spans="1:6" x14ac:dyDescent="0.45">
      <c r="A91" t="s">
        <v>234</v>
      </c>
      <c r="B91" t="s">
        <v>235</v>
      </c>
      <c r="C91">
        <v>57204286868</v>
      </c>
      <c r="D91">
        <v>57736347300</v>
      </c>
      <c r="E91">
        <v>80</v>
      </c>
      <c r="F91" t="str">
        <f>_xlfn.XLOOKUP(C91, '75'!$C$2:$C$1142, '75'!$F$2:$F$1142)</f>
        <v>no</v>
      </c>
    </row>
    <row r="92" spans="1:6" x14ac:dyDescent="0.45">
      <c r="A92" t="s">
        <v>236</v>
      </c>
      <c r="B92" t="s">
        <v>237</v>
      </c>
      <c r="C92">
        <v>57224893513</v>
      </c>
      <c r="D92">
        <v>57253151600</v>
      </c>
      <c r="E92">
        <v>80</v>
      </c>
      <c r="F92" t="str">
        <f>_xlfn.XLOOKUP(C92, '75'!$C$2:$C$1142, '75'!$F$2:$F$1142)</f>
        <v>no</v>
      </c>
    </row>
    <row r="93" spans="1:6" x14ac:dyDescent="0.45">
      <c r="A93" t="s">
        <v>242</v>
      </c>
      <c r="B93" t="s">
        <v>243</v>
      </c>
      <c r="C93">
        <v>57792002700</v>
      </c>
      <c r="D93">
        <v>59373208900</v>
      </c>
      <c r="E93">
        <v>97</v>
      </c>
      <c r="F93" t="str">
        <f>_xlfn.XLOOKUP(C93, '75'!$C$2:$C$1142, '75'!$F$2:$F$1142)</f>
        <v>ok</v>
      </c>
    </row>
    <row r="94" spans="1:6" x14ac:dyDescent="0.45">
      <c r="A94" t="s">
        <v>244</v>
      </c>
      <c r="B94" t="s">
        <v>245</v>
      </c>
      <c r="C94">
        <v>57212346127</v>
      </c>
      <c r="D94">
        <v>57203331764</v>
      </c>
      <c r="E94">
        <v>90</v>
      </c>
      <c r="F94" t="str">
        <f>_xlfn.XLOOKUP(C94, '75'!$C$2:$C$1142, '75'!$F$2:$F$1142)</f>
        <v>no</v>
      </c>
    </row>
    <row r="95" spans="1:6" x14ac:dyDescent="0.45">
      <c r="A95" t="s">
        <v>248</v>
      </c>
      <c r="B95" t="s">
        <v>249</v>
      </c>
      <c r="C95">
        <v>57215934820</v>
      </c>
      <c r="D95">
        <v>57214111535</v>
      </c>
      <c r="E95">
        <v>97</v>
      </c>
      <c r="F95" t="str">
        <f>_xlfn.XLOOKUP(C95, '75'!$C$2:$C$1142, '75'!$F$2:$F$1142)</f>
        <v>ok</v>
      </c>
    </row>
    <row r="96" spans="1:6" x14ac:dyDescent="0.45">
      <c r="A96" t="s">
        <v>250</v>
      </c>
      <c r="B96" t="s">
        <v>251</v>
      </c>
      <c r="C96">
        <v>59647175000</v>
      </c>
      <c r="D96">
        <v>57216222262</v>
      </c>
      <c r="E96">
        <v>93</v>
      </c>
      <c r="F96" t="str">
        <f>_xlfn.XLOOKUP(C96, '75'!$C$2:$C$1142, '75'!$F$2:$F$1142)</f>
        <v>ok</v>
      </c>
    </row>
    <row r="97" spans="1:6" x14ac:dyDescent="0.45">
      <c r="A97" t="s">
        <v>254</v>
      </c>
      <c r="B97" t="s">
        <v>255</v>
      </c>
      <c r="C97">
        <v>55620693600</v>
      </c>
      <c r="D97">
        <v>57998385200</v>
      </c>
      <c r="E97">
        <v>96</v>
      </c>
      <c r="F97" t="str">
        <f>_xlfn.XLOOKUP(C97, '75'!$C$2:$C$1142, '75'!$F$2:$F$1142)</f>
        <v>ok</v>
      </c>
    </row>
    <row r="98" spans="1:6" x14ac:dyDescent="0.45">
      <c r="A98" t="s">
        <v>259</v>
      </c>
      <c r="B98" t="s">
        <v>260</v>
      </c>
      <c r="C98">
        <v>56483186100</v>
      </c>
      <c r="D98">
        <v>57215828343</v>
      </c>
      <c r="E98">
        <v>83</v>
      </c>
      <c r="F98" t="str">
        <f>_xlfn.XLOOKUP(C98, '75'!$C$2:$C$1142, '75'!$F$2:$F$1142)</f>
        <v>ok</v>
      </c>
    </row>
    <row r="99" spans="1:6" x14ac:dyDescent="0.45">
      <c r="A99" t="s">
        <v>261</v>
      </c>
      <c r="B99" t="s">
        <v>262</v>
      </c>
      <c r="C99">
        <v>56856315600</v>
      </c>
      <c r="D99">
        <v>56268773600</v>
      </c>
      <c r="E99">
        <v>92</v>
      </c>
      <c r="F99" t="str">
        <f>_xlfn.XLOOKUP(C99, '75'!$C$2:$C$1142, '75'!$F$2:$F$1142)</f>
        <v>no</v>
      </c>
    </row>
    <row r="100" spans="1:6" x14ac:dyDescent="0.45">
      <c r="A100" t="s">
        <v>265</v>
      </c>
      <c r="B100" t="s">
        <v>266</v>
      </c>
      <c r="C100">
        <v>57194874078</v>
      </c>
      <c r="D100">
        <v>58340549400</v>
      </c>
      <c r="E100">
        <v>81</v>
      </c>
      <c r="F100" t="str">
        <f>_xlfn.XLOOKUP(C100, '75'!$C$2:$C$1142, '75'!$F$2:$F$1142)</f>
        <v>no</v>
      </c>
    </row>
    <row r="101" spans="1:6" x14ac:dyDescent="0.45">
      <c r="A101" t="s">
        <v>267</v>
      </c>
      <c r="B101" t="s">
        <v>268</v>
      </c>
      <c r="C101">
        <v>57220106603</v>
      </c>
      <c r="D101">
        <v>57217134072</v>
      </c>
      <c r="E101">
        <v>92</v>
      </c>
      <c r="F101" t="str">
        <f>_xlfn.XLOOKUP(C101, '75'!$C$2:$C$1142, '75'!$F$2:$F$1142)</f>
        <v>no</v>
      </c>
    </row>
    <row r="102" spans="1:6" x14ac:dyDescent="0.45">
      <c r="A102" t="s">
        <v>276</v>
      </c>
      <c r="B102" t="s">
        <v>277</v>
      </c>
      <c r="C102">
        <v>58558920700</v>
      </c>
      <c r="D102">
        <v>57218855997</v>
      </c>
      <c r="E102">
        <v>87</v>
      </c>
      <c r="F102" t="str">
        <f>_xlfn.XLOOKUP(C102, '75'!$C$2:$C$1142, '75'!$F$2:$F$1142)</f>
        <v>ok</v>
      </c>
    </row>
    <row r="103" spans="1:6" x14ac:dyDescent="0.45">
      <c r="A103" t="s">
        <v>280</v>
      </c>
      <c r="B103" t="s">
        <v>279</v>
      </c>
      <c r="C103">
        <v>57204292684</v>
      </c>
      <c r="D103">
        <v>59152182400</v>
      </c>
      <c r="E103">
        <v>82</v>
      </c>
      <c r="F103" t="str">
        <f>_xlfn.XLOOKUP(C103, '75'!$C$2:$C$1142, '75'!$F$2:$F$1142)</f>
        <v>no</v>
      </c>
    </row>
    <row r="104" spans="1:6" x14ac:dyDescent="0.45">
      <c r="A104" t="s">
        <v>275</v>
      </c>
      <c r="B104" t="s">
        <v>264</v>
      </c>
      <c r="C104">
        <v>57998535800</v>
      </c>
      <c r="D104">
        <v>57211241158</v>
      </c>
      <c r="E104">
        <v>86</v>
      </c>
      <c r="F104" t="str">
        <f>_xlfn.XLOOKUP(C104, '75'!$C$2:$C$1142, '75'!$F$2:$F$1142)</f>
        <v>no</v>
      </c>
    </row>
    <row r="105" spans="1:6" x14ac:dyDescent="0.45">
      <c r="A105" t="s">
        <v>281</v>
      </c>
      <c r="B105" t="s">
        <v>282</v>
      </c>
      <c r="C105">
        <v>57200176320</v>
      </c>
      <c r="D105">
        <v>58689678000</v>
      </c>
      <c r="E105">
        <v>92</v>
      </c>
      <c r="F105" t="str">
        <f>_xlfn.XLOOKUP(C105, '75'!$C$2:$C$1142, '75'!$F$2:$F$1142)</f>
        <v>ok</v>
      </c>
    </row>
    <row r="106" spans="1:6" x14ac:dyDescent="0.45">
      <c r="A106" t="s">
        <v>285</v>
      </c>
      <c r="B106" t="s">
        <v>286</v>
      </c>
      <c r="C106">
        <v>57723250300</v>
      </c>
      <c r="D106">
        <v>59173501800</v>
      </c>
      <c r="E106">
        <v>93</v>
      </c>
      <c r="F106" t="str">
        <f>_xlfn.XLOOKUP(C106, '75'!$C$2:$C$1142, '75'!$F$2:$F$1142)</f>
        <v>ok</v>
      </c>
    </row>
    <row r="107" spans="1:6" x14ac:dyDescent="0.45">
      <c r="A107" t="s">
        <v>292</v>
      </c>
      <c r="B107" t="s">
        <v>293</v>
      </c>
      <c r="C107">
        <v>24359010500</v>
      </c>
      <c r="D107">
        <v>57223164224</v>
      </c>
      <c r="E107">
        <v>90</v>
      </c>
      <c r="F107" t="str">
        <f>_xlfn.XLOOKUP(C107, '75'!$C$2:$C$1142, '75'!$F$2:$F$1142)</f>
        <v>ok</v>
      </c>
    </row>
    <row r="108" spans="1:6" x14ac:dyDescent="0.45">
      <c r="A108" t="s">
        <v>294</v>
      </c>
      <c r="B108" t="s">
        <v>295</v>
      </c>
      <c r="C108">
        <v>57190345166</v>
      </c>
      <c r="D108">
        <v>57392372000</v>
      </c>
      <c r="E108">
        <v>80</v>
      </c>
      <c r="F108" t="str">
        <f>_xlfn.XLOOKUP(C108, '75'!$C$2:$C$1142, '75'!$F$2:$F$1142)</f>
        <v>no</v>
      </c>
    </row>
    <row r="109" spans="1:6" x14ac:dyDescent="0.45">
      <c r="A109" t="s">
        <v>298</v>
      </c>
      <c r="B109" t="s">
        <v>299</v>
      </c>
      <c r="C109">
        <v>6507645629</v>
      </c>
      <c r="D109">
        <v>58990528300</v>
      </c>
      <c r="E109">
        <v>91</v>
      </c>
      <c r="F109" t="str">
        <f>_xlfn.XLOOKUP(C109, '75'!$C$2:$C$1142, '75'!$F$2:$F$1142)</f>
        <v>ok</v>
      </c>
    </row>
    <row r="110" spans="1:6" x14ac:dyDescent="0.45">
      <c r="A110" t="s">
        <v>302</v>
      </c>
      <c r="B110" t="s">
        <v>303</v>
      </c>
      <c r="C110">
        <v>26429468000</v>
      </c>
      <c r="D110">
        <v>56411977100</v>
      </c>
      <c r="E110">
        <v>82</v>
      </c>
      <c r="F110" t="str">
        <f>_xlfn.XLOOKUP(C110, '75'!$C$2:$C$1142, '75'!$F$2:$F$1142)</f>
        <v>no</v>
      </c>
    </row>
    <row r="111" spans="1:6" x14ac:dyDescent="0.45">
      <c r="A111" t="s">
        <v>302</v>
      </c>
      <c r="B111" t="s">
        <v>304</v>
      </c>
      <c r="C111">
        <v>26429468000</v>
      </c>
      <c r="D111">
        <v>55345450100</v>
      </c>
      <c r="E111">
        <v>81</v>
      </c>
      <c r="F111" t="str">
        <f>_xlfn.XLOOKUP(C111, '75'!$C$2:$C$1142, '75'!$F$2:$F$1142)</f>
        <v>no</v>
      </c>
    </row>
    <row r="112" spans="1:6" x14ac:dyDescent="0.45">
      <c r="A112" t="s">
        <v>307</v>
      </c>
      <c r="B112" t="s">
        <v>308</v>
      </c>
      <c r="C112">
        <v>57216797712</v>
      </c>
      <c r="D112">
        <v>10041709300</v>
      </c>
      <c r="E112">
        <v>80</v>
      </c>
      <c r="F112" t="str">
        <f>_xlfn.XLOOKUP(C112, '75'!$C$2:$C$1142, '75'!$F$2:$F$1142)</f>
        <v>no</v>
      </c>
    </row>
    <row r="113" spans="1:6" x14ac:dyDescent="0.45">
      <c r="A113" t="s">
        <v>309</v>
      </c>
      <c r="B113" t="s">
        <v>295</v>
      </c>
      <c r="C113">
        <v>57210636353</v>
      </c>
      <c r="D113">
        <v>57392372000</v>
      </c>
      <c r="E113">
        <v>86</v>
      </c>
      <c r="F113" t="str">
        <f>_xlfn.XLOOKUP(C113, '75'!$C$2:$C$1142, '75'!$F$2:$F$1142)</f>
        <v>no</v>
      </c>
    </row>
    <row r="114" spans="1:6" x14ac:dyDescent="0.45">
      <c r="A114" t="s">
        <v>314</v>
      </c>
      <c r="B114" t="s">
        <v>315</v>
      </c>
      <c r="C114">
        <v>57213334854</v>
      </c>
      <c r="D114">
        <v>58680264800</v>
      </c>
      <c r="E114">
        <v>82</v>
      </c>
      <c r="F114" t="str">
        <f>_xlfn.XLOOKUP(C114, '75'!$C$2:$C$1142, '75'!$F$2:$F$1142)</f>
        <v>ok</v>
      </c>
    </row>
    <row r="115" spans="1:6" x14ac:dyDescent="0.45">
      <c r="A115" t="s">
        <v>316</v>
      </c>
      <c r="B115" t="s">
        <v>317</v>
      </c>
      <c r="C115">
        <v>56582435700</v>
      </c>
      <c r="D115">
        <v>57948030800</v>
      </c>
      <c r="E115">
        <v>90</v>
      </c>
      <c r="F115" t="str">
        <f>_xlfn.XLOOKUP(C115, '75'!$C$2:$C$1142, '75'!$F$2:$F$1142)</f>
        <v>ok</v>
      </c>
    </row>
    <row r="116" spans="1:6" x14ac:dyDescent="0.45">
      <c r="A116" t="s">
        <v>318</v>
      </c>
      <c r="B116" t="s">
        <v>319</v>
      </c>
      <c r="C116">
        <v>58676962100</v>
      </c>
      <c r="D116">
        <v>57997869400</v>
      </c>
      <c r="E116">
        <v>97</v>
      </c>
      <c r="F116" t="str">
        <f>_xlfn.XLOOKUP(C116, '75'!$C$2:$C$1142, '75'!$F$2:$F$1142)</f>
        <v>ok</v>
      </c>
    </row>
    <row r="117" spans="1:6" x14ac:dyDescent="0.45">
      <c r="A117" t="s">
        <v>320</v>
      </c>
      <c r="B117" t="s">
        <v>321</v>
      </c>
      <c r="C117">
        <v>57192694715</v>
      </c>
      <c r="D117">
        <v>57216374639</v>
      </c>
      <c r="E117">
        <v>80</v>
      </c>
      <c r="F117" t="str">
        <f>_xlfn.XLOOKUP(C117, '75'!$C$2:$C$1142, '75'!$F$2:$F$1142)</f>
        <v>no</v>
      </c>
    </row>
    <row r="118" spans="1:6" x14ac:dyDescent="0.45">
      <c r="A118" t="s">
        <v>324</v>
      </c>
      <c r="B118" t="s">
        <v>325</v>
      </c>
      <c r="C118">
        <v>57224194040</v>
      </c>
      <c r="D118">
        <v>57470611400</v>
      </c>
      <c r="E118">
        <v>80</v>
      </c>
      <c r="F118" t="str">
        <f>_xlfn.XLOOKUP(C118, '75'!$C$2:$C$1142, '75'!$F$2:$F$1142)</f>
        <v>no</v>
      </c>
    </row>
    <row r="119" spans="1:6" x14ac:dyDescent="0.45">
      <c r="A119" t="s">
        <v>326</v>
      </c>
      <c r="B119" t="s">
        <v>327</v>
      </c>
      <c r="C119">
        <v>57219839063</v>
      </c>
      <c r="D119">
        <v>57221636348</v>
      </c>
      <c r="E119">
        <v>80</v>
      </c>
      <c r="F119" t="str">
        <f>_xlfn.XLOOKUP(C119, '75'!$C$2:$C$1142, '75'!$F$2:$F$1142)</f>
        <v>no</v>
      </c>
    </row>
    <row r="120" spans="1:6" x14ac:dyDescent="0.45">
      <c r="A120" t="s">
        <v>328</v>
      </c>
      <c r="B120" t="s">
        <v>329</v>
      </c>
      <c r="C120">
        <v>55360826200</v>
      </c>
      <c r="D120">
        <v>58763648600</v>
      </c>
      <c r="E120">
        <v>80</v>
      </c>
      <c r="F120" t="str">
        <f>_xlfn.XLOOKUP(C120, '75'!$C$2:$C$1142, '75'!$F$2:$F$1142)</f>
        <v>no</v>
      </c>
    </row>
    <row r="121" spans="1:6" x14ac:dyDescent="0.45">
      <c r="A121" t="s">
        <v>334</v>
      </c>
      <c r="B121" t="s">
        <v>335</v>
      </c>
      <c r="C121">
        <v>57220890035</v>
      </c>
      <c r="D121">
        <v>59029455600</v>
      </c>
      <c r="E121">
        <v>92</v>
      </c>
      <c r="F121" t="str">
        <f>_xlfn.XLOOKUP(C121, '75'!$C$2:$C$1142, '75'!$F$2:$F$1142)</f>
        <v>ok</v>
      </c>
    </row>
    <row r="122" spans="1:6" x14ac:dyDescent="0.45">
      <c r="A122" t="s">
        <v>343</v>
      </c>
      <c r="B122" t="s">
        <v>344</v>
      </c>
      <c r="C122">
        <v>57201225750</v>
      </c>
      <c r="D122">
        <v>55332947200</v>
      </c>
      <c r="E122">
        <v>92</v>
      </c>
      <c r="F122" t="str">
        <f>_xlfn.XLOOKUP(C122, '75'!$C$2:$C$1142, '75'!$F$2:$F$1142)</f>
        <v>ok</v>
      </c>
    </row>
    <row r="123" spans="1:6" x14ac:dyDescent="0.45">
      <c r="A123" t="s">
        <v>345</v>
      </c>
      <c r="B123" t="s">
        <v>346</v>
      </c>
      <c r="C123">
        <v>20433459500</v>
      </c>
      <c r="D123">
        <v>57204281290</v>
      </c>
      <c r="E123">
        <v>94</v>
      </c>
      <c r="F123" t="str">
        <f>_xlfn.XLOOKUP(C123, '75'!$C$2:$C$1142, '75'!$F$2:$F$1142)</f>
        <v>ok</v>
      </c>
    </row>
    <row r="124" spans="1:6" x14ac:dyDescent="0.45">
      <c r="A124" t="s">
        <v>347</v>
      </c>
      <c r="B124" t="s">
        <v>348</v>
      </c>
      <c r="C124">
        <v>35501028000</v>
      </c>
      <c r="D124">
        <v>59837956400</v>
      </c>
      <c r="E124">
        <v>81</v>
      </c>
      <c r="F124" t="str">
        <f>_xlfn.XLOOKUP(C124, '75'!$C$2:$C$1142, '75'!$F$2:$F$1142)</f>
        <v>ok</v>
      </c>
    </row>
    <row r="125" spans="1:6" x14ac:dyDescent="0.45">
      <c r="A125" t="s">
        <v>352</v>
      </c>
      <c r="B125" t="s">
        <v>353</v>
      </c>
      <c r="C125">
        <v>57233901800</v>
      </c>
      <c r="D125">
        <v>57219619193</v>
      </c>
      <c r="E125">
        <v>80</v>
      </c>
      <c r="F125" t="str">
        <f>_xlfn.XLOOKUP(C125, '75'!$C$2:$C$1142, '75'!$F$2:$F$1142)</f>
        <v>no</v>
      </c>
    </row>
    <row r="126" spans="1:6" x14ac:dyDescent="0.45">
      <c r="A126" t="s">
        <v>352</v>
      </c>
      <c r="B126" t="s">
        <v>354</v>
      </c>
      <c r="C126">
        <v>57233901800</v>
      </c>
      <c r="D126">
        <v>57192586510</v>
      </c>
      <c r="E126">
        <v>85</v>
      </c>
      <c r="F126" t="str">
        <f>_xlfn.XLOOKUP(C126, '75'!$C$2:$C$1142, '75'!$F$2:$F$1142)</f>
        <v>no</v>
      </c>
    </row>
    <row r="127" spans="1:6" x14ac:dyDescent="0.45">
      <c r="A127" t="s">
        <v>356</v>
      </c>
      <c r="B127" t="s">
        <v>357</v>
      </c>
      <c r="C127">
        <v>6701635677</v>
      </c>
      <c r="D127">
        <v>55600040700</v>
      </c>
      <c r="E127">
        <v>80</v>
      </c>
      <c r="F127" t="str">
        <f>_xlfn.XLOOKUP(C127, '75'!$C$2:$C$1142, '75'!$F$2:$F$1142)</f>
        <v>no</v>
      </c>
    </row>
    <row r="128" spans="1:6" x14ac:dyDescent="0.45">
      <c r="A128" t="s">
        <v>369</v>
      </c>
      <c r="B128" t="s">
        <v>370</v>
      </c>
      <c r="C128">
        <v>30467616500</v>
      </c>
      <c r="D128">
        <v>58100944300</v>
      </c>
      <c r="E128">
        <v>80</v>
      </c>
      <c r="F128" t="str">
        <f>_xlfn.XLOOKUP(C128, '75'!$C$2:$C$1142, '75'!$F$2:$F$1142)</f>
        <v>no</v>
      </c>
    </row>
    <row r="129" spans="1:6" x14ac:dyDescent="0.45">
      <c r="A129" t="s">
        <v>375</v>
      </c>
      <c r="B129" t="s">
        <v>376</v>
      </c>
      <c r="C129">
        <v>57217693682</v>
      </c>
      <c r="D129">
        <v>57217055832</v>
      </c>
      <c r="E129">
        <v>92</v>
      </c>
      <c r="F129" t="str">
        <f>_xlfn.XLOOKUP(C129, '75'!$C$2:$C$1142, '75'!$F$2:$F$1142)</f>
        <v>ok</v>
      </c>
    </row>
    <row r="130" spans="1:6" x14ac:dyDescent="0.45">
      <c r="A130" t="s">
        <v>381</v>
      </c>
      <c r="B130" t="s">
        <v>382</v>
      </c>
      <c r="C130">
        <v>57209772964</v>
      </c>
      <c r="D130">
        <v>57205374299</v>
      </c>
      <c r="E130">
        <v>80</v>
      </c>
      <c r="F130" t="str">
        <f>_xlfn.XLOOKUP(C130, '75'!$C$2:$C$1142, '75'!$F$2:$F$1142)</f>
        <v>no</v>
      </c>
    </row>
    <row r="131" spans="1:6" x14ac:dyDescent="0.45">
      <c r="A131" t="s">
        <v>383</v>
      </c>
      <c r="B131" t="s">
        <v>384</v>
      </c>
      <c r="C131">
        <v>57219241387</v>
      </c>
      <c r="D131">
        <v>57453661700</v>
      </c>
      <c r="E131">
        <v>82</v>
      </c>
      <c r="F131" t="str">
        <f>_xlfn.XLOOKUP(C131, '75'!$C$2:$C$1142, '75'!$F$2:$F$1142)</f>
        <v>no</v>
      </c>
    </row>
    <row r="132" spans="1:6" x14ac:dyDescent="0.45">
      <c r="A132" t="s">
        <v>385</v>
      </c>
      <c r="B132" t="s">
        <v>386</v>
      </c>
      <c r="C132">
        <v>57206426930</v>
      </c>
      <c r="D132">
        <v>57212408054</v>
      </c>
      <c r="E132">
        <v>86</v>
      </c>
      <c r="F132" t="str">
        <f>_xlfn.XLOOKUP(C132, '75'!$C$2:$C$1142, '75'!$F$2:$F$1142)</f>
        <v>no</v>
      </c>
    </row>
    <row r="133" spans="1:6" x14ac:dyDescent="0.45">
      <c r="A133" t="s">
        <v>385</v>
      </c>
      <c r="B133" t="s">
        <v>387</v>
      </c>
      <c r="C133">
        <v>57206426930</v>
      </c>
      <c r="D133">
        <v>57218667819</v>
      </c>
      <c r="E133">
        <v>85</v>
      </c>
      <c r="F133" t="str">
        <f>_xlfn.XLOOKUP(C133, '75'!$C$2:$C$1142, '75'!$F$2:$F$1142)</f>
        <v>no</v>
      </c>
    </row>
    <row r="134" spans="1:6" x14ac:dyDescent="0.45">
      <c r="A134" t="s">
        <v>389</v>
      </c>
      <c r="B134" t="s">
        <v>391</v>
      </c>
      <c r="C134">
        <v>59161285900</v>
      </c>
      <c r="D134">
        <v>34979903200</v>
      </c>
      <c r="E134">
        <v>90</v>
      </c>
      <c r="F134" t="str">
        <f>_xlfn.XLOOKUP(C134, '75'!$C$2:$C$1142, '75'!$F$2:$F$1142)</f>
        <v>no</v>
      </c>
    </row>
    <row r="135" spans="1:6" x14ac:dyDescent="0.45">
      <c r="A135" t="s">
        <v>390</v>
      </c>
      <c r="B135" t="s">
        <v>391</v>
      </c>
      <c r="C135">
        <v>59207795900</v>
      </c>
      <c r="D135">
        <v>34979903200</v>
      </c>
      <c r="E135">
        <v>90</v>
      </c>
      <c r="F135" t="str">
        <f>_xlfn.XLOOKUP(C135, '75'!$C$2:$C$1142, '75'!$F$2:$F$1142)</f>
        <v>ok</v>
      </c>
    </row>
    <row r="136" spans="1:6" x14ac:dyDescent="0.45">
      <c r="A136" t="s">
        <v>399</v>
      </c>
      <c r="B136" t="s">
        <v>400</v>
      </c>
      <c r="C136">
        <v>57208184515</v>
      </c>
      <c r="D136">
        <v>59803235800</v>
      </c>
      <c r="E136">
        <v>90</v>
      </c>
      <c r="F136" t="str">
        <f>_xlfn.XLOOKUP(C136, '75'!$C$2:$C$1142, '75'!$F$2:$F$1142)</f>
        <v>no</v>
      </c>
    </row>
    <row r="137" spans="1:6" x14ac:dyDescent="0.45">
      <c r="A137" t="s">
        <v>401</v>
      </c>
      <c r="B137" t="s">
        <v>402</v>
      </c>
      <c r="C137">
        <v>7201973561</v>
      </c>
      <c r="D137">
        <v>59794341400</v>
      </c>
      <c r="E137">
        <v>96</v>
      </c>
      <c r="F137" t="str">
        <f>_xlfn.XLOOKUP(C137, '75'!$C$2:$C$1142, '75'!$F$2:$F$1142)</f>
        <v>ok</v>
      </c>
    </row>
    <row r="138" spans="1:6" x14ac:dyDescent="0.45">
      <c r="A138" t="s">
        <v>403</v>
      </c>
      <c r="B138" t="s">
        <v>404</v>
      </c>
      <c r="C138">
        <v>16233683000</v>
      </c>
      <c r="D138">
        <v>15019507800</v>
      </c>
      <c r="E138">
        <v>80</v>
      </c>
      <c r="F138" t="str">
        <f>_xlfn.XLOOKUP(C138, '75'!$C$2:$C$1142, '75'!$F$2:$F$1142)</f>
        <v>no</v>
      </c>
    </row>
    <row r="139" spans="1:6" x14ac:dyDescent="0.45">
      <c r="A139" t="s">
        <v>410</v>
      </c>
      <c r="B139" t="s">
        <v>411</v>
      </c>
      <c r="C139">
        <v>57211405320</v>
      </c>
      <c r="D139">
        <v>57220933225</v>
      </c>
      <c r="E139">
        <v>94</v>
      </c>
      <c r="F139" t="str">
        <f>_xlfn.XLOOKUP(C139, '75'!$C$2:$C$1142, '75'!$F$2:$F$1142)</f>
        <v>ok</v>
      </c>
    </row>
    <row r="140" spans="1:6" x14ac:dyDescent="0.45">
      <c r="A140" t="s">
        <v>412</v>
      </c>
      <c r="B140" t="s">
        <v>413</v>
      </c>
      <c r="C140">
        <v>57204726143</v>
      </c>
      <c r="D140">
        <v>57222014423</v>
      </c>
      <c r="E140">
        <v>80</v>
      </c>
      <c r="F140" t="str">
        <f>_xlfn.XLOOKUP(C140, '75'!$C$2:$C$1142, '75'!$F$2:$F$1142)</f>
        <v>no</v>
      </c>
    </row>
    <row r="141" spans="1:6" x14ac:dyDescent="0.45">
      <c r="A141" t="s">
        <v>414</v>
      </c>
      <c r="B141" t="s">
        <v>415</v>
      </c>
      <c r="C141">
        <v>57211955754</v>
      </c>
      <c r="D141">
        <v>57224160661</v>
      </c>
      <c r="E141">
        <v>82</v>
      </c>
      <c r="F141" t="str">
        <f>_xlfn.XLOOKUP(C141, '75'!$C$2:$C$1142, '75'!$F$2:$F$1142)</f>
        <v>no</v>
      </c>
    </row>
    <row r="142" spans="1:6" x14ac:dyDescent="0.45">
      <c r="A142" t="s">
        <v>419</v>
      </c>
      <c r="B142" t="s">
        <v>420</v>
      </c>
      <c r="C142">
        <v>6701569164</v>
      </c>
      <c r="D142">
        <v>59475179000</v>
      </c>
      <c r="E142">
        <v>94</v>
      </c>
      <c r="F142" t="str">
        <f>_xlfn.XLOOKUP(C142, '75'!$C$2:$C$1142, '75'!$F$2:$F$1142)</f>
        <v>ok</v>
      </c>
    </row>
    <row r="143" spans="1:6" x14ac:dyDescent="0.45">
      <c r="A143" t="s">
        <v>421</v>
      </c>
      <c r="B143" t="s">
        <v>422</v>
      </c>
      <c r="C143">
        <v>57203870786</v>
      </c>
      <c r="D143">
        <v>58078867300</v>
      </c>
      <c r="E143">
        <v>86</v>
      </c>
      <c r="F143" t="str">
        <f>_xlfn.XLOOKUP(C143, '75'!$C$2:$C$1142, '75'!$F$2:$F$1142)</f>
        <v>no</v>
      </c>
    </row>
    <row r="144" spans="1:6" x14ac:dyDescent="0.45">
      <c r="A144" t="s">
        <v>423</v>
      </c>
      <c r="B144" t="s">
        <v>424</v>
      </c>
      <c r="C144">
        <v>57204906651</v>
      </c>
      <c r="D144">
        <v>59345453700</v>
      </c>
      <c r="E144">
        <v>82</v>
      </c>
      <c r="F144" t="str">
        <f>_xlfn.XLOOKUP(C144, '75'!$C$2:$C$1142, '75'!$F$2:$F$1142)</f>
        <v>no</v>
      </c>
    </row>
    <row r="145" spans="1:6" x14ac:dyDescent="0.45">
      <c r="A145" t="s">
        <v>431</v>
      </c>
      <c r="B145" t="s">
        <v>432</v>
      </c>
      <c r="C145">
        <v>55202285800</v>
      </c>
      <c r="D145">
        <v>55603882200</v>
      </c>
      <c r="E145">
        <v>85</v>
      </c>
      <c r="F145" t="str">
        <f>_xlfn.XLOOKUP(C145, '75'!$C$2:$C$1142, '75'!$F$2:$F$1142)</f>
        <v>no</v>
      </c>
    </row>
    <row r="146" spans="1:6" x14ac:dyDescent="0.45">
      <c r="A146" t="s">
        <v>437</v>
      </c>
      <c r="B146" t="s">
        <v>438</v>
      </c>
      <c r="C146">
        <v>57207876087</v>
      </c>
      <c r="D146">
        <v>58588589500</v>
      </c>
      <c r="E146">
        <v>80</v>
      </c>
      <c r="F146" t="str">
        <f>_xlfn.XLOOKUP(C146, '75'!$C$2:$C$1142, '75'!$F$2:$F$1142)</f>
        <v>no</v>
      </c>
    </row>
    <row r="147" spans="1:6" x14ac:dyDescent="0.45">
      <c r="A147" t="s">
        <v>444</v>
      </c>
      <c r="B147" t="s">
        <v>445</v>
      </c>
      <c r="C147">
        <v>25960969700</v>
      </c>
      <c r="D147">
        <v>57209465439</v>
      </c>
      <c r="E147">
        <v>81</v>
      </c>
      <c r="F147" t="str">
        <f>_xlfn.XLOOKUP(C147, '75'!$C$2:$C$1142, '75'!$F$2:$F$1142)</f>
        <v>ok</v>
      </c>
    </row>
    <row r="148" spans="1:6" x14ac:dyDescent="0.45">
      <c r="A148" t="s">
        <v>446</v>
      </c>
      <c r="B148" t="s">
        <v>447</v>
      </c>
      <c r="C148">
        <v>57205207510</v>
      </c>
      <c r="D148">
        <v>57214770459</v>
      </c>
      <c r="E148">
        <v>86</v>
      </c>
      <c r="F148" t="str">
        <f>_xlfn.XLOOKUP(C148, '75'!$C$2:$C$1142, '75'!$F$2:$F$1142)</f>
        <v>no</v>
      </c>
    </row>
    <row r="149" spans="1:6" x14ac:dyDescent="0.45">
      <c r="A149" t="s">
        <v>438</v>
      </c>
      <c r="B149" t="s">
        <v>448</v>
      </c>
      <c r="C149">
        <v>58588589500</v>
      </c>
      <c r="D149">
        <v>56448087600</v>
      </c>
      <c r="E149">
        <v>85</v>
      </c>
      <c r="F149" t="str">
        <f>_xlfn.XLOOKUP(C149, '75'!$C$2:$C$1142, '75'!$F$2:$F$1142)</f>
        <v>no</v>
      </c>
    </row>
    <row r="150" spans="1:6" x14ac:dyDescent="0.45">
      <c r="A150" t="s">
        <v>438</v>
      </c>
      <c r="B150" t="s">
        <v>439</v>
      </c>
      <c r="C150">
        <v>58588589500</v>
      </c>
      <c r="D150">
        <v>58602148800</v>
      </c>
      <c r="E150">
        <v>83</v>
      </c>
      <c r="F150" t="str">
        <f>_xlfn.XLOOKUP(C150, '75'!$C$2:$C$1142, '75'!$F$2:$F$1142)</f>
        <v>no</v>
      </c>
    </row>
    <row r="151" spans="1:6" x14ac:dyDescent="0.45">
      <c r="A151" t="s">
        <v>450</v>
      </c>
      <c r="B151" t="s">
        <v>451</v>
      </c>
      <c r="C151">
        <v>55241221300</v>
      </c>
      <c r="D151">
        <v>59305897300</v>
      </c>
      <c r="E151">
        <v>81</v>
      </c>
      <c r="F151" t="str">
        <f>_xlfn.XLOOKUP(C151, '75'!$C$2:$C$1142, '75'!$F$2:$F$1142)</f>
        <v>no</v>
      </c>
    </row>
    <row r="152" spans="1:6" x14ac:dyDescent="0.45">
      <c r="A152" t="s">
        <v>441</v>
      </c>
      <c r="B152" t="s">
        <v>443</v>
      </c>
      <c r="C152">
        <v>57211871654</v>
      </c>
      <c r="D152">
        <v>58860015500</v>
      </c>
      <c r="E152">
        <v>82</v>
      </c>
      <c r="F152" t="str">
        <f>_xlfn.XLOOKUP(C152, '75'!$C$2:$C$1142, '75'!$F$2:$F$1142)</f>
        <v>no</v>
      </c>
    </row>
    <row r="153" spans="1:6" x14ac:dyDescent="0.45">
      <c r="A153" t="s">
        <v>441</v>
      </c>
      <c r="B153" t="s">
        <v>452</v>
      </c>
      <c r="C153">
        <v>57211871654</v>
      </c>
      <c r="D153">
        <v>57221141737</v>
      </c>
      <c r="E153">
        <v>86</v>
      </c>
      <c r="F153" t="str">
        <f>_xlfn.XLOOKUP(C153, '75'!$C$2:$C$1142, '75'!$F$2:$F$1142)</f>
        <v>no</v>
      </c>
    </row>
    <row r="154" spans="1:6" x14ac:dyDescent="0.45">
      <c r="A154" t="s">
        <v>459</v>
      </c>
      <c r="B154" t="s">
        <v>460</v>
      </c>
      <c r="C154">
        <v>8596306300</v>
      </c>
      <c r="D154">
        <v>57200560173</v>
      </c>
      <c r="E154">
        <v>83</v>
      </c>
      <c r="F154" t="str">
        <f>_xlfn.XLOOKUP(C154, '75'!$C$2:$C$1142, '75'!$F$2:$F$1142)</f>
        <v>no</v>
      </c>
    </row>
    <row r="155" spans="1:6" x14ac:dyDescent="0.45">
      <c r="A155" t="s">
        <v>464</v>
      </c>
      <c r="B155" t="s">
        <v>465</v>
      </c>
      <c r="C155">
        <v>56102570600</v>
      </c>
      <c r="D155">
        <v>57224748486</v>
      </c>
      <c r="E155">
        <v>83</v>
      </c>
      <c r="F155" t="str">
        <f>_xlfn.XLOOKUP(C155, '75'!$C$2:$C$1142, '75'!$F$2:$F$1142)</f>
        <v>ok</v>
      </c>
    </row>
    <row r="156" spans="1:6" x14ac:dyDescent="0.45">
      <c r="A156" t="s">
        <v>466</v>
      </c>
      <c r="B156" t="s">
        <v>467</v>
      </c>
      <c r="C156">
        <v>57202588460</v>
      </c>
      <c r="D156">
        <v>59315845200</v>
      </c>
      <c r="E156">
        <v>92</v>
      </c>
      <c r="F156" t="str">
        <f>_xlfn.XLOOKUP(C156, '75'!$C$2:$C$1142, '75'!$F$2:$F$1142)</f>
        <v>no</v>
      </c>
    </row>
    <row r="157" spans="1:6" x14ac:dyDescent="0.45">
      <c r="A157" t="s">
        <v>468</v>
      </c>
      <c r="B157" t="s">
        <v>469</v>
      </c>
      <c r="C157">
        <v>58274752000</v>
      </c>
      <c r="D157">
        <v>58161314200</v>
      </c>
      <c r="E157">
        <v>83</v>
      </c>
      <c r="F157" t="str">
        <f>_xlfn.XLOOKUP(C157, '75'!$C$2:$C$1142, '75'!$F$2:$F$1142)</f>
        <v>no</v>
      </c>
    </row>
    <row r="158" spans="1:6" x14ac:dyDescent="0.45">
      <c r="A158" t="s">
        <v>471</v>
      </c>
      <c r="B158" t="s">
        <v>458</v>
      </c>
      <c r="C158">
        <v>57192095652</v>
      </c>
      <c r="D158">
        <v>59673935300</v>
      </c>
      <c r="E158">
        <v>80</v>
      </c>
      <c r="F158" t="str">
        <f>_xlfn.XLOOKUP(C158, '75'!$C$2:$C$1142, '75'!$F$2:$F$1142)</f>
        <v>no</v>
      </c>
    </row>
    <row r="159" spans="1:6" x14ac:dyDescent="0.45">
      <c r="A159" t="s">
        <v>469</v>
      </c>
      <c r="B159" t="s">
        <v>472</v>
      </c>
      <c r="C159">
        <v>58161314200</v>
      </c>
      <c r="D159">
        <v>58854567800</v>
      </c>
      <c r="E159">
        <v>83</v>
      </c>
      <c r="F159" t="str">
        <f>_xlfn.XLOOKUP(C159, '75'!$C$2:$C$1142, '75'!$F$2:$F$1142)</f>
        <v>no</v>
      </c>
    </row>
    <row r="160" spans="1:6" x14ac:dyDescent="0.45">
      <c r="A160" t="s">
        <v>473</v>
      </c>
      <c r="B160" t="s">
        <v>474</v>
      </c>
      <c r="C160">
        <v>57212571216</v>
      </c>
      <c r="D160">
        <v>57197841951</v>
      </c>
      <c r="E160">
        <v>95</v>
      </c>
      <c r="F160" t="str">
        <f>_xlfn.XLOOKUP(C160, '75'!$C$2:$C$1142, '75'!$F$2:$F$1142)</f>
        <v>ok</v>
      </c>
    </row>
    <row r="161" spans="1:6" x14ac:dyDescent="0.45">
      <c r="A161" t="s">
        <v>475</v>
      </c>
      <c r="B161" t="s">
        <v>476</v>
      </c>
      <c r="C161">
        <v>59185018600</v>
      </c>
      <c r="D161">
        <v>57352587200</v>
      </c>
      <c r="E161">
        <v>85</v>
      </c>
      <c r="F161" t="str">
        <f>_xlfn.XLOOKUP(C161, '75'!$C$2:$C$1142, '75'!$F$2:$F$1142)</f>
        <v>no</v>
      </c>
    </row>
    <row r="162" spans="1:6" x14ac:dyDescent="0.45">
      <c r="A162" t="s">
        <v>477</v>
      </c>
      <c r="B162" t="s">
        <v>478</v>
      </c>
      <c r="C162">
        <v>57203603824</v>
      </c>
      <c r="D162">
        <v>57209116896</v>
      </c>
      <c r="E162">
        <v>85</v>
      </c>
      <c r="F162" t="str">
        <f>_xlfn.XLOOKUP(C162, '75'!$C$2:$C$1142, '75'!$F$2:$F$1142)</f>
        <v>no</v>
      </c>
    </row>
    <row r="163" spans="1:6" x14ac:dyDescent="0.45">
      <c r="A163" t="s">
        <v>487</v>
      </c>
      <c r="B163" t="s">
        <v>451</v>
      </c>
      <c r="C163">
        <v>57555413300</v>
      </c>
      <c r="D163">
        <v>59305897300</v>
      </c>
      <c r="E163">
        <v>87</v>
      </c>
      <c r="F163" t="str">
        <f>_xlfn.XLOOKUP(C163, '75'!$C$2:$C$1142, '75'!$F$2:$F$1142)</f>
        <v>ok</v>
      </c>
    </row>
    <row r="164" spans="1:6" x14ac:dyDescent="0.45">
      <c r="A164" t="s">
        <v>488</v>
      </c>
      <c r="B164" t="s">
        <v>489</v>
      </c>
      <c r="C164">
        <v>57214883229</v>
      </c>
      <c r="D164">
        <v>56575966800</v>
      </c>
      <c r="E164">
        <v>92</v>
      </c>
      <c r="F164" t="str">
        <f>_xlfn.XLOOKUP(C164, '75'!$C$2:$C$1142, '75'!$F$2:$F$1142)</f>
        <v>ok</v>
      </c>
    </row>
    <row r="165" spans="1:6" x14ac:dyDescent="0.45">
      <c r="A165" t="s">
        <v>490</v>
      </c>
      <c r="B165" t="s">
        <v>493</v>
      </c>
      <c r="C165">
        <v>58603818900</v>
      </c>
      <c r="D165">
        <v>59487044600</v>
      </c>
      <c r="E165">
        <v>87</v>
      </c>
      <c r="F165" t="str">
        <f>_xlfn.XLOOKUP(C165, '75'!$C$2:$C$1142, '75'!$F$2:$F$1142)</f>
        <v>no</v>
      </c>
    </row>
    <row r="166" spans="1:6" x14ac:dyDescent="0.45">
      <c r="A166" t="s">
        <v>495</v>
      </c>
      <c r="B166" t="s">
        <v>492</v>
      </c>
      <c r="C166">
        <v>8969748600</v>
      </c>
      <c r="D166">
        <v>59061428700</v>
      </c>
      <c r="E166">
        <v>82</v>
      </c>
      <c r="F166" t="str">
        <f>_xlfn.XLOOKUP(C166, '75'!$C$2:$C$1142, '75'!$F$2:$F$1142)</f>
        <v>ok</v>
      </c>
    </row>
    <row r="167" spans="1:6" x14ac:dyDescent="0.45">
      <c r="A167" t="s">
        <v>495</v>
      </c>
      <c r="B167" t="s">
        <v>496</v>
      </c>
      <c r="C167">
        <v>8969748600</v>
      </c>
      <c r="D167">
        <v>59732151800</v>
      </c>
      <c r="E167">
        <v>86</v>
      </c>
      <c r="F167" t="str">
        <f>_xlfn.XLOOKUP(C167, '75'!$C$2:$C$1142, '75'!$F$2:$F$1142)</f>
        <v>ok</v>
      </c>
    </row>
    <row r="168" spans="1:6" x14ac:dyDescent="0.45">
      <c r="A168" t="s">
        <v>497</v>
      </c>
      <c r="B168" t="s">
        <v>498</v>
      </c>
      <c r="C168">
        <v>58100818300</v>
      </c>
      <c r="D168">
        <v>44461638200</v>
      </c>
      <c r="E168">
        <v>97</v>
      </c>
      <c r="F168" t="str">
        <f>_xlfn.XLOOKUP(C168, '75'!$C$2:$C$1142, '75'!$F$2:$F$1142)</f>
        <v>ok</v>
      </c>
    </row>
    <row r="169" spans="1:6" x14ac:dyDescent="0.45">
      <c r="A169" t="s">
        <v>501</v>
      </c>
      <c r="B169" t="s">
        <v>503</v>
      </c>
      <c r="C169">
        <v>55540777300</v>
      </c>
      <c r="D169">
        <v>58669083900</v>
      </c>
      <c r="E169">
        <v>90</v>
      </c>
      <c r="F169" t="str">
        <f>_xlfn.XLOOKUP(C169, '75'!$C$2:$C$1142, '75'!$F$2:$F$1142)</f>
        <v>no</v>
      </c>
    </row>
    <row r="170" spans="1:6" x14ac:dyDescent="0.45">
      <c r="A170" t="s">
        <v>504</v>
      </c>
      <c r="B170" t="s">
        <v>506</v>
      </c>
      <c r="C170">
        <v>57208500706</v>
      </c>
      <c r="D170">
        <v>57419438300</v>
      </c>
      <c r="E170">
        <v>93</v>
      </c>
      <c r="F170" t="str">
        <f>_xlfn.XLOOKUP(C170, '75'!$C$2:$C$1142, '75'!$F$2:$F$1142)</f>
        <v>no</v>
      </c>
    </row>
    <row r="171" spans="1:6" x14ac:dyDescent="0.45">
      <c r="A171" t="s">
        <v>504</v>
      </c>
      <c r="B171" t="s">
        <v>507</v>
      </c>
      <c r="C171">
        <v>57208500706</v>
      </c>
      <c r="D171">
        <v>58930944200</v>
      </c>
      <c r="E171">
        <v>94</v>
      </c>
      <c r="F171" t="str">
        <f>_xlfn.XLOOKUP(C171, '75'!$C$2:$C$1142, '75'!$F$2:$F$1142)</f>
        <v>no</v>
      </c>
    </row>
    <row r="172" spans="1:6" x14ac:dyDescent="0.45">
      <c r="A172" t="s">
        <v>504</v>
      </c>
      <c r="B172" t="s">
        <v>509</v>
      </c>
      <c r="C172">
        <v>57208500706</v>
      </c>
      <c r="D172">
        <v>59152165700</v>
      </c>
      <c r="E172">
        <v>80</v>
      </c>
      <c r="F172" t="str">
        <f>_xlfn.XLOOKUP(C172, '75'!$C$2:$C$1142, '75'!$F$2:$F$1142)</f>
        <v>no</v>
      </c>
    </row>
    <row r="173" spans="1:6" x14ac:dyDescent="0.45">
      <c r="A173" t="s">
        <v>512</v>
      </c>
      <c r="B173" t="s">
        <v>513</v>
      </c>
      <c r="C173">
        <v>55477263200</v>
      </c>
      <c r="D173">
        <v>59661104900</v>
      </c>
      <c r="E173">
        <v>93</v>
      </c>
      <c r="F173" t="str">
        <f>_xlfn.XLOOKUP(C173, '75'!$C$2:$C$1142, '75'!$F$2:$F$1142)</f>
        <v>ok</v>
      </c>
    </row>
    <row r="174" spans="1:6" x14ac:dyDescent="0.45">
      <c r="A174" t="s">
        <v>518</v>
      </c>
      <c r="B174" t="s">
        <v>519</v>
      </c>
      <c r="C174">
        <v>55798658400</v>
      </c>
      <c r="D174">
        <v>56413233700</v>
      </c>
      <c r="E174">
        <v>80</v>
      </c>
      <c r="F174" t="str">
        <f>_xlfn.XLOOKUP(C174, '75'!$C$2:$C$1142, '75'!$F$2:$F$1142)</f>
        <v>no</v>
      </c>
    </row>
    <row r="175" spans="1:6" x14ac:dyDescent="0.45">
      <c r="A175" t="s">
        <v>520</v>
      </c>
      <c r="B175" t="s">
        <v>521</v>
      </c>
      <c r="C175">
        <v>56531436200</v>
      </c>
      <c r="D175">
        <v>57711932900</v>
      </c>
      <c r="E175">
        <v>80</v>
      </c>
      <c r="F175" t="str">
        <f>_xlfn.XLOOKUP(C175, '75'!$C$2:$C$1142, '75'!$F$2:$F$1142)</f>
        <v>no</v>
      </c>
    </row>
    <row r="176" spans="1:6" x14ac:dyDescent="0.45">
      <c r="A176" t="s">
        <v>502</v>
      </c>
      <c r="B176" t="s">
        <v>503</v>
      </c>
      <c r="C176">
        <v>57207257893</v>
      </c>
      <c r="D176">
        <v>58669083900</v>
      </c>
      <c r="E176">
        <v>86</v>
      </c>
      <c r="F176" t="str">
        <f>_xlfn.XLOOKUP(C176, '75'!$C$2:$C$1142, '75'!$F$2:$F$1142)</f>
        <v>no</v>
      </c>
    </row>
    <row r="177" spans="1:6" x14ac:dyDescent="0.45">
      <c r="A177" t="s">
        <v>525</v>
      </c>
      <c r="B177" t="s">
        <v>526</v>
      </c>
      <c r="C177">
        <v>55574212275</v>
      </c>
      <c r="D177">
        <v>59357212900</v>
      </c>
      <c r="E177">
        <v>81</v>
      </c>
      <c r="F177" t="str">
        <f>_xlfn.XLOOKUP(C177, '75'!$C$2:$C$1142, '75'!$F$2:$F$1142)</f>
        <v>no</v>
      </c>
    </row>
    <row r="178" spans="1:6" x14ac:dyDescent="0.45">
      <c r="A178" t="s">
        <v>525</v>
      </c>
      <c r="B178" t="s">
        <v>527</v>
      </c>
      <c r="C178">
        <v>55574212275</v>
      </c>
      <c r="D178">
        <v>57207946091</v>
      </c>
      <c r="E178">
        <v>83</v>
      </c>
      <c r="F178" t="str">
        <f>_xlfn.XLOOKUP(C178, '75'!$C$2:$C$1142, '75'!$F$2:$F$1142)</f>
        <v>no</v>
      </c>
    </row>
    <row r="179" spans="1:6" x14ac:dyDescent="0.45">
      <c r="A179" t="s">
        <v>528</v>
      </c>
      <c r="B179" t="s">
        <v>529</v>
      </c>
      <c r="C179">
        <v>7004445683</v>
      </c>
      <c r="D179">
        <v>57226790697</v>
      </c>
      <c r="E179">
        <v>80</v>
      </c>
      <c r="F179" t="str">
        <f>_xlfn.XLOOKUP(C179, '75'!$C$2:$C$1142, '75'!$F$2:$F$1142)</f>
        <v>no</v>
      </c>
    </row>
    <row r="180" spans="1:6" x14ac:dyDescent="0.45">
      <c r="A180" t="s">
        <v>532</v>
      </c>
      <c r="B180" t="s">
        <v>533</v>
      </c>
      <c r="C180">
        <v>55904182200</v>
      </c>
      <c r="D180">
        <v>59516564600</v>
      </c>
      <c r="E180">
        <v>94</v>
      </c>
      <c r="F180" t="str">
        <f>_xlfn.XLOOKUP(C180, '75'!$C$2:$C$1142, '75'!$F$2:$F$1142)</f>
        <v>ok</v>
      </c>
    </row>
    <row r="181" spans="1:6" x14ac:dyDescent="0.45">
      <c r="A181" t="s">
        <v>534</v>
      </c>
      <c r="B181" t="s">
        <v>535</v>
      </c>
      <c r="C181">
        <v>57215578322</v>
      </c>
      <c r="D181">
        <v>7501443732</v>
      </c>
      <c r="E181">
        <v>80</v>
      </c>
      <c r="F181" t="str">
        <f>_xlfn.XLOOKUP(C181, '75'!$C$2:$C$1142, '75'!$F$2:$F$1142)</f>
        <v>no</v>
      </c>
    </row>
    <row r="182" spans="1:6" x14ac:dyDescent="0.45">
      <c r="A182" t="s">
        <v>491</v>
      </c>
      <c r="B182" t="s">
        <v>537</v>
      </c>
      <c r="C182">
        <v>57210262931</v>
      </c>
      <c r="D182">
        <v>57205694562</v>
      </c>
      <c r="E182">
        <v>84</v>
      </c>
      <c r="F182" t="str">
        <f>_xlfn.XLOOKUP(C182, '75'!$C$2:$C$1142, '75'!$F$2:$F$1142)</f>
        <v>no</v>
      </c>
    </row>
    <row r="183" spans="1:6" x14ac:dyDescent="0.45">
      <c r="A183" t="s">
        <v>491</v>
      </c>
      <c r="B183" t="s">
        <v>493</v>
      </c>
      <c r="C183">
        <v>57210262931</v>
      </c>
      <c r="D183">
        <v>59487044600</v>
      </c>
      <c r="E183">
        <v>80</v>
      </c>
      <c r="F183" t="str">
        <f>_xlfn.XLOOKUP(C183, '75'!$C$2:$C$1142, '75'!$F$2:$F$1142)</f>
        <v>no</v>
      </c>
    </row>
    <row r="184" spans="1:6" x14ac:dyDescent="0.45">
      <c r="A184" t="s">
        <v>519</v>
      </c>
      <c r="B184" t="s">
        <v>538</v>
      </c>
      <c r="C184">
        <v>56413233700</v>
      </c>
      <c r="D184">
        <v>57216939987</v>
      </c>
      <c r="E184">
        <v>80</v>
      </c>
      <c r="F184" t="str">
        <f>_xlfn.XLOOKUP(C184, '75'!$C$2:$C$1142, '75'!$F$2:$F$1142)</f>
        <v>no</v>
      </c>
    </row>
    <row r="185" spans="1:6" x14ac:dyDescent="0.45">
      <c r="A185" t="s">
        <v>505</v>
      </c>
      <c r="B185" t="s">
        <v>506</v>
      </c>
      <c r="C185">
        <v>57191371558</v>
      </c>
      <c r="D185">
        <v>57419438300</v>
      </c>
      <c r="E185">
        <v>80</v>
      </c>
      <c r="F185" t="str">
        <f>_xlfn.XLOOKUP(C185, '75'!$C$2:$C$1142, '75'!$F$2:$F$1142)</f>
        <v>no</v>
      </c>
    </row>
    <row r="186" spans="1:6" x14ac:dyDescent="0.45">
      <c r="A186" t="s">
        <v>505</v>
      </c>
      <c r="B186" t="s">
        <v>543</v>
      </c>
      <c r="C186">
        <v>57191371558</v>
      </c>
      <c r="D186">
        <v>57212311896</v>
      </c>
      <c r="E186">
        <v>89</v>
      </c>
      <c r="F186" t="str">
        <f>_xlfn.XLOOKUP(C186, '75'!$C$2:$C$1142, '75'!$F$2:$F$1142)</f>
        <v>no</v>
      </c>
    </row>
    <row r="187" spans="1:6" x14ac:dyDescent="0.45">
      <c r="A187" t="s">
        <v>505</v>
      </c>
      <c r="B187" t="s">
        <v>508</v>
      </c>
      <c r="C187">
        <v>57191371558</v>
      </c>
      <c r="D187">
        <v>57192301448</v>
      </c>
      <c r="E187">
        <v>88</v>
      </c>
      <c r="F187" t="str">
        <f>_xlfn.XLOOKUP(C187, '75'!$C$2:$C$1142, '75'!$F$2:$F$1142)</f>
        <v>no</v>
      </c>
    </row>
    <row r="188" spans="1:6" x14ac:dyDescent="0.45">
      <c r="A188" t="s">
        <v>555</v>
      </c>
      <c r="B188" t="s">
        <v>556</v>
      </c>
      <c r="C188">
        <v>56555456900</v>
      </c>
      <c r="D188">
        <v>57209238379</v>
      </c>
      <c r="E188">
        <v>80</v>
      </c>
      <c r="F188" t="str">
        <f>_xlfn.XLOOKUP(C188, '75'!$C$2:$C$1142, '75'!$F$2:$F$1142)</f>
        <v>no</v>
      </c>
    </row>
    <row r="189" spans="1:6" x14ac:dyDescent="0.45">
      <c r="A189" t="s">
        <v>541</v>
      </c>
      <c r="B189" t="s">
        <v>559</v>
      </c>
      <c r="C189">
        <v>57189987947</v>
      </c>
      <c r="D189">
        <v>57218939828</v>
      </c>
      <c r="E189">
        <v>86</v>
      </c>
      <c r="F189" t="str">
        <f>_xlfn.XLOOKUP(C189, '75'!$C$2:$C$1142, '75'!$F$2:$F$1142)</f>
        <v>no</v>
      </c>
    </row>
    <row r="190" spans="1:6" x14ac:dyDescent="0.45">
      <c r="A190" t="s">
        <v>541</v>
      </c>
      <c r="B190" t="s">
        <v>554</v>
      </c>
      <c r="C190">
        <v>57189987947</v>
      </c>
      <c r="D190">
        <v>58744569600</v>
      </c>
      <c r="E190">
        <v>80</v>
      </c>
      <c r="F190" t="str">
        <f>_xlfn.XLOOKUP(C190, '75'!$C$2:$C$1142, '75'!$F$2:$F$1142)</f>
        <v>no</v>
      </c>
    </row>
    <row r="191" spans="1:6" x14ac:dyDescent="0.45">
      <c r="A191" t="s">
        <v>560</v>
      </c>
      <c r="B191" t="s">
        <v>561</v>
      </c>
      <c r="C191">
        <v>57217039511</v>
      </c>
      <c r="D191">
        <v>57364393000</v>
      </c>
      <c r="E191">
        <v>86</v>
      </c>
      <c r="F191" t="str">
        <f>_xlfn.XLOOKUP(C191, '75'!$C$2:$C$1142, '75'!$F$2:$F$1142)</f>
        <v>no</v>
      </c>
    </row>
    <row r="192" spans="1:6" x14ac:dyDescent="0.45">
      <c r="A192" t="s">
        <v>563</v>
      </c>
      <c r="B192" t="s">
        <v>564</v>
      </c>
      <c r="C192">
        <v>59785163100</v>
      </c>
      <c r="D192">
        <v>56306779600</v>
      </c>
      <c r="E192">
        <v>84</v>
      </c>
      <c r="F192" t="str">
        <f>_xlfn.XLOOKUP(C192, '75'!$C$2:$C$1142, '75'!$F$2:$F$1142)</f>
        <v>no</v>
      </c>
    </row>
    <row r="193" spans="1:6" x14ac:dyDescent="0.45">
      <c r="A193" t="s">
        <v>568</v>
      </c>
      <c r="B193" t="s">
        <v>569</v>
      </c>
      <c r="C193">
        <v>57831947600</v>
      </c>
      <c r="D193">
        <v>59114291700</v>
      </c>
      <c r="E193">
        <v>84</v>
      </c>
      <c r="F193" t="str">
        <f>_xlfn.XLOOKUP(C193, '75'!$C$2:$C$1142, '75'!$F$2:$F$1142)</f>
        <v>ok</v>
      </c>
    </row>
    <row r="194" spans="1:6" x14ac:dyDescent="0.45">
      <c r="A194" t="s">
        <v>570</v>
      </c>
      <c r="B194" t="s">
        <v>571</v>
      </c>
      <c r="C194">
        <v>56803251500</v>
      </c>
      <c r="D194">
        <v>58292542600</v>
      </c>
      <c r="E194">
        <v>82</v>
      </c>
      <c r="F194" t="str">
        <f>_xlfn.XLOOKUP(C194, '75'!$C$2:$C$1142, '75'!$F$2:$F$1142)</f>
        <v>no</v>
      </c>
    </row>
    <row r="195" spans="1:6" x14ac:dyDescent="0.45">
      <c r="A195" t="s">
        <v>492</v>
      </c>
      <c r="B195" t="s">
        <v>496</v>
      </c>
      <c r="C195">
        <v>59061428700</v>
      </c>
      <c r="D195">
        <v>59732151800</v>
      </c>
      <c r="E195">
        <v>90</v>
      </c>
      <c r="F195" t="str">
        <f>_xlfn.XLOOKUP(C195, '75'!$C$2:$C$1142, '75'!$F$2:$F$1142)</f>
        <v>no</v>
      </c>
    </row>
    <row r="196" spans="1:6" x14ac:dyDescent="0.45">
      <c r="A196" t="s">
        <v>572</v>
      </c>
      <c r="B196" t="s">
        <v>573</v>
      </c>
      <c r="C196">
        <v>57520479400</v>
      </c>
      <c r="D196">
        <v>57980252100</v>
      </c>
      <c r="E196">
        <v>80</v>
      </c>
      <c r="F196" t="str">
        <f>_xlfn.XLOOKUP(C196, '75'!$C$2:$C$1142, '75'!$F$2:$F$1142)</f>
        <v>no</v>
      </c>
    </row>
    <row r="197" spans="1:6" x14ac:dyDescent="0.45">
      <c r="A197" t="s">
        <v>557</v>
      </c>
      <c r="B197" t="s">
        <v>531</v>
      </c>
      <c r="C197">
        <v>58555571700</v>
      </c>
      <c r="D197">
        <v>58436524800</v>
      </c>
      <c r="E197">
        <v>82</v>
      </c>
      <c r="F197" t="str">
        <f>_xlfn.XLOOKUP(C197, '75'!$C$2:$C$1142, '75'!$F$2:$F$1142)</f>
        <v>no</v>
      </c>
    </row>
    <row r="198" spans="1:6" x14ac:dyDescent="0.45">
      <c r="A198" t="s">
        <v>557</v>
      </c>
      <c r="B198" t="s">
        <v>575</v>
      </c>
      <c r="C198">
        <v>58555571700</v>
      </c>
      <c r="D198">
        <v>57204916659</v>
      </c>
      <c r="E198">
        <v>82</v>
      </c>
      <c r="F198" t="str">
        <f>_xlfn.XLOOKUP(C198, '75'!$C$2:$C$1142, '75'!$F$2:$F$1142)</f>
        <v>no</v>
      </c>
    </row>
    <row r="199" spans="1:6" x14ac:dyDescent="0.45">
      <c r="A199" t="s">
        <v>557</v>
      </c>
      <c r="B199" t="s">
        <v>538</v>
      </c>
      <c r="C199">
        <v>58555571700</v>
      </c>
      <c r="D199">
        <v>57216939987</v>
      </c>
      <c r="E199">
        <v>82</v>
      </c>
      <c r="F199" t="str">
        <f>_xlfn.XLOOKUP(C199, '75'!$C$2:$C$1142, '75'!$F$2:$F$1142)</f>
        <v>no</v>
      </c>
    </row>
    <row r="200" spans="1:6" x14ac:dyDescent="0.45">
      <c r="A200" t="s">
        <v>564</v>
      </c>
      <c r="B200" t="s">
        <v>580</v>
      </c>
      <c r="C200">
        <v>56306779600</v>
      </c>
      <c r="D200">
        <v>57225920605</v>
      </c>
      <c r="E200">
        <v>84</v>
      </c>
      <c r="F200" t="str">
        <f>_xlfn.XLOOKUP(C200, '75'!$C$2:$C$1142, '75'!$F$2:$F$1142)</f>
        <v>no</v>
      </c>
    </row>
    <row r="201" spans="1:6" x14ac:dyDescent="0.45">
      <c r="A201" t="s">
        <v>581</v>
      </c>
      <c r="B201" t="s">
        <v>583</v>
      </c>
      <c r="C201">
        <v>57211756552</v>
      </c>
      <c r="D201">
        <v>57323476000</v>
      </c>
      <c r="E201">
        <v>88</v>
      </c>
      <c r="F201" t="str">
        <f>_xlfn.XLOOKUP(C201, '75'!$C$2:$C$1142, '75'!$F$2:$F$1142)</f>
        <v>no</v>
      </c>
    </row>
    <row r="202" spans="1:6" x14ac:dyDescent="0.45">
      <c r="A202" t="s">
        <v>506</v>
      </c>
      <c r="B202" t="s">
        <v>507</v>
      </c>
      <c r="C202">
        <v>57419438300</v>
      </c>
      <c r="D202">
        <v>58930944200</v>
      </c>
      <c r="E202">
        <v>88</v>
      </c>
      <c r="F202" t="str">
        <f>_xlfn.XLOOKUP(C202, '75'!$C$2:$C$1142, '75'!$F$2:$F$1142)</f>
        <v>no</v>
      </c>
    </row>
    <row r="203" spans="1:6" x14ac:dyDescent="0.45">
      <c r="A203" t="s">
        <v>506</v>
      </c>
      <c r="B203" t="s">
        <v>508</v>
      </c>
      <c r="C203">
        <v>57419438300</v>
      </c>
      <c r="D203">
        <v>57192301448</v>
      </c>
      <c r="E203">
        <v>80</v>
      </c>
      <c r="F203" t="str">
        <f>_xlfn.XLOOKUP(C203, '75'!$C$2:$C$1142, '75'!$F$2:$F$1142)</f>
        <v>no</v>
      </c>
    </row>
    <row r="204" spans="1:6" x14ac:dyDescent="0.45">
      <c r="A204" t="s">
        <v>584</v>
      </c>
      <c r="B204" t="s">
        <v>531</v>
      </c>
      <c r="C204">
        <v>57218566585</v>
      </c>
      <c r="D204">
        <v>58436524800</v>
      </c>
      <c r="E204">
        <v>88</v>
      </c>
      <c r="F204" t="str">
        <f>_xlfn.XLOOKUP(C204, '75'!$C$2:$C$1142, '75'!$F$2:$F$1142)</f>
        <v>no</v>
      </c>
    </row>
    <row r="205" spans="1:6" x14ac:dyDescent="0.45">
      <c r="A205" t="s">
        <v>591</v>
      </c>
      <c r="B205" t="s">
        <v>592</v>
      </c>
      <c r="C205">
        <v>57205388984</v>
      </c>
      <c r="D205">
        <v>59127174700</v>
      </c>
      <c r="E205">
        <v>80</v>
      </c>
      <c r="F205" t="str">
        <f>_xlfn.XLOOKUP(C205, '75'!$C$2:$C$1142, '75'!$F$2:$F$1142)</f>
        <v>no</v>
      </c>
    </row>
    <row r="206" spans="1:6" x14ac:dyDescent="0.45">
      <c r="A206" t="s">
        <v>579</v>
      </c>
      <c r="B206" t="s">
        <v>580</v>
      </c>
      <c r="C206">
        <v>57204556952</v>
      </c>
      <c r="D206">
        <v>57225920605</v>
      </c>
      <c r="E206">
        <v>80</v>
      </c>
      <c r="F206" t="str">
        <f>_xlfn.XLOOKUP(C206, '75'!$C$2:$C$1142, '75'!$F$2:$F$1142)</f>
        <v>no</v>
      </c>
    </row>
    <row r="207" spans="1:6" x14ac:dyDescent="0.45">
      <c r="A207" t="s">
        <v>596</v>
      </c>
      <c r="B207" t="s">
        <v>517</v>
      </c>
      <c r="C207">
        <v>57203855079</v>
      </c>
      <c r="D207">
        <v>59710754100</v>
      </c>
      <c r="E207">
        <v>82</v>
      </c>
      <c r="F207" t="str">
        <f>_xlfn.XLOOKUP(C207, '75'!$C$2:$C$1142, '75'!$F$2:$F$1142)</f>
        <v>no</v>
      </c>
    </row>
    <row r="208" spans="1:6" x14ac:dyDescent="0.45">
      <c r="A208" t="s">
        <v>600</v>
      </c>
      <c r="B208" t="s">
        <v>554</v>
      </c>
      <c r="C208">
        <v>55981047600</v>
      </c>
      <c r="D208">
        <v>58744569600</v>
      </c>
      <c r="E208">
        <v>80</v>
      </c>
      <c r="F208" t="str">
        <f>_xlfn.XLOOKUP(C208, '75'!$C$2:$C$1142, '75'!$F$2:$F$1142)</f>
        <v>no</v>
      </c>
    </row>
    <row r="209" spans="1:6" x14ac:dyDescent="0.45">
      <c r="A209" t="s">
        <v>602</v>
      </c>
      <c r="B209" t="s">
        <v>603</v>
      </c>
      <c r="C209">
        <v>6603359570</v>
      </c>
      <c r="D209">
        <v>56529642000</v>
      </c>
      <c r="E209">
        <v>90</v>
      </c>
      <c r="F209" t="str">
        <f>_xlfn.XLOOKUP(C209, '75'!$C$2:$C$1142, '75'!$F$2:$F$1142)</f>
        <v>ok</v>
      </c>
    </row>
    <row r="210" spans="1:6" x14ac:dyDescent="0.45">
      <c r="A210" t="s">
        <v>604</v>
      </c>
      <c r="B210" t="s">
        <v>605</v>
      </c>
      <c r="C210">
        <v>57218533490</v>
      </c>
      <c r="D210">
        <v>59774208600</v>
      </c>
      <c r="E210">
        <v>83</v>
      </c>
      <c r="F210" t="str">
        <f>_xlfn.XLOOKUP(C210, '75'!$C$2:$C$1142, '75'!$F$2:$F$1142)</f>
        <v>no</v>
      </c>
    </row>
    <row r="211" spans="1:6" x14ac:dyDescent="0.45">
      <c r="A211" t="s">
        <v>606</v>
      </c>
      <c r="B211" t="s">
        <v>607</v>
      </c>
      <c r="C211">
        <v>58481182500</v>
      </c>
      <c r="D211">
        <v>57856271800</v>
      </c>
      <c r="E211">
        <v>82</v>
      </c>
      <c r="F211" t="str">
        <f>_xlfn.XLOOKUP(C211, '75'!$C$2:$C$1142, '75'!$F$2:$F$1142)</f>
        <v>no</v>
      </c>
    </row>
    <row r="212" spans="1:6" x14ac:dyDescent="0.45">
      <c r="A212" t="s">
        <v>546</v>
      </c>
      <c r="B212" t="s">
        <v>608</v>
      </c>
      <c r="C212">
        <v>58374461300</v>
      </c>
      <c r="D212">
        <v>57212311772</v>
      </c>
      <c r="E212">
        <v>80</v>
      </c>
      <c r="F212" t="str">
        <f>_xlfn.XLOOKUP(C212, '75'!$C$2:$C$1142, '75'!$F$2:$F$1142)</f>
        <v>no</v>
      </c>
    </row>
    <row r="213" spans="1:6" x14ac:dyDescent="0.45">
      <c r="A213" t="s">
        <v>609</v>
      </c>
      <c r="B213" t="s">
        <v>610</v>
      </c>
      <c r="C213">
        <v>55924372600</v>
      </c>
      <c r="D213">
        <v>58546087400</v>
      </c>
      <c r="E213">
        <v>82</v>
      </c>
      <c r="F213" t="str">
        <f>_xlfn.XLOOKUP(C213, '75'!$C$2:$C$1142, '75'!$F$2:$F$1142)</f>
        <v>no</v>
      </c>
    </row>
    <row r="214" spans="1:6" x14ac:dyDescent="0.45">
      <c r="A214" t="s">
        <v>616</v>
      </c>
      <c r="B214" t="s">
        <v>531</v>
      </c>
      <c r="C214">
        <v>57203169041</v>
      </c>
      <c r="D214">
        <v>58436524800</v>
      </c>
      <c r="E214">
        <v>80</v>
      </c>
      <c r="F214" t="str">
        <f>_xlfn.XLOOKUP(C214, '75'!$C$2:$C$1142, '75'!$F$2:$F$1142)</f>
        <v>no</v>
      </c>
    </row>
    <row r="215" spans="1:6" x14ac:dyDescent="0.45">
      <c r="A215" t="s">
        <v>595</v>
      </c>
      <c r="B215" t="s">
        <v>620</v>
      </c>
      <c r="C215">
        <v>57193577134</v>
      </c>
      <c r="D215">
        <v>58318064600</v>
      </c>
      <c r="E215">
        <v>82</v>
      </c>
      <c r="F215" t="str">
        <f>_xlfn.XLOOKUP(C215, '75'!$C$2:$C$1142, '75'!$F$2:$F$1142)</f>
        <v>no</v>
      </c>
    </row>
    <row r="216" spans="1:6" x14ac:dyDescent="0.45">
      <c r="A216" t="s">
        <v>573</v>
      </c>
      <c r="B216" t="s">
        <v>574</v>
      </c>
      <c r="C216">
        <v>57980252100</v>
      </c>
      <c r="D216">
        <v>57216867749</v>
      </c>
      <c r="E216">
        <v>86</v>
      </c>
      <c r="F216" t="str">
        <f>_xlfn.XLOOKUP(C216, '75'!$C$2:$C$1142, '75'!$F$2:$F$1142)</f>
        <v>no</v>
      </c>
    </row>
    <row r="217" spans="1:6" x14ac:dyDescent="0.45">
      <c r="A217" t="s">
        <v>573</v>
      </c>
      <c r="B217" t="s">
        <v>569</v>
      </c>
      <c r="C217">
        <v>57980252100</v>
      </c>
      <c r="D217">
        <v>59114291700</v>
      </c>
      <c r="E217">
        <v>80</v>
      </c>
      <c r="F217" t="str">
        <f>_xlfn.XLOOKUP(C217, '75'!$C$2:$C$1142, '75'!$F$2:$F$1142)</f>
        <v>no</v>
      </c>
    </row>
    <row r="218" spans="1:6" x14ac:dyDescent="0.45">
      <c r="A218" t="s">
        <v>621</v>
      </c>
      <c r="B218" t="s">
        <v>529</v>
      </c>
      <c r="C218">
        <v>57888134600</v>
      </c>
      <c r="D218">
        <v>57226790697</v>
      </c>
      <c r="E218">
        <v>82</v>
      </c>
      <c r="F218" t="str">
        <f>_xlfn.XLOOKUP(C218, '75'!$C$2:$C$1142, '75'!$F$2:$F$1142)</f>
        <v>no</v>
      </c>
    </row>
    <row r="219" spans="1:6" x14ac:dyDescent="0.45">
      <c r="A219" t="s">
        <v>623</v>
      </c>
      <c r="B219" t="s">
        <v>624</v>
      </c>
      <c r="C219">
        <v>57197841332</v>
      </c>
      <c r="D219">
        <v>58701988800</v>
      </c>
      <c r="E219">
        <v>86</v>
      </c>
      <c r="F219" t="str">
        <f>_xlfn.XLOOKUP(C219, '75'!$C$2:$C$1142, '75'!$F$2:$F$1142)</f>
        <v>no</v>
      </c>
    </row>
    <row r="220" spans="1:6" x14ac:dyDescent="0.45">
      <c r="A220" t="s">
        <v>590</v>
      </c>
      <c r="B220" t="s">
        <v>625</v>
      </c>
      <c r="C220">
        <v>57224091825</v>
      </c>
      <c r="D220">
        <v>59390171200</v>
      </c>
      <c r="E220">
        <v>82</v>
      </c>
      <c r="F220" t="str">
        <f>_xlfn.XLOOKUP(C220, '75'!$C$2:$C$1142, '75'!$F$2:$F$1142)</f>
        <v>no</v>
      </c>
    </row>
    <row r="221" spans="1:6" x14ac:dyDescent="0.45">
      <c r="A221" t="s">
        <v>627</v>
      </c>
      <c r="B221" t="s">
        <v>598</v>
      </c>
      <c r="C221">
        <v>57213395060</v>
      </c>
      <c r="D221">
        <v>57219825843</v>
      </c>
      <c r="E221">
        <v>89</v>
      </c>
      <c r="F221" t="str">
        <f>_xlfn.XLOOKUP(C221, '75'!$C$2:$C$1142, '75'!$F$2:$F$1142)</f>
        <v>no</v>
      </c>
    </row>
    <row r="222" spans="1:6" x14ac:dyDescent="0.45">
      <c r="A222" t="s">
        <v>585</v>
      </c>
      <c r="B222" t="s">
        <v>531</v>
      </c>
      <c r="C222">
        <v>57226157890</v>
      </c>
      <c r="D222">
        <v>58436524800</v>
      </c>
      <c r="E222">
        <v>88</v>
      </c>
      <c r="F222" t="str">
        <f>_xlfn.XLOOKUP(C222, '75'!$C$2:$C$1142, '75'!$F$2:$F$1142)</f>
        <v>no</v>
      </c>
    </row>
    <row r="223" spans="1:6" x14ac:dyDescent="0.45">
      <c r="A223" t="s">
        <v>632</v>
      </c>
      <c r="B223" t="s">
        <v>527</v>
      </c>
      <c r="C223">
        <v>57221698253</v>
      </c>
      <c r="D223">
        <v>57207946091</v>
      </c>
      <c r="E223">
        <v>86</v>
      </c>
      <c r="F223" t="str">
        <f>_xlfn.XLOOKUP(C223, '75'!$C$2:$C$1142, '75'!$F$2:$F$1142)</f>
        <v>no</v>
      </c>
    </row>
    <row r="224" spans="1:6" x14ac:dyDescent="0.45">
      <c r="A224" t="s">
        <v>508</v>
      </c>
      <c r="B224" t="s">
        <v>561</v>
      </c>
      <c r="C224">
        <v>57192301448</v>
      </c>
      <c r="D224">
        <v>57364393000</v>
      </c>
      <c r="E224">
        <v>80</v>
      </c>
      <c r="F224" t="str">
        <f>_xlfn.XLOOKUP(C224, '75'!$C$2:$C$1142, '75'!$F$2:$F$1142)</f>
        <v>no</v>
      </c>
    </row>
    <row r="225" spans="1:6" x14ac:dyDescent="0.45">
      <c r="A225" t="s">
        <v>531</v>
      </c>
      <c r="B225" t="s">
        <v>538</v>
      </c>
      <c r="C225">
        <v>58436524800</v>
      </c>
      <c r="D225">
        <v>57216939987</v>
      </c>
      <c r="E225">
        <v>86</v>
      </c>
      <c r="F225" t="str">
        <f>_xlfn.XLOOKUP(C225, '75'!$C$2:$C$1142, '75'!$F$2:$F$1142)</f>
        <v>no</v>
      </c>
    </row>
    <row r="226" spans="1:6" x14ac:dyDescent="0.45">
      <c r="A226" t="s">
        <v>561</v>
      </c>
      <c r="B226" t="s">
        <v>634</v>
      </c>
      <c r="C226">
        <v>57364393000</v>
      </c>
      <c r="D226">
        <v>57199453570</v>
      </c>
      <c r="E226">
        <v>83</v>
      </c>
      <c r="F226" t="str">
        <f>_xlfn.XLOOKUP(C226, '75'!$C$2:$C$1142, '75'!$F$2:$F$1142)</f>
        <v>no</v>
      </c>
    </row>
    <row r="227" spans="1:6" x14ac:dyDescent="0.45">
      <c r="A227" t="s">
        <v>526</v>
      </c>
      <c r="B227" t="s">
        <v>527</v>
      </c>
      <c r="C227">
        <v>59357212900</v>
      </c>
      <c r="D227">
        <v>57207946091</v>
      </c>
      <c r="E227">
        <v>88</v>
      </c>
      <c r="F227" t="str">
        <f>_xlfn.XLOOKUP(C227, '75'!$C$2:$C$1142, '75'!$F$2:$F$1142)</f>
        <v>no</v>
      </c>
    </row>
    <row r="228" spans="1:6" x14ac:dyDescent="0.45">
      <c r="A228" t="s">
        <v>635</v>
      </c>
      <c r="B228" t="s">
        <v>636</v>
      </c>
      <c r="C228">
        <v>55992234300</v>
      </c>
      <c r="D228">
        <v>59203928900</v>
      </c>
      <c r="E228">
        <v>89</v>
      </c>
      <c r="F228" t="str">
        <f>_xlfn.XLOOKUP(C228, '75'!$C$2:$C$1142, '75'!$F$2:$F$1142)</f>
        <v>ok</v>
      </c>
    </row>
    <row r="229" spans="1:6" x14ac:dyDescent="0.45">
      <c r="A229" t="s">
        <v>639</v>
      </c>
      <c r="B229" t="s">
        <v>640</v>
      </c>
      <c r="C229">
        <v>7404470908</v>
      </c>
      <c r="D229">
        <v>7404470812</v>
      </c>
      <c r="E229">
        <v>80</v>
      </c>
      <c r="F229" t="str">
        <f>_xlfn.XLOOKUP(C229, '75'!$C$2:$C$1142, '75'!$F$2:$F$1142)</f>
        <v>no</v>
      </c>
    </row>
    <row r="230" spans="1:6" x14ac:dyDescent="0.45">
      <c r="A230" t="s">
        <v>641</v>
      </c>
      <c r="B230" t="s">
        <v>642</v>
      </c>
      <c r="C230">
        <v>15750967800</v>
      </c>
      <c r="D230">
        <v>56659815100</v>
      </c>
      <c r="E230">
        <v>97</v>
      </c>
      <c r="F230" t="str">
        <f>_xlfn.XLOOKUP(C230, '75'!$C$2:$C$1142, '75'!$F$2:$F$1142)</f>
        <v>ok</v>
      </c>
    </row>
    <row r="231" spans="1:6" x14ac:dyDescent="0.45">
      <c r="A231" t="s">
        <v>643</v>
      </c>
      <c r="B231" t="s">
        <v>644</v>
      </c>
      <c r="C231">
        <v>57195053174</v>
      </c>
      <c r="D231">
        <v>59476001700</v>
      </c>
      <c r="E231">
        <v>80</v>
      </c>
      <c r="F231" t="str">
        <f>_xlfn.XLOOKUP(C231, '75'!$C$2:$C$1142, '75'!$F$2:$F$1142)</f>
        <v>no</v>
      </c>
    </row>
    <row r="232" spans="1:6" x14ac:dyDescent="0.45">
      <c r="A232" t="s">
        <v>645</v>
      </c>
      <c r="B232" t="s">
        <v>646</v>
      </c>
      <c r="C232">
        <v>23989040200</v>
      </c>
      <c r="D232">
        <v>6701750605</v>
      </c>
      <c r="E232">
        <v>81</v>
      </c>
      <c r="F232" t="str">
        <f>_xlfn.XLOOKUP(C232, '75'!$C$2:$C$1142, '75'!$F$2:$F$1142)</f>
        <v>no</v>
      </c>
    </row>
    <row r="233" spans="1:6" x14ac:dyDescent="0.45">
      <c r="A233" t="s">
        <v>649</v>
      </c>
      <c r="B233" t="s">
        <v>650</v>
      </c>
      <c r="C233">
        <v>57201983231</v>
      </c>
      <c r="D233">
        <v>59336031200</v>
      </c>
      <c r="E233">
        <v>81</v>
      </c>
      <c r="F233" t="str">
        <f>_xlfn.XLOOKUP(C233, '75'!$C$2:$C$1142, '75'!$F$2:$F$1142)</f>
        <v>ok</v>
      </c>
    </row>
    <row r="234" spans="1:6" x14ac:dyDescent="0.45">
      <c r="A234" t="s">
        <v>657</v>
      </c>
      <c r="B234" t="s">
        <v>658</v>
      </c>
      <c r="C234">
        <v>57211081438</v>
      </c>
      <c r="D234">
        <v>58958691400</v>
      </c>
      <c r="E234">
        <v>80</v>
      </c>
      <c r="F234" t="str">
        <f>_xlfn.XLOOKUP(C234, '75'!$C$2:$C$1142, '75'!$F$2:$F$1142)</f>
        <v>no</v>
      </c>
    </row>
    <row r="235" spans="1:6" x14ac:dyDescent="0.45">
      <c r="A235" t="s">
        <v>657</v>
      </c>
      <c r="B235" t="s">
        <v>659</v>
      </c>
      <c r="C235">
        <v>57211081438</v>
      </c>
      <c r="D235">
        <v>59126397000</v>
      </c>
      <c r="E235">
        <v>80</v>
      </c>
      <c r="F235" t="str">
        <f>_xlfn.XLOOKUP(C235, '75'!$C$2:$C$1142, '75'!$F$2:$F$1142)</f>
        <v>no</v>
      </c>
    </row>
    <row r="236" spans="1:6" x14ac:dyDescent="0.45">
      <c r="A236" t="s">
        <v>660</v>
      </c>
      <c r="B236" t="s">
        <v>661</v>
      </c>
      <c r="C236">
        <v>57202284106</v>
      </c>
      <c r="D236">
        <v>56659726600</v>
      </c>
      <c r="E236">
        <v>81</v>
      </c>
      <c r="F236" t="str">
        <f>_xlfn.XLOOKUP(C236, '75'!$C$2:$C$1142, '75'!$F$2:$F$1142)</f>
        <v>no</v>
      </c>
    </row>
    <row r="237" spans="1:6" x14ac:dyDescent="0.45">
      <c r="A237" t="s">
        <v>666</v>
      </c>
      <c r="B237" t="s">
        <v>667</v>
      </c>
      <c r="C237">
        <v>35173508900</v>
      </c>
      <c r="D237">
        <v>59393740200</v>
      </c>
      <c r="E237">
        <v>94</v>
      </c>
      <c r="F237" t="str">
        <f>_xlfn.XLOOKUP(C237, '75'!$C$2:$C$1142, '75'!$F$2:$F$1142)</f>
        <v>ok</v>
      </c>
    </row>
    <row r="238" spans="1:6" x14ac:dyDescent="0.45">
      <c r="A238" t="s">
        <v>671</v>
      </c>
      <c r="B238" t="s">
        <v>672</v>
      </c>
      <c r="C238">
        <v>57188701186</v>
      </c>
      <c r="D238">
        <v>57194212166</v>
      </c>
      <c r="E238">
        <v>82</v>
      </c>
      <c r="F238" t="str">
        <f>_xlfn.XLOOKUP(C238, '75'!$C$2:$C$1142, '75'!$F$2:$F$1142)</f>
        <v>no</v>
      </c>
    </row>
    <row r="239" spans="1:6" x14ac:dyDescent="0.45">
      <c r="A239" t="s">
        <v>679</v>
      </c>
      <c r="B239" t="s">
        <v>680</v>
      </c>
      <c r="C239">
        <v>57204627910</v>
      </c>
      <c r="D239">
        <v>59552567400</v>
      </c>
      <c r="E239">
        <v>83</v>
      </c>
      <c r="F239" t="str">
        <f>_xlfn.XLOOKUP(C239, '75'!$C$2:$C$1142, '75'!$F$2:$F$1142)</f>
        <v>no</v>
      </c>
    </row>
    <row r="240" spans="1:6" x14ac:dyDescent="0.45">
      <c r="A240" t="s">
        <v>681</v>
      </c>
      <c r="B240" t="s">
        <v>652</v>
      </c>
      <c r="C240">
        <v>56374953000</v>
      </c>
      <c r="D240">
        <v>58067988900</v>
      </c>
      <c r="E240">
        <v>80</v>
      </c>
      <c r="F240" t="str">
        <f>_xlfn.XLOOKUP(C240, '75'!$C$2:$C$1142, '75'!$F$2:$F$1142)</f>
        <v>no</v>
      </c>
    </row>
    <row r="241" spans="1:6" x14ac:dyDescent="0.45">
      <c r="A241" t="s">
        <v>683</v>
      </c>
      <c r="B241" t="s">
        <v>684</v>
      </c>
      <c r="C241">
        <v>57826537700</v>
      </c>
      <c r="D241">
        <v>58860641200</v>
      </c>
      <c r="E241">
        <v>80</v>
      </c>
      <c r="F241" t="str">
        <f>_xlfn.XLOOKUP(C241, '75'!$C$2:$C$1142, '75'!$F$2:$F$1142)</f>
        <v>ok</v>
      </c>
    </row>
    <row r="242" spans="1:6" x14ac:dyDescent="0.45">
      <c r="A242" t="s">
        <v>683</v>
      </c>
      <c r="B242" t="s">
        <v>685</v>
      </c>
      <c r="C242">
        <v>57826537700</v>
      </c>
      <c r="D242">
        <v>57195583936</v>
      </c>
      <c r="E242">
        <v>80</v>
      </c>
      <c r="F242" t="str">
        <f>_xlfn.XLOOKUP(C242, '75'!$C$2:$C$1142, '75'!$F$2:$F$1142)</f>
        <v>ok</v>
      </c>
    </row>
    <row r="243" spans="1:6" x14ac:dyDescent="0.45">
      <c r="A243" t="s">
        <v>689</v>
      </c>
      <c r="B243" t="s">
        <v>690</v>
      </c>
      <c r="C243">
        <v>57205693725</v>
      </c>
      <c r="D243">
        <v>6504367566</v>
      </c>
      <c r="E243">
        <v>80</v>
      </c>
      <c r="F243" t="str">
        <f>_xlfn.XLOOKUP(C243, '75'!$C$2:$C$1142, '75'!$F$2:$F$1142)</f>
        <v>no</v>
      </c>
    </row>
    <row r="244" spans="1:6" x14ac:dyDescent="0.45">
      <c r="A244" t="s">
        <v>638</v>
      </c>
      <c r="B244" t="s">
        <v>694</v>
      </c>
      <c r="C244">
        <v>56697869300</v>
      </c>
      <c r="D244">
        <v>59710417000</v>
      </c>
      <c r="E244">
        <v>85</v>
      </c>
      <c r="F244" t="str">
        <f>_xlfn.XLOOKUP(C244, '75'!$C$2:$C$1142, '75'!$F$2:$F$1142)</f>
        <v>no</v>
      </c>
    </row>
    <row r="245" spans="1:6" x14ac:dyDescent="0.45">
      <c r="A245" t="s">
        <v>696</v>
      </c>
      <c r="B245" t="s">
        <v>697</v>
      </c>
      <c r="C245">
        <v>57219096600</v>
      </c>
      <c r="D245">
        <v>57223897530</v>
      </c>
      <c r="E245">
        <v>83</v>
      </c>
      <c r="F245" t="str">
        <f>_xlfn.XLOOKUP(C245, '75'!$C$2:$C$1142, '75'!$F$2:$F$1142)</f>
        <v>no</v>
      </c>
    </row>
    <row r="246" spans="1:6" x14ac:dyDescent="0.45">
      <c r="A246" t="s">
        <v>698</v>
      </c>
      <c r="B246" t="s">
        <v>699</v>
      </c>
      <c r="C246">
        <v>57219499119</v>
      </c>
      <c r="D246">
        <v>57229919200</v>
      </c>
      <c r="E246">
        <v>89</v>
      </c>
      <c r="F246" t="str">
        <f>_xlfn.XLOOKUP(C246, '75'!$C$2:$C$1142, '75'!$F$2:$F$1142)</f>
        <v>no</v>
      </c>
    </row>
    <row r="247" spans="1:6" x14ac:dyDescent="0.45">
      <c r="A247" t="s">
        <v>693</v>
      </c>
      <c r="B247" t="s">
        <v>694</v>
      </c>
      <c r="C247">
        <v>57204080026</v>
      </c>
      <c r="D247">
        <v>59710417000</v>
      </c>
      <c r="E247">
        <v>85</v>
      </c>
      <c r="F247" t="str">
        <f>_xlfn.XLOOKUP(C247, '75'!$C$2:$C$1142, '75'!$F$2:$F$1142)</f>
        <v>no</v>
      </c>
    </row>
    <row r="248" spans="1:6" x14ac:dyDescent="0.45">
      <c r="A248" t="s">
        <v>693</v>
      </c>
      <c r="B248" t="s">
        <v>670</v>
      </c>
      <c r="C248">
        <v>57204080026</v>
      </c>
      <c r="D248">
        <v>58137797100</v>
      </c>
      <c r="E248">
        <v>81</v>
      </c>
      <c r="F248" t="str">
        <f>_xlfn.XLOOKUP(C248, '75'!$C$2:$C$1142, '75'!$F$2:$F$1142)</f>
        <v>no</v>
      </c>
    </row>
    <row r="249" spans="1:6" x14ac:dyDescent="0.45">
      <c r="A249" t="s">
        <v>658</v>
      </c>
      <c r="B249" t="s">
        <v>659</v>
      </c>
      <c r="C249">
        <v>58958691400</v>
      </c>
      <c r="D249">
        <v>59126397000</v>
      </c>
      <c r="E249">
        <v>87</v>
      </c>
      <c r="F249" t="str">
        <f>_xlfn.XLOOKUP(C249, '75'!$C$2:$C$1142, '75'!$F$2:$F$1142)</f>
        <v>no</v>
      </c>
    </row>
    <row r="250" spans="1:6" x14ac:dyDescent="0.45">
      <c r="A250" t="s">
        <v>707</v>
      </c>
      <c r="B250" t="s">
        <v>708</v>
      </c>
      <c r="C250">
        <v>59332737300</v>
      </c>
      <c r="D250">
        <v>57216948333</v>
      </c>
      <c r="E250">
        <v>80</v>
      </c>
      <c r="F250" t="str">
        <f>_xlfn.XLOOKUP(C250, '75'!$C$2:$C$1142, '75'!$F$2:$F$1142)</f>
        <v>no</v>
      </c>
    </row>
    <row r="251" spans="1:6" x14ac:dyDescent="0.45">
      <c r="A251" t="s">
        <v>707</v>
      </c>
      <c r="B251" t="s">
        <v>709</v>
      </c>
      <c r="C251">
        <v>59332737300</v>
      </c>
      <c r="D251">
        <v>58481391200</v>
      </c>
      <c r="E251">
        <v>94</v>
      </c>
      <c r="F251" t="str">
        <f>_xlfn.XLOOKUP(C251, '75'!$C$2:$C$1142, '75'!$F$2:$F$1142)</f>
        <v>no</v>
      </c>
    </row>
    <row r="252" spans="1:6" x14ac:dyDescent="0.45">
      <c r="A252" t="s">
        <v>694</v>
      </c>
      <c r="B252" t="s">
        <v>670</v>
      </c>
      <c r="C252">
        <v>59710417000</v>
      </c>
      <c r="D252">
        <v>58137797100</v>
      </c>
      <c r="E252">
        <v>80</v>
      </c>
      <c r="F252" t="str">
        <f>_xlfn.XLOOKUP(C252, '75'!$C$2:$C$1142, '75'!$F$2:$F$1142)</f>
        <v>no</v>
      </c>
    </row>
    <row r="253" spans="1:6" x14ac:dyDescent="0.45">
      <c r="A253" t="s">
        <v>713</v>
      </c>
      <c r="B253" t="s">
        <v>714</v>
      </c>
      <c r="C253">
        <v>57219449940</v>
      </c>
      <c r="D253">
        <v>57210807569</v>
      </c>
      <c r="E253">
        <v>92</v>
      </c>
      <c r="F253" t="str">
        <f>_xlfn.XLOOKUP(C253, '75'!$C$2:$C$1142, '75'!$F$2:$F$1142)</f>
        <v>no</v>
      </c>
    </row>
    <row r="254" spans="1:6" x14ac:dyDescent="0.45">
      <c r="A254" t="s">
        <v>695</v>
      </c>
      <c r="B254" t="s">
        <v>670</v>
      </c>
      <c r="C254">
        <v>58573429900</v>
      </c>
      <c r="D254">
        <v>58137797100</v>
      </c>
      <c r="E254">
        <v>81</v>
      </c>
      <c r="F254" t="str">
        <f>_xlfn.XLOOKUP(C254, '75'!$C$2:$C$1142, '75'!$F$2:$F$1142)</f>
        <v>no</v>
      </c>
    </row>
    <row r="255" spans="1:6" x14ac:dyDescent="0.45">
      <c r="A255" t="s">
        <v>722</v>
      </c>
      <c r="B255" t="s">
        <v>723</v>
      </c>
      <c r="C255">
        <v>59710205500</v>
      </c>
      <c r="D255">
        <v>14045584100</v>
      </c>
      <c r="E255">
        <v>80</v>
      </c>
      <c r="F255" t="str">
        <f>_xlfn.XLOOKUP(C255, '75'!$C$2:$C$1142, '75'!$F$2:$F$1142)</f>
        <v>no</v>
      </c>
    </row>
    <row r="256" spans="1:6" x14ac:dyDescent="0.45">
      <c r="A256" t="s">
        <v>725</v>
      </c>
      <c r="B256" t="s">
        <v>726</v>
      </c>
      <c r="C256">
        <v>56647738300</v>
      </c>
      <c r="D256">
        <v>58070953400</v>
      </c>
      <c r="E256">
        <v>97</v>
      </c>
      <c r="F256" t="str">
        <f>_xlfn.XLOOKUP(C256, '75'!$C$2:$C$1142, '75'!$F$2:$F$1142)</f>
        <v>ok</v>
      </c>
    </row>
    <row r="257" spans="1:6" x14ac:dyDescent="0.45">
      <c r="A257" t="s">
        <v>729</v>
      </c>
      <c r="B257" t="s">
        <v>731</v>
      </c>
      <c r="C257">
        <v>35227745700</v>
      </c>
      <c r="D257">
        <v>57202570602</v>
      </c>
      <c r="E257">
        <v>82</v>
      </c>
      <c r="F257" t="str">
        <f>_xlfn.XLOOKUP(C257, '75'!$C$2:$C$1142, '75'!$F$2:$F$1142)</f>
        <v>ok</v>
      </c>
    </row>
    <row r="258" spans="1:6" x14ac:dyDescent="0.45">
      <c r="A258" t="s">
        <v>730</v>
      </c>
      <c r="B258" t="s">
        <v>731</v>
      </c>
      <c r="C258">
        <v>57202558154</v>
      </c>
      <c r="D258">
        <v>57202570602</v>
      </c>
      <c r="E258">
        <v>95</v>
      </c>
      <c r="F258" t="str">
        <f>_xlfn.XLOOKUP(C258, '75'!$C$2:$C$1142, '75'!$F$2:$F$1142)</f>
        <v>ok</v>
      </c>
    </row>
    <row r="259" spans="1:6" x14ac:dyDescent="0.45">
      <c r="A259" t="s">
        <v>734</v>
      </c>
      <c r="B259" t="s">
        <v>735</v>
      </c>
      <c r="C259">
        <v>57219467977</v>
      </c>
      <c r="D259">
        <v>43461611700</v>
      </c>
      <c r="E259">
        <v>97</v>
      </c>
      <c r="F259" t="str">
        <f>_xlfn.XLOOKUP(C259, '75'!$C$2:$C$1142, '75'!$F$2:$F$1142)</f>
        <v>ok</v>
      </c>
    </row>
    <row r="260" spans="1:6" x14ac:dyDescent="0.45">
      <c r="A260" t="s">
        <v>736</v>
      </c>
      <c r="B260" t="s">
        <v>733</v>
      </c>
      <c r="C260">
        <v>57213737060</v>
      </c>
      <c r="D260">
        <v>57647220300</v>
      </c>
      <c r="E260">
        <v>96</v>
      </c>
      <c r="F260" t="str">
        <f>_xlfn.XLOOKUP(C260, '75'!$C$2:$C$1142, '75'!$F$2:$F$1142)</f>
        <v>ok</v>
      </c>
    </row>
    <row r="261" spans="1:6" x14ac:dyDescent="0.45">
      <c r="A261" t="s">
        <v>737</v>
      </c>
      <c r="B261" t="s">
        <v>738</v>
      </c>
      <c r="C261">
        <v>57198433638</v>
      </c>
      <c r="D261">
        <v>57221371161</v>
      </c>
      <c r="E261">
        <v>97</v>
      </c>
      <c r="F261" t="str">
        <f>_xlfn.XLOOKUP(C261, '75'!$C$2:$C$1142, '75'!$F$2:$F$1142)</f>
        <v>ok</v>
      </c>
    </row>
    <row r="262" spans="1:6" x14ac:dyDescent="0.45">
      <c r="A262" t="s">
        <v>739</v>
      </c>
      <c r="B262" t="s">
        <v>740</v>
      </c>
      <c r="C262">
        <v>59124444900</v>
      </c>
      <c r="D262">
        <v>58862940500</v>
      </c>
      <c r="E262">
        <v>94</v>
      </c>
      <c r="F262" t="str">
        <f>_xlfn.XLOOKUP(C262, '75'!$C$2:$C$1142, '75'!$F$2:$F$1142)</f>
        <v>ok</v>
      </c>
    </row>
    <row r="263" spans="1:6" x14ac:dyDescent="0.45">
      <c r="A263" t="s">
        <v>741</v>
      </c>
      <c r="B263" t="s">
        <v>742</v>
      </c>
      <c r="C263">
        <v>24466885300</v>
      </c>
      <c r="D263">
        <v>57209368500</v>
      </c>
      <c r="E263">
        <v>98</v>
      </c>
      <c r="F263" t="str">
        <f>_xlfn.XLOOKUP(C263, '75'!$C$2:$C$1142, '75'!$F$2:$F$1142)</f>
        <v>ok</v>
      </c>
    </row>
    <row r="264" spans="1:6" x14ac:dyDescent="0.45">
      <c r="A264" t="s">
        <v>743</v>
      </c>
      <c r="B264" t="s">
        <v>744</v>
      </c>
      <c r="C264">
        <v>57214225625</v>
      </c>
      <c r="D264">
        <v>57222108764</v>
      </c>
      <c r="E264">
        <v>98</v>
      </c>
      <c r="F264" t="str">
        <f>_xlfn.XLOOKUP(C264, '75'!$C$2:$C$1142, '75'!$F$2:$F$1142)</f>
        <v>ok</v>
      </c>
    </row>
    <row r="265" spans="1:6" x14ac:dyDescent="0.45">
      <c r="A265" t="s">
        <v>743</v>
      </c>
      <c r="B265" t="s">
        <v>745</v>
      </c>
      <c r="C265">
        <v>57214225625</v>
      </c>
      <c r="D265">
        <v>57221995059</v>
      </c>
      <c r="E265">
        <v>98</v>
      </c>
      <c r="F265" t="str">
        <f>_xlfn.XLOOKUP(C265, '75'!$C$2:$C$1142, '75'!$F$2:$F$1142)</f>
        <v>ok</v>
      </c>
    </row>
    <row r="266" spans="1:6" x14ac:dyDescent="0.45">
      <c r="A266" t="s">
        <v>744</v>
      </c>
      <c r="B266" t="s">
        <v>745</v>
      </c>
      <c r="C266">
        <v>57222108764</v>
      </c>
      <c r="D266">
        <v>57221995059</v>
      </c>
      <c r="E266">
        <v>96</v>
      </c>
      <c r="F266" t="str">
        <f>_xlfn.XLOOKUP(C266, '75'!$C$2:$C$1142, '75'!$F$2:$F$1142)</f>
        <v>ok</v>
      </c>
    </row>
    <row r="267" spans="1:6" x14ac:dyDescent="0.45">
      <c r="A267" t="s">
        <v>746</v>
      </c>
      <c r="B267" t="s">
        <v>747</v>
      </c>
      <c r="C267">
        <v>58504367700</v>
      </c>
      <c r="D267">
        <v>58749655300</v>
      </c>
      <c r="E267">
        <v>97</v>
      </c>
      <c r="F267" t="str">
        <f>_xlfn.XLOOKUP(C267, '75'!$C$2:$C$1142, '75'!$F$2:$F$1142)</f>
        <v>ok</v>
      </c>
    </row>
    <row r="268" spans="1:6" x14ac:dyDescent="0.45">
      <c r="A268" t="s">
        <v>750</v>
      </c>
      <c r="B268" t="s">
        <v>751</v>
      </c>
      <c r="C268">
        <v>57930054900</v>
      </c>
      <c r="D268">
        <v>57917711700</v>
      </c>
      <c r="E268">
        <v>80</v>
      </c>
      <c r="F268" t="str">
        <f>_xlfn.XLOOKUP(C268, '75'!$C$2:$C$1142, '75'!$F$2:$F$1142)</f>
        <v>ok</v>
      </c>
    </row>
    <row r="269" spans="1:6" x14ac:dyDescent="0.45">
      <c r="A269" t="s">
        <v>752</v>
      </c>
      <c r="B269" t="s">
        <v>753</v>
      </c>
      <c r="C269">
        <v>57189261670</v>
      </c>
      <c r="D269">
        <v>57670607700</v>
      </c>
      <c r="E269">
        <v>97</v>
      </c>
      <c r="F269" t="str">
        <f>_xlfn.XLOOKUP(C269, '75'!$C$2:$C$1142, '75'!$F$2:$F$1142)</f>
        <v>ok</v>
      </c>
    </row>
    <row r="270" spans="1:6" x14ac:dyDescent="0.45">
      <c r="A270" t="s">
        <v>754</v>
      </c>
      <c r="B270" t="s">
        <v>755</v>
      </c>
      <c r="C270">
        <v>58494532600</v>
      </c>
      <c r="D270">
        <v>58555668700</v>
      </c>
      <c r="E270">
        <v>94</v>
      </c>
      <c r="F270" t="str">
        <f>_xlfn.XLOOKUP(C270, '75'!$C$2:$C$1142, '75'!$F$2:$F$1142)</f>
        <v>ok</v>
      </c>
    </row>
    <row r="271" spans="1:6" x14ac:dyDescent="0.45">
      <c r="A271" t="s">
        <v>756</v>
      </c>
      <c r="B271" t="s">
        <v>757</v>
      </c>
      <c r="C271">
        <v>57208216498</v>
      </c>
      <c r="D271">
        <v>57208378019</v>
      </c>
      <c r="E271">
        <v>84</v>
      </c>
      <c r="F271" t="str">
        <f>_xlfn.XLOOKUP(C271, '75'!$C$2:$C$1142, '75'!$F$2:$F$1142)</f>
        <v>no</v>
      </c>
    </row>
    <row r="272" spans="1:6" x14ac:dyDescent="0.45">
      <c r="A272" t="s">
        <v>756</v>
      </c>
      <c r="B272" t="s">
        <v>758</v>
      </c>
      <c r="C272">
        <v>57208216498</v>
      </c>
      <c r="D272">
        <v>57703123400</v>
      </c>
      <c r="E272">
        <v>96</v>
      </c>
      <c r="F272" t="str">
        <f>_xlfn.XLOOKUP(C272, '75'!$C$2:$C$1142, '75'!$F$2:$F$1142)</f>
        <v>no</v>
      </c>
    </row>
    <row r="273" spans="1:6" x14ac:dyDescent="0.45">
      <c r="A273" t="s">
        <v>759</v>
      </c>
      <c r="B273" t="s">
        <v>760</v>
      </c>
      <c r="C273">
        <v>55574841700</v>
      </c>
      <c r="D273">
        <v>57980438600</v>
      </c>
      <c r="E273">
        <v>81</v>
      </c>
      <c r="F273" t="str">
        <f>_xlfn.XLOOKUP(C273, '75'!$C$2:$C$1142, '75'!$F$2:$F$1142)</f>
        <v>no</v>
      </c>
    </row>
    <row r="274" spans="1:6" x14ac:dyDescent="0.45">
      <c r="A274" t="s">
        <v>766</v>
      </c>
      <c r="B274" t="s">
        <v>767</v>
      </c>
      <c r="C274">
        <v>6602329029</v>
      </c>
      <c r="D274">
        <v>57226822784</v>
      </c>
      <c r="E274">
        <v>93</v>
      </c>
      <c r="F274" t="str">
        <f>_xlfn.XLOOKUP(C274, '75'!$C$2:$C$1142, '75'!$F$2:$F$1142)</f>
        <v>ok</v>
      </c>
    </row>
    <row r="275" spans="1:6" x14ac:dyDescent="0.45">
      <c r="A275" t="s">
        <v>772</v>
      </c>
      <c r="B275" t="s">
        <v>773</v>
      </c>
      <c r="C275">
        <v>22935412100</v>
      </c>
      <c r="D275">
        <v>57213423036</v>
      </c>
      <c r="E275">
        <v>80</v>
      </c>
      <c r="F275" t="str">
        <f>_xlfn.XLOOKUP(C275, '75'!$C$2:$C$1142, '75'!$F$2:$F$1142)</f>
        <v>no</v>
      </c>
    </row>
    <row r="276" spans="1:6" x14ac:dyDescent="0.45">
      <c r="A276" t="s">
        <v>775</v>
      </c>
      <c r="B276" t="s">
        <v>776</v>
      </c>
      <c r="C276">
        <v>57206859910</v>
      </c>
      <c r="D276">
        <v>57219663938</v>
      </c>
      <c r="E276">
        <v>83</v>
      </c>
      <c r="F276" t="str">
        <f>_xlfn.XLOOKUP(C276, '75'!$C$2:$C$1142, '75'!$F$2:$F$1142)</f>
        <v>no</v>
      </c>
    </row>
    <row r="277" spans="1:6" x14ac:dyDescent="0.45">
      <c r="A277" t="s">
        <v>777</v>
      </c>
      <c r="B277" t="s">
        <v>778</v>
      </c>
      <c r="C277">
        <v>57202573923</v>
      </c>
      <c r="D277">
        <v>57219000400</v>
      </c>
      <c r="E277">
        <v>80</v>
      </c>
      <c r="F277" t="str">
        <f>_xlfn.XLOOKUP(C277, '75'!$C$2:$C$1142, '75'!$F$2:$F$1142)</f>
        <v>no</v>
      </c>
    </row>
    <row r="278" spans="1:6" x14ac:dyDescent="0.45">
      <c r="A278" t="s">
        <v>781</v>
      </c>
      <c r="B278" t="s">
        <v>782</v>
      </c>
      <c r="C278">
        <v>57205739301</v>
      </c>
      <c r="D278">
        <v>16425729300</v>
      </c>
      <c r="E278">
        <v>80</v>
      </c>
      <c r="F278" t="str">
        <f>_xlfn.XLOOKUP(C278, '75'!$C$2:$C$1142, '75'!$F$2:$F$1142)</f>
        <v>no</v>
      </c>
    </row>
    <row r="279" spans="1:6" x14ac:dyDescent="0.45">
      <c r="A279" t="s">
        <v>781</v>
      </c>
      <c r="B279" t="s">
        <v>783</v>
      </c>
      <c r="C279">
        <v>57205739301</v>
      </c>
      <c r="D279">
        <v>7202288223</v>
      </c>
      <c r="E279">
        <v>82</v>
      </c>
      <c r="F279" t="str">
        <f>_xlfn.XLOOKUP(C279, '75'!$C$2:$C$1142, '75'!$F$2:$F$1142)</f>
        <v>no</v>
      </c>
    </row>
    <row r="280" spans="1:6" x14ac:dyDescent="0.45">
      <c r="A280" t="s">
        <v>762</v>
      </c>
      <c r="B280" t="s">
        <v>763</v>
      </c>
      <c r="C280">
        <v>57205682246</v>
      </c>
      <c r="D280">
        <v>58740176100</v>
      </c>
      <c r="E280">
        <v>92</v>
      </c>
      <c r="F280" t="str">
        <f>_xlfn.XLOOKUP(C280, '75'!$C$2:$C$1142, '75'!$F$2:$F$1142)</f>
        <v>no</v>
      </c>
    </row>
    <row r="281" spans="1:6" x14ac:dyDescent="0.45">
      <c r="A281" t="s">
        <v>784</v>
      </c>
      <c r="B281" t="s">
        <v>785</v>
      </c>
      <c r="C281">
        <v>58317356300</v>
      </c>
      <c r="D281">
        <v>59768676500</v>
      </c>
      <c r="E281">
        <v>84</v>
      </c>
      <c r="F281" t="str">
        <f>_xlfn.XLOOKUP(C281, '75'!$C$2:$C$1142, '75'!$F$2:$F$1142)</f>
        <v>ok</v>
      </c>
    </row>
    <row r="282" spans="1:6" x14ac:dyDescent="0.45">
      <c r="A282" t="s">
        <v>757</v>
      </c>
      <c r="B282" t="s">
        <v>758</v>
      </c>
      <c r="C282">
        <v>57208378019</v>
      </c>
      <c r="D282">
        <v>57703123400</v>
      </c>
      <c r="E282">
        <v>80</v>
      </c>
      <c r="F282" t="str">
        <f>_xlfn.XLOOKUP(C282, '75'!$C$2:$C$1142, '75'!$F$2:$F$1142)</f>
        <v>no</v>
      </c>
    </row>
    <row r="283" spans="1:6" x14ac:dyDescent="0.45">
      <c r="A283" t="s">
        <v>786</v>
      </c>
      <c r="B283" t="s">
        <v>774</v>
      </c>
      <c r="C283">
        <v>57210949071</v>
      </c>
      <c r="D283">
        <v>35332915800</v>
      </c>
      <c r="E283">
        <v>92</v>
      </c>
      <c r="F283" t="str">
        <f>_xlfn.XLOOKUP(C283, '75'!$C$2:$C$1142, '75'!$F$2:$F$1142)</f>
        <v>no</v>
      </c>
    </row>
    <row r="284" spans="1:6" x14ac:dyDescent="0.45">
      <c r="A284" t="s">
        <v>787</v>
      </c>
      <c r="B284" t="s">
        <v>788</v>
      </c>
      <c r="C284">
        <v>57219005299</v>
      </c>
      <c r="D284">
        <v>59586745100</v>
      </c>
      <c r="E284">
        <v>80</v>
      </c>
      <c r="F284" t="str">
        <f>_xlfn.XLOOKUP(C284, '75'!$C$2:$C$1142, '75'!$F$2:$F$1142)</f>
        <v>no</v>
      </c>
    </row>
    <row r="285" spans="1:6" x14ac:dyDescent="0.45">
      <c r="A285" t="s">
        <v>793</v>
      </c>
      <c r="B285" t="s">
        <v>794</v>
      </c>
      <c r="C285">
        <v>7003880452</v>
      </c>
      <c r="D285">
        <v>57271323300</v>
      </c>
      <c r="E285">
        <v>91</v>
      </c>
      <c r="F285" t="str">
        <f>_xlfn.XLOOKUP(C285, '75'!$C$2:$C$1142, '75'!$F$2:$F$1142)</f>
        <v>ok</v>
      </c>
    </row>
    <row r="286" spans="1:6" x14ac:dyDescent="0.45">
      <c r="A286" t="s">
        <v>795</v>
      </c>
      <c r="B286" t="s">
        <v>796</v>
      </c>
      <c r="C286">
        <v>6701849102</v>
      </c>
      <c r="D286">
        <v>59624866300</v>
      </c>
      <c r="E286">
        <v>93</v>
      </c>
      <c r="F286" t="str">
        <f>_xlfn.XLOOKUP(C286, '75'!$C$2:$C$1142, '75'!$F$2:$F$1142)</f>
        <v>ok</v>
      </c>
    </row>
    <row r="287" spans="1:6" x14ac:dyDescent="0.45">
      <c r="A287" t="s">
        <v>795</v>
      </c>
      <c r="B287" t="s">
        <v>797</v>
      </c>
      <c r="C287">
        <v>6701849102</v>
      </c>
      <c r="D287">
        <v>57998650100</v>
      </c>
      <c r="E287">
        <v>90</v>
      </c>
      <c r="F287" t="str">
        <f>_xlfn.XLOOKUP(C287, '75'!$C$2:$C$1142, '75'!$F$2:$F$1142)</f>
        <v>ok</v>
      </c>
    </row>
    <row r="288" spans="1:6" x14ac:dyDescent="0.45">
      <c r="A288" t="s">
        <v>802</v>
      </c>
      <c r="B288" t="s">
        <v>803</v>
      </c>
      <c r="C288">
        <v>57501924000</v>
      </c>
      <c r="D288">
        <v>26035289600</v>
      </c>
      <c r="E288">
        <v>87</v>
      </c>
      <c r="F288" t="str">
        <f>_xlfn.XLOOKUP(C288, '75'!$C$2:$C$1142, '75'!$F$2:$F$1142)</f>
        <v>no</v>
      </c>
    </row>
    <row r="289" spans="1:6" x14ac:dyDescent="0.45">
      <c r="A289" t="s">
        <v>796</v>
      </c>
      <c r="B289" t="s">
        <v>797</v>
      </c>
      <c r="C289">
        <v>59624866300</v>
      </c>
      <c r="D289">
        <v>57998650100</v>
      </c>
      <c r="E289">
        <v>97</v>
      </c>
      <c r="F289" t="str">
        <f>_xlfn.XLOOKUP(C289, '75'!$C$2:$C$1142, '75'!$F$2:$F$1142)</f>
        <v>ok</v>
      </c>
    </row>
    <row r="290" spans="1:6" x14ac:dyDescent="0.45">
      <c r="A290" t="s">
        <v>806</v>
      </c>
      <c r="B290" t="s">
        <v>807</v>
      </c>
      <c r="C290">
        <v>6603622358</v>
      </c>
      <c r="D290">
        <v>58554273300</v>
      </c>
      <c r="E290">
        <v>94</v>
      </c>
      <c r="F290" t="str">
        <f>_xlfn.XLOOKUP(C290, '75'!$C$2:$C$1142, '75'!$F$2:$F$1142)</f>
        <v>ok</v>
      </c>
    </row>
    <row r="291" spans="1:6" x14ac:dyDescent="0.45">
      <c r="A291" t="s">
        <v>810</v>
      </c>
      <c r="B291" t="s">
        <v>811</v>
      </c>
      <c r="C291">
        <v>57222201980</v>
      </c>
      <c r="D291">
        <v>56372705700</v>
      </c>
      <c r="E291">
        <v>87</v>
      </c>
      <c r="F291" t="str">
        <f>_xlfn.XLOOKUP(C291, '75'!$C$2:$C$1142, '75'!$F$2:$F$1142)</f>
        <v>no</v>
      </c>
    </row>
    <row r="292" spans="1:6" x14ac:dyDescent="0.45">
      <c r="A292" t="s">
        <v>816</v>
      </c>
      <c r="B292" t="s">
        <v>817</v>
      </c>
      <c r="C292">
        <v>55902405400</v>
      </c>
      <c r="D292">
        <v>59245189400</v>
      </c>
      <c r="E292">
        <v>93</v>
      </c>
      <c r="F292" t="str">
        <f>_xlfn.XLOOKUP(C292, '75'!$C$2:$C$1142, '75'!$F$2:$F$1142)</f>
        <v>ok</v>
      </c>
    </row>
    <row r="293" spans="1:6" x14ac:dyDescent="0.45">
      <c r="A293" t="s">
        <v>820</v>
      </c>
      <c r="B293" t="s">
        <v>821</v>
      </c>
      <c r="C293">
        <v>6602954500</v>
      </c>
      <c r="D293">
        <v>58222269900</v>
      </c>
      <c r="E293">
        <v>91</v>
      </c>
      <c r="F293" t="str">
        <f>_xlfn.XLOOKUP(C293, '75'!$C$2:$C$1142, '75'!$F$2:$F$1142)</f>
        <v>ok</v>
      </c>
    </row>
    <row r="294" spans="1:6" x14ac:dyDescent="0.45">
      <c r="A294" t="s">
        <v>822</v>
      </c>
      <c r="B294" t="s">
        <v>823</v>
      </c>
      <c r="C294">
        <v>32868158100</v>
      </c>
      <c r="D294">
        <v>57996986400</v>
      </c>
      <c r="E294">
        <v>96</v>
      </c>
      <c r="F294" t="str">
        <f>_xlfn.XLOOKUP(C294, '75'!$C$2:$C$1142, '75'!$F$2:$F$1142)</f>
        <v>ok</v>
      </c>
    </row>
    <row r="295" spans="1:6" x14ac:dyDescent="0.45">
      <c r="A295" t="s">
        <v>824</v>
      </c>
      <c r="B295" t="s">
        <v>825</v>
      </c>
      <c r="C295">
        <v>57224537695</v>
      </c>
      <c r="D295">
        <v>57711933000</v>
      </c>
      <c r="E295">
        <v>80</v>
      </c>
      <c r="F295" t="str">
        <f>_xlfn.XLOOKUP(C295, '75'!$C$2:$C$1142, '75'!$F$2:$F$1142)</f>
        <v>no</v>
      </c>
    </row>
    <row r="296" spans="1:6" x14ac:dyDescent="0.45">
      <c r="A296" t="s">
        <v>832</v>
      </c>
      <c r="B296" t="s">
        <v>833</v>
      </c>
      <c r="C296">
        <v>55364826400</v>
      </c>
      <c r="D296">
        <v>57955058600</v>
      </c>
      <c r="E296">
        <v>80</v>
      </c>
      <c r="F296" t="str">
        <f>_xlfn.XLOOKUP(C296, '75'!$C$2:$C$1142, '75'!$F$2:$F$1142)</f>
        <v>no</v>
      </c>
    </row>
    <row r="297" spans="1:6" x14ac:dyDescent="0.45">
      <c r="A297" t="s">
        <v>834</v>
      </c>
      <c r="B297" t="s">
        <v>835</v>
      </c>
      <c r="C297">
        <v>36488788000</v>
      </c>
      <c r="D297">
        <v>57218847212</v>
      </c>
      <c r="E297">
        <v>82</v>
      </c>
      <c r="F297" t="str">
        <f>_xlfn.XLOOKUP(C297, '75'!$C$2:$C$1142, '75'!$F$2:$F$1142)</f>
        <v>no</v>
      </c>
    </row>
    <row r="298" spans="1:6" x14ac:dyDescent="0.45">
      <c r="A298" t="s">
        <v>837</v>
      </c>
      <c r="B298" t="s">
        <v>838</v>
      </c>
      <c r="C298">
        <v>41862484700</v>
      </c>
      <c r="D298">
        <v>59225858600</v>
      </c>
      <c r="E298">
        <v>86</v>
      </c>
      <c r="F298" t="str">
        <f>_xlfn.XLOOKUP(C298, '75'!$C$2:$C$1142, '75'!$F$2:$F$1142)</f>
        <v>no</v>
      </c>
    </row>
    <row r="299" spans="1:6" x14ac:dyDescent="0.45">
      <c r="A299" t="s">
        <v>850</v>
      </c>
      <c r="B299" t="s">
        <v>851</v>
      </c>
      <c r="C299">
        <v>7101617400</v>
      </c>
      <c r="D299">
        <v>57419543300</v>
      </c>
      <c r="E299">
        <v>87</v>
      </c>
      <c r="F299" t="str">
        <f>_xlfn.XLOOKUP(C299, '75'!$C$2:$C$1142, '75'!$F$2:$F$1142)</f>
        <v>ok</v>
      </c>
    </row>
    <row r="300" spans="1:6" x14ac:dyDescent="0.45">
      <c r="A300" t="s">
        <v>852</v>
      </c>
      <c r="B300" t="s">
        <v>853</v>
      </c>
      <c r="C300">
        <v>55568333600</v>
      </c>
      <c r="D300">
        <v>59277537500</v>
      </c>
      <c r="E300">
        <v>84</v>
      </c>
      <c r="F300" t="str">
        <f>_xlfn.XLOOKUP(C300, '75'!$C$2:$C$1142, '75'!$F$2:$F$1142)</f>
        <v>no</v>
      </c>
    </row>
    <row r="301" spans="1:6" x14ac:dyDescent="0.45">
      <c r="A301" t="s">
        <v>854</v>
      </c>
      <c r="B301" t="s">
        <v>855</v>
      </c>
      <c r="C301">
        <v>58668997300</v>
      </c>
      <c r="D301">
        <v>57218305410</v>
      </c>
      <c r="E301">
        <v>85</v>
      </c>
      <c r="F301" t="str">
        <f>_xlfn.XLOOKUP(C301, '75'!$C$2:$C$1142, '75'!$F$2:$F$1142)</f>
        <v>no</v>
      </c>
    </row>
    <row r="302" spans="1:6" x14ac:dyDescent="0.45">
      <c r="A302" t="s">
        <v>865</v>
      </c>
      <c r="B302" t="s">
        <v>866</v>
      </c>
      <c r="C302">
        <v>57206314215</v>
      </c>
      <c r="D302">
        <v>57195340320</v>
      </c>
      <c r="E302">
        <v>83</v>
      </c>
      <c r="F302" t="str">
        <f>_xlfn.XLOOKUP(C302, '75'!$C$2:$C$1142, '75'!$F$2:$F$1142)</f>
        <v>no</v>
      </c>
    </row>
    <row r="303" spans="1:6" x14ac:dyDescent="0.45">
      <c r="A303" t="s">
        <v>882</v>
      </c>
      <c r="B303" t="s">
        <v>883</v>
      </c>
      <c r="C303">
        <v>57209473457</v>
      </c>
      <c r="D303">
        <v>58076956700</v>
      </c>
      <c r="E303">
        <v>90</v>
      </c>
      <c r="F303" t="str">
        <f>_xlfn.XLOOKUP(C303, '75'!$C$2:$C$1142, '75'!$F$2:$F$1142)</f>
        <v>no</v>
      </c>
    </row>
    <row r="304" spans="1:6" x14ac:dyDescent="0.45">
      <c r="A304" t="s">
        <v>889</v>
      </c>
      <c r="B304" t="s">
        <v>890</v>
      </c>
      <c r="C304">
        <v>57079535100</v>
      </c>
      <c r="D304">
        <v>57203857150</v>
      </c>
      <c r="E304">
        <v>81</v>
      </c>
      <c r="F304" t="str">
        <f>_xlfn.XLOOKUP(C304, '75'!$C$2:$C$1142, '75'!$F$2:$F$1142)</f>
        <v>no</v>
      </c>
    </row>
    <row r="305" spans="1:6" x14ac:dyDescent="0.45">
      <c r="A305" t="s">
        <v>896</v>
      </c>
      <c r="B305" t="s">
        <v>897</v>
      </c>
      <c r="C305">
        <v>58677312100</v>
      </c>
      <c r="D305">
        <v>57997738900</v>
      </c>
      <c r="E305">
        <v>96</v>
      </c>
      <c r="F305" t="str">
        <f>_xlfn.XLOOKUP(C305, '75'!$C$2:$C$1142, '75'!$F$2:$F$1142)</f>
        <v>ok</v>
      </c>
    </row>
    <row r="306" spans="1:6" x14ac:dyDescent="0.45">
      <c r="A306" t="s">
        <v>900</v>
      </c>
      <c r="B306" t="s">
        <v>902</v>
      </c>
      <c r="C306">
        <v>23482649600</v>
      </c>
      <c r="D306">
        <v>59419227700</v>
      </c>
      <c r="E306">
        <v>83</v>
      </c>
      <c r="F306" t="str">
        <f>_xlfn.XLOOKUP(C306, '75'!$C$2:$C$1142, '75'!$F$2:$F$1142)</f>
        <v>no</v>
      </c>
    </row>
    <row r="307" spans="1:6" x14ac:dyDescent="0.45">
      <c r="A307" t="s">
        <v>903</v>
      </c>
      <c r="B307" t="s">
        <v>904</v>
      </c>
      <c r="C307">
        <v>7004861058</v>
      </c>
      <c r="D307">
        <v>57440822900</v>
      </c>
      <c r="E307">
        <v>80</v>
      </c>
      <c r="F307" t="str">
        <f>_xlfn.XLOOKUP(C307, '75'!$C$2:$C$1142, '75'!$F$2:$F$1142)</f>
        <v>no</v>
      </c>
    </row>
    <row r="308" spans="1:6" x14ac:dyDescent="0.45">
      <c r="A308" t="s">
        <v>911</v>
      </c>
      <c r="B308" t="s">
        <v>913</v>
      </c>
      <c r="C308">
        <v>59331322000</v>
      </c>
      <c r="D308">
        <v>58290657600</v>
      </c>
      <c r="E308">
        <v>90</v>
      </c>
      <c r="F308" t="str">
        <f>_xlfn.XLOOKUP(C308, '75'!$C$2:$C$1142, '75'!$F$2:$F$1142)</f>
        <v>no</v>
      </c>
    </row>
    <row r="309" spans="1:6" x14ac:dyDescent="0.45">
      <c r="A309" t="s">
        <v>899</v>
      </c>
      <c r="B309" t="s">
        <v>916</v>
      </c>
      <c r="C309">
        <v>57210188214</v>
      </c>
      <c r="D309">
        <v>58238313800</v>
      </c>
      <c r="E309">
        <v>80</v>
      </c>
      <c r="F309" t="str">
        <f>_xlfn.XLOOKUP(C309, '75'!$C$2:$C$1142, '75'!$F$2:$F$1142)</f>
        <v>no</v>
      </c>
    </row>
    <row r="310" spans="1:6" x14ac:dyDescent="0.45">
      <c r="A310" t="s">
        <v>849</v>
      </c>
      <c r="B310" t="s">
        <v>917</v>
      </c>
      <c r="C310">
        <v>57199073910</v>
      </c>
      <c r="D310">
        <v>59277392100</v>
      </c>
      <c r="E310">
        <v>82</v>
      </c>
      <c r="F310" t="str">
        <f>_xlfn.XLOOKUP(C310, '75'!$C$2:$C$1142, '75'!$F$2:$F$1142)</f>
        <v>no</v>
      </c>
    </row>
    <row r="311" spans="1:6" x14ac:dyDescent="0.45">
      <c r="A311" t="s">
        <v>878</v>
      </c>
      <c r="B311" t="s">
        <v>918</v>
      </c>
      <c r="C311">
        <v>57226687130</v>
      </c>
      <c r="D311">
        <v>57219541746</v>
      </c>
      <c r="E311">
        <v>80</v>
      </c>
      <c r="F311" t="str">
        <f>_xlfn.XLOOKUP(C311, '75'!$C$2:$C$1142, '75'!$F$2:$F$1142)</f>
        <v>no</v>
      </c>
    </row>
    <row r="312" spans="1:6" x14ac:dyDescent="0.45">
      <c r="A312" t="s">
        <v>923</v>
      </c>
      <c r="B312" t="s">
        <v>924</v>
      </c>
      <c r="C312">
        <v>58874281100</v>
      </c>
      <c r="D312">
        <v>57222868351</v>
      </c>
      <c r="E312">
        <v>81</v>
      </c>
      <c r="F312" t="str">
        <f>_xlfn.XLOOKUP(C312, '75'!$C$2:$C$1142, '75'!$F$2:$F$1142)</f>
        <v>no</v>
      </c>
    </row>
    <row r="313" spans="1:6" x14ac:dyDescent="0.45">
      <c r="A313" t="s">
        <v>886</v>
      </c>
      <c r="B313" t="s">
        <v>927</v>
      </c>
      <c r="C313">
        <v>58153782700</v>
      </c>
      <c r="D313">
        <v>56706695700</v>
      </c>
      <c r="E313">
        <v>87</v>
      </c>
      <c r="F313" t="str">
        <f>_xlfn.XLOOKUP(C313, '75'!$C$2:$C$1142, '75'!$F$2:$F$1142)</f>
        <v>no</v>
      </c>
    </row>
    <row r="314" spans="1:6" x14ac:dyDescent="0.45">
      <c r="A314" t="s">
        <v>928</v>
      </c>
      <c r="B314" t="s">
        <v>929</v>
      </c>
      <c r="C314">
        <v>57894855100</v>
      </c>
      <c r="D314">
        <v>58187878100</v>
      </c>
      <c r="E314">
        <v>98</v>
      </c>
      <c r="F314" t="str">
        <f>_xlfn.XLOOKUP(C314, '75'!$C$2:$C$1142, '75'!$F$2:$F$1142)</f>
        <v>ok</v>
      </c>
    </row>
    <row r="315" spans="1:6" x14ac:dyDescent="0.45">
      <c r="A315" t="s">
        <v>930</v>
      </c>
      <c r="B315" t="s">
        <v>876</v>
      </c>
      <c r="C315">
        <v>57955378400</v>
      </c>
      <c r="D315">
        <v>57223796303</v>
      </c>
      <c r="E315">
        <v>87</v>
      </c>
      <c r="F315" t="str">
        <f>_xlfn.XLOOKUP(C315, '75'!$C$2:$C$1142, '75'!$F$2:$F$1142)</f>
        <v>no</v>
      </c>
    </row>
    <row r="316" spans="1:6" x14ac:dyDescent="0.45">
      <c r="A316" t="s">
        <v>913</v>
      </c>
      <c r="B316" t="s">
        <v>914</v>
      </c>
      <c r="C316">
        <v>58290657600</v>
      </c>
      <c r="D316">
        <v>57788453900</v>
      </c>
      <c r="E316">
        <v>85</v>
      </c>
      <c r="F316" t="str">
        <f>_xlfn.XLOOKUP(C316, '75'!$C$2:$C$1142, '75'!$F$2:$F$1142)</f>
        <v>ok</v>
      </c>
    </row>
    <row r="317" spans="1:6" x14ac:dyDescent="0.45">
      <c r="A317" t="s">
        <v>937</v>
      </c>
      <c r="B317" t="s">
        <v>938</v>
      </c>
      <c r="C317">
        <v>55730132400</v>
      </c>
      <c r="D317">
        <v>56327680200</v>
      </c>
      <c r="E317">
        <v>81</v>
      </c>
      <c r="F317" t="str">
        <f>_xlfn.XLOOKUP(C317, '75'!$C$2:$C$1142, '75'!$F$2:$F$1142)</f>
        <v>no</v>
      </c>
    </row>
    <row r="318" spans="1:6" x14ac:dyDescent="0.45">
      <c r="A318" t="s">
        <v>940</v>
      </c>
      <c r="B318" t="s">
        <v>939</v>
      </c>
      <c r="C318">
        <v>55481796400</v>
      </c>
      <c r="D318">
        <v>57225884119</v>
      </c>
      <c r="E318">
        <v>87</v>
      </c>
      <c r="F318" t="str">
        <f>_xlfn.XLOOKUP(C318, '75'!$C$2:$C$1142, '75'!$F$2:$F$1142)</f>
        <v>no</v>
      </c>
    </row>
    <row r="319" spans="1:6" x14ac:dyDescent="0.45">
      <c r="A319" t="s">
        <v>944</v>
      </c>
      <c r="B319" t="s">
        <v>945</v>
      </c>
      <c r="C319">
        <v>17436214000</v>
      </c>
      <c r="D319">
        <v>57219942757</v>
      </c>
      <c r="E319">
        <v>84</v>
      </c>
      <c r="F319" t="str">
        <f>_xlfn.XLOOKUP(C319, '75'!$C$2:$C$1142, '75'!$F$2:$F$1142)</f>
        <v>ok</v>
      </c>
    </row>
    <row r="320" spans="1:6" x14ac:dyDescent="0.45">
      <c r="A320" t="s">
        <v>944</v>
      </c>
      <c r="B320" t="s">
        <v>946</v>
      </c>
      <c r="C320">
        <v>17436214000</v>
      </c>
      <c r="D320">
        <v>58196547100</v>
      </c>
      <c r="E320">
        <v>80</v>
      </c>
      <c r="F320" t="str">
        <f>_xlfn.XLOOKUP(C320, '75'!$C$2:$C$1142, '75'!$F$2:$F$1142)</f>
        <v>ok</v>
      </c>
    </row>
    <row r="321" spans="1:6" x14ac:dyDescent="0.45">
      <c r="A321" t="s">
        <v>947</v>
      </c>
      <c r="B321" t="s">
        <v>948</v>
      </c>
      <c r="C321">
        <v>55727328700</v>
      </c>
      <c r="D321">
        <v>57966537000</v>
      </c>
      <c r="E321">
        <v>87</v>
      </c>
      <c r="F321" t="str">
        <f>_xlfn.XLOOKUP(C321, '75'!$C$2:$C$1142, '75'!$F$2:$F$1142)</f>
        <v>ok</v>
      </c>
    </row>
    <row r="322" spans="1:6" x14ac:dyDescent="0.45">
      <c r="A322" t="s">
        <v>945</v>
      </c>
      <c r="B322" t="s">
        <v>946</v>
      </c>
      <c r="C322">
        <v>57219942757</v>
      </c>
      <c r="D322">
        <v>58196547100</v>
      </c>
      <c r="E322">
        <v>94</v>
      </c>
      <c r="F322" t="str">
        <f>_xlfn.XLOOKUP(C322, '75'!$C$2:$C$1142, '75'!$F$2:$F$1142)</f>
        <v>ok</v>
      </c>
    </row>
    <row r="323" spans="1:6" x14ac:dyDescent="0.45">
      <c r="A323" t="s">
        <v>951</v>
      </c>
      <c r="B323" t="s">
        <v>953</v>
      </c>
      <c r="C323">
        <v>57192395903</v>
      </c>
      <c r="D323">
        <v>58968378700</v>
      </c>
      <c r="E323">
        <v>84</v>
      </c>
      <c r="F323" t="str">
        <f>_xlfn.XLOOKUP(C323, '75'!$C$2:$C$1142, '75'!$F$2:$F$1142)</f>
        <v>no</v>
      </c>
    </row>
    <row r="324" spans="1:6" x14ac:dyDescent="0.45">
      <c r="A324" t="s">
        <v>954</v>
      </c>
      <c r="B324" t="s">
        <v>955</v>
      </c>
      <c r="C324">
        <v>57208091149</v>
      </c>
      <c r="D324">
        <v>57221226659</v>
      </c>
      <c r="E324">
        <v>82</v>
      </c>
      <c r="F324" t="str">
        <f>_xlfn.XLOOKUP(C324, '75'!$C$2:$C$1142, '75'!$F$2:$F$1142)</f>
        <v>no</v>
      </c>
    </row>
    <row r="325" spans="1:6" x14ac:dyDescent="0.45">
      <c r="A325" t="s">
        <v>960</v>
      </c>
      <c r="B325" t="s">
        <v>941</v>
      </c>
      <c r="C325">
        <v>56909615000</v>
      </c>
      <c r="D325">
        <v>57198912866</v>
      </c>
      <c r="E325">
        <v>81</v>
      </c>
      <c r="F325" t="str">
        <f>_xlfn.XLOOKUP(C325, '75'!$C$2:$C$1142, '75'!$F$2:$F$1142)</f>
        <v>no</v>
      </c>
    </row>
    <row r="326" spans="1:6" x14ac:dyDescent="0.45">
      <c r="A326" t="s">
        <v>961</v>
      </c>
      <c r="B326" t="s">
        <v>962</v>
      </c>
      <c r="C326">
        <v>57866275800</v>
      </c>
      <c r="D326">
        <v>58520690600</v>
      </c>
      <c r="E326">
        <v>80</v>
      </c>
      <c r="F326" t="str">
        <f>_xlfn.XLOOKUP(C326, '75'!$C$2:$C$1142, '75'!$F$2:$F$1142)</f>
        <v>no</v>
      </c>
    </row>
    <row r="327" spans="1:6" x14ac:dyDescent="0.45">
      <c r="A327" t="s">
        <v>967</v>
      </c>
      <c r="B327" t="s">
        <v>968</v>
      </c>
      <c r="C327">
        <v>57219292286</v>
      </c>
      <c r="D327">
        <v>57214823165</v>
      </c>
      <c r="E327">
        <v>96</v>
      </c>
      <c r="F327" t="str">
        <f>_xlfn.XLOOKUP(C327, '75'!$C$2:$C$1142, '75'!$F$2:$F$1142)</f>
        <v>ok</v>
      </c>
    </row>
    <row r="328" spans="1:6" x14ac:dyDescent="0.45">
      <c r="A328" t="s">
        <v>969</v>
      </c>
      <c r="B328" t="s">
        <v>970</v>
      </c>
      <c r="C328">
        <v>57217129575</v>
      </c>
      <c r="D328">
        <v>57383215700</v>
      </c>
      <c r="E328">
        <v>96</v>
      </c>
      <c r="F328" t="str">
        <f>_xlfn.XLOOKUP(C328, '75'!$C$2:$C$1142, '75'!$F$2:$F$1142)</f>
        <v>no</v>
      </c>
    </row>
    <row r="329" spans="1:6" x14ac:dyDescent="0.45">
      <c r="A329" t="s">
        <v>972</v>
      </c>
      <c r="B329" t="s">
        <v>962</v>
      </c>
      <c r="C329">
        <v>57212614266</v>
      </c>
      <c r="D329">
        <v>58520690600</v>
      </c>
      <c r="E329">
        <v>80</v>
      </c>
      <c r="F329" t="str">
        <f>_xlfn.XLOOKUP(C329, '75'!$C$2:$C$1142, '75'!$F$2:$F$1142)</f>
        <v>no</v>
      </c>
    </row>
    <row r="330" spans="1:6" x14ac:dyDescent="0.45">
      <c r="A330" t="s">
        <v>962</v>
      </c>
      <c r="B330" t="s">
        <v>974</v>
      </c>
      <c r="C330">
        <v>58520690600</v>
      </c>
      <c r="D330">
        <v>55726699700</v>
      </c>
      <c r="E330">
        <v>82</v>
      </c>
      <c r="F330" t="str">
        <f>_xlfn.XLOOKUP(C330, '75'!$C$2:$C$1142, '75'!$F$2:$F$1142)</f>
        <v>no</v>
      </c>
    </row>
    <row r="331" spans="1:6" x14ac:dyDescent="0.45">
      <c r="A331" t="s">
        <v>977</v>
      </c>
      <c r="B331" t="s">
        <v>978</v>
      </c>
      <c r="C331">
        <v>57196029837</v>
      </c>
      <c r="D331">
        <v>57211444621</v>
      </c>
      <c r="E331">
        <v>98</v>
      </c>
      <c r="F331" t="str">
        <f>_xlfn.XLOOKUP(C331, '75'!$C$2:$C$1142, '75'!$F$2:$F$1142)</f>
        <v>ok</v>
      </c>
    </row>
    <row r="332" spans="1:6" x14ac:dyDescent="0.45">
      <c r="A332" t="s">
        <v>979</v>
      </c>
      <c r="B332" t="s">
        <v>980</v>
      </c>
      <c r="C332">
        <v>24178542700</v>
      </c>
      <c r="D332">
        <v>58917995400</v>
      </c>
      <c r="E332">
        <v>95</v>
      </c>
      <c r="F332" t="str">
        <f>_xlfn.XLOOKUP(C332, '75'!$C$2:$C$1142, '75'!$F$2:$F$1142)</f>
        <v>ok</v>
      </c>
    </row>
    <row r="333" spans="1:6" x14ac:dyDescent="0.45">
      <c r="A333" t="s">
        <v>981</v>
      </c>
      <c r="B333" t="s">
        <v>982</v>
      </c>
      <c r="C333">
        <v>55768611600</v>
      </c>
      <c r="D333">
        <v>55833173500</v>
      </c>
      <c r="E333">
        <v>86</v>
      </c>
      <c r="F333" t="str">
        <f>_xlfn.XLOOKUP(C333, '75'!$C$2:$C$1142, '75'!$F$2:$F$1142)</f>
        <v>no</v>
      </c>
    </row>
    <row r="334" spans="1:6" x14ac:dyDescent="0.45">
      <c r="A334" t="s">
        <v>983</v>
      </c>
      <c r="B334" t="s">
        <v>985</v>
      </c>
      <c r="C334">
        <v>55878723400</v>
      </c>
      <c r="D334">
        <v>57226131863</v>
      </c>
      <c r="E334">
        <v>80</v>
      </c>
      <c r="F334" t="str">
        <f>_xlfn.XLOOKUP(C334, '75'!$C$2:$C$1142, '75'!$F$2:$F$1142)</f>
        <v>no</v>
      </c>
    </row>
    <row r="335" spans="1:6" x14ac:dyDescent="0.45">
      <c r="A335" t="s">
        <v>988</v>
      </c>
      <c r="B335" t="s">
        <v>990</v>
      </c>
      <c r="C335">
        <v>52264998100</v>
      </c>
      <c r="D335">
        <v>57216315221</v>
      </c>
      <c r="E335">
        <v>87</v>
      </c>
      <c r="F335" t="str">
        <f>_xlfn.XLOOKUP(C335, '75'!$C$2:$C$1142, '75'!$F$2:$F$1142)</f>
        <v>no</v>
      </c>
    </row>
    <row r="336" spans="1:6" x14ac:dyDescent="0.45">
      <c r="A336" t="s">
        <v>989</v>
      </c>
      <c r="B336" t="s">
        <v>990</v>
      </c>
      <c r="C336">
        <v>57201917282</v>
      </c>
      <c r="D336">
        <v>57216315221</v>
      </c>
      <c r="E336">
        <v>86</v>
      </c>
      <c r="F336" t="str">
        <f>_xlfn.XLOOKUP(C336, '75'!$C$2:$C$1142, '75'!$F$2:$F$1142)</f>
        <v>no</v>
      </c>
    </row>
    <row r="337" spans="1:6" x14ac:dyDescent="0.45">
      <c r="A337" t="s">
        <v>999</v>
      </c>
      <c r="B337" t="s">
        <v>1000</v>
      </c>
      <c r="C337">
        <v>57200444598</v>
      </c>
      <c r="D337">
        <v>57651849600</v>
      </c>
      <c r="E337">
        <v>83</v>
      </c>
      <c r="F337" t="str">
        <f>_xlfn.XLOOKUP(C337, '75'!$C$2:$C$1142, '75'!$F$2:$F$1142)</f>
        <v>no</v>
      </c>
    </row>
    <row r="338" spans="1:6" x14ac:dyDescent="0.45">
      <c r="A338" t="s">
        <v>1003</v>
      </c>
      <c r="B338" t="s">
        <v>1004</v>
      </c>
      <c r="C338">
        <v>8552760400</v>
      </c>
      <c r="D338">
        <v>57278336100</v>
      </c>
      <c r="E338">
        <v>80</v>
      </c>
      <c r="F338" t="str">
        <f>_xlfn.XLOOKUP(C338, '75'!$C$2:$C$1142, '75'!$F$2:$F$1142)</f>
        <v>no</v>
      </c>
    </row>
    <row r="339" spans="1:6" x14ac:dyDescent="0.45">
      <c r="A339" t="s">
        <v>1006</v>
      </c>
      <c r="B339" t="s">
        <v>1008</v>
      </c>
      <c r="C339">
        <v>59619524600</v>
      </c>
      <c r="D339">
        <v>57218865182</v>
      </c>
      <c r="E339">
        <v>83</v>
      </c>
      <c r="F339" t="str">
        <f>_xlfn.XLOOKUP(C339, '75'!$C$2:$C$1142, '75'!$F$2:$F$1142)</f>
        <v>no</v>
      </c>
    </row>
    <row r="340" spans="1:6" x14ac:dyDescent="0.45">
      <c r="A340" t="s">
        <v>1009</v>
      </c>
      <c r="B340" t="s">
        <v>1013</v>
      </c>
      <c r="C340">
        <v>57192109237</v>
      </c>
      <c r="D340">
        <v>7601513640</v>
      </c>
      <c r="E340">
        <v>80</v>
      </c>
      <c r="F340" t="str">
        <f>_xlfn.XLOOKUP(C340, '75'!$C$2:$C$1142, '75'!$F$2:$F$1142)</f>
        <v>no</v>
      </c>
    </row>
    <row r="341" spans="1:6" x14ac:dyDescent="0.45">
      <c r="A341" t="s">
        <v>1015</v>
      </c>
      <c r="B341" t="s">
        <v>1016</v>
      </c>
      <c r="C341">
        <v>56178007800</v>
      </c>
      <c r="D341">
        <v>57221311967</v>
      </c>
      <c r="E341">
        <v>93</v>
      </c>
      <c r="F341" t="str">
        <f>_xlfn.XLOOKUP(C341, '75'!$C$2:$C$1142, '75'!$F$2:$F$1142)</f>
        <v>no</v>
      </c>
    </row>
    <row r="342" spans="1:6" x14ac:dyDescent="0.45">
      <c r="A342" t="s">
        <v>1017</v>
      </c>
      <c r="B342" t="s">
        <v>1018</v>
      </c>
      <c r="C342">
        <v>57204153607</v>
      </c>
      <c r="D342">
        <v>57201989467</v>
      </c>
      <c r="E342">
        <v>80</v>
      </c>
      <c r="F342" t="str">
        <f>_xlfn.XLOOKUP(C342, '75'!$C$2:$C$1142, '75'!$F$2:$F$1142)</f>
        <v>no</v>
      </c>
    </row>
    <row r="343" spans="1:6" x14ac:dyDescent="0.45">
      <c r="A343" t="s">
        <v>1021</v>
      </c>
      <c r="B343" t="s">
        <v>1022</v>
      </c>
      <c r="C343">
        <v>57732522000</v>
      </c>
      <c r="D343">
        <v>57207046672</v>
      </c>
      <c r="E343">
        <v>80</v>
      </c>
      <c r="F343" t="str">
        <f>_xlfn.XLOOKUP(C343, '75'!$C$2:$C$1142, '75'!$F$2:$F$1142)</f>
        <v>no</v>
      </c>
    </row>
    <row r="344" spans="1:6" x14ac:dyDescent="0.45">
      <c r="A344" t="s">
        <v>1023</v>
      </c>
      <c r="B344" t="s">
        <v>1024</v>
      </c>
      <c r="C344">
        <v>57202576436</v>
      </c>
      <c r="D344">
        <v>57225083226</v>
      </c>
      <c r="E344">
        <v>80</v>
      </c>
      <c r="F344" t="str">
        <f>_xlfn.XLOOKUP(C344, '75'!$C$2:$C$1142, '75'!$F$2:$F$1142)</f>
        <v>no</v>
      </c>
    </row>
    <row r="345" spans="1:6" x14ac:dyDescent="0.45">
      <c r="A345" t="s">
        <v>1023</v>
      </c>
      <c r="B345" t="s">
        <v>1028</v>
      </c>
      <c r="C345">
        <v>57202576436</v>
      </c>
      <c r="D345">
        <v>57215193390</v>
      </c>
      <c r="E345">
        <v>84</v>
      </c>
      <c r="F345" t="str">
        <f>_xlfn.XLOOKUP(C345, '75'!$C$2:$C$1142, '75'!$F$2:$F$1142)</f>
        <v>no</v>
      </c>
    </row>
    <row r="346" spans="1:6" x14ac:dyDescent="0.45">
      <c r="A346" t="s">
        <v>1023</v>
      </c>
      <c r="B346" t="s">
        <v>1012</v>
      </c>
      <c r="C346">
        <v>57202576436</v>
      </c>
      <c r="D346">
        <v>55718418500</v>
      </c>
      <c r="E346">
        <v>80</v>
      </c>
      <c r="F346" t="str">
        <f>_xlfn.XLOOKUP(C346, '75'!$C$2:$C$1142, '75'!$F$2:$F$1142)</f>
        <v>no</v>
      </c>
    </row>
    <row r="347" spans="1:6" x14ac:dyDescent="0.45">
      <c r="A347" t="s">
        <v>1023</v>
      </c>
      <c r="B347" t="s">
        <v>1030</v>
      </c>
      <c r="C347">
        <v>57202576436</v>
      </c>
      <c r="D347">
        <v>55712748700</v>
      </c>
      <c r="E347">
        <v>80</v>
      </c>
      <c r="F347" t="str">
        <f>_xlfn.XLOOKUP(C347, '75'!$C$2:$C$1142, '75'!$F$2:$F$1142)</f>
        <v>no</v>
      </c>
    </row>
    <row r="348" spans="1:6" x14ac:dyDescent="0.45">
      <c r="A348" t="s">
        <v>1031</v>
      </c>
      <c r="B348" t="s">
        <v>1032</v>
      </c>
      <c r="C348">
        <v>57202638979</v>
      </c>
      <c r="D348">
        <v>57198861619</v>
      </c>
      <c r="E348">
        <v>83</v>
      </c>
      <c r="F348" t="str">
        <f>_xlfn.XLOOKUP(C348, '75'!$C$2:$C$1142, '75'!$F$2:$F$1142)</f>
        <v>no</v>
      </c>
    </row>
    <row r="349" spans="1:6" x14ac:dyDescent="0.45">
      <c r="A349" t="s">
        <v>1024</v>
      </c>
      <c r="B349" t="s">
        <v>1035</v>
      </c>
      <c r="C349">
        <v>57225083226</v>
      </c>
      <c r="D349">
        <v>57200661953</v>
      </c>
      <c r="E349">
        <v>82</v>
      </c>
      <c r="F349" t="str">
        <f>_xlfn.XLOOKUP(C349, '75'!$C$2:$C$1142, '75'!$F$2:$F$1142)</f>
        <v>no</v>
      </c>
    </row>
    <row r="350" spans="1:6" x14ac:dyDescent="0.45">
      <c r="A350" t="s">
        <v>1024</v>
      </c>
      <c r="B350" t="s">
        <v>995</v>
      </c>
      <c r="C350">
        <v>57225083226</v>
      </c>
      <c r="D350">
        <v>58097854500</v>
      </c>
      <c r="E350">
        <v>80</v>
      </c>
      <c r="F350" t="str">
        <f>_xlfn.XLOOKUP(C350, '75'!$C$2:$C$1142, '75'!$F$2:$F$1142)</f>
        <v>no</v>
      </c>
    </row>
    <row r="351" spans="1:6" x14ac:dyDescent="0.45">
      <c r="A351" t="s">
        <v>1024</v>
      </c>
      <c r="B351" t="s">
        <v>1026</v>
      </c>
      <c r="C351">
        <v>57225083226</v>
      </c>
      <c r="D351">
        <v>57218868125</v>
      </c>
      <c r="E351">
        <v>80</v>
      </c>
      <c r="F351" t="str">
        <f>_xlfn.XLOOKUP(C351, '75'!$C$2:$C$1142, '75'!$F$2:$F$1142)</f>
        <v>no</v>
      </c>
    </row>
    <row r="352" spans="1:6" x14ac:dyDescent="0.45">
      <c r="A352" t="s">
        <v>1024</v>
      </c>
      <c r="B352" t="s">
        <v>1029</v>
      </c>
      <c r="C352">
        <v>57225083226</v>
      </c>
      <c r="D352">
        <v>57222498131</v>
      </c>
      <c r="E352">
        <v>82</v>
      </c>
      <c r="F352" t="str">
        <f>_xlfn.XLOOKUP(C352, '75'!$C$2:$C$1142, '75'!$F$2:$F$1142)</f>
        <v>no</v>
      </c>
    </row>
    <row r="353" spans="1:6" x14ac:dyDescent="0.45">
      <c r="A353" t="s">
        <v>1024</v>
      </c>
      <c r="B353" t="s">
        <v>1013</v>
      </c>
      <c r="C353">
        <v>57225083226</v>
      </c>
      <c r="D353">
        <v>7601513640</v>
      </c>
      <c r="E353">
        <v>80</v>
      </c>
      <c r="F353" t="str">
        <f>_xlfn.XLOOKUP(C353, '75'!$C$2:$C$1142, '75'!$F$2:$F$1142)</f>
        <v>no</v>
      </c>
    </row>
    <row r="354" spans="1:6" x14ac:dyDescent="0.45">
      <c r="A354" t="s">
        <v>994</v>
      </c>
      <c r="B354" t="s">
        <v>995</v>
      </c>
      <c r="C354">
        <v>58653787300</v>
      </c>
      <c r="D354">
        <v>58097854500</v>
      </c>
      <c r="E354">
        <v>84</v>
      </c>
      <c r="F354" t="str">
        <f>_xlfn.XLOOKUP(C354, '75'!$C$2:$C$1142, '75'!$F$2:$F$1142)</f>
        <v>no</v>
      </c>
    </row>
    <row r="355" spans="1:6" x14ac:dyDescent="0.45">
      <c r="A355" t="s">
        <v>990</v>
      </c>
      <c r="B355" t="s">
        <v>991</v>
      </c>
      <c r="C355">
        <v>57216315221</v>
      </c>
      <c r="D355">
        <v>57206601221</v>
      </c>
      <c r="E355">
        <v>86</v>
      </c>
      <c r="F355" t="str">
        <f>_xlfn.XLOOKUP(C355, '75'!$C$2:$C$1142, '75'!$F$2:$F$1142)</f>
        <v>no</v>
      </c>
    </row>
    <row r="356" spans="1:6" x14ac:dyDescent="0.45">
      <c r="A356" t="s">
        <v>1052</v>
      </c>
      <c r="B356" t="s">
        <v>1053</v>
      </c>
      <c r="C356">
        <v>58864775700</v>
      </c>
      <c r="D356">
        <v>58118977100</v>
      </c>
      <c r="E356">
        <v>85</v>
      </c>
      <c r="F356" t="str">
        <f>_xlfn.XLOOKUP(C356, '75'!$C$2:$C$1142, '75'!$F$2:$F$1142)</f>
        <v>no</v>
      </c>
    </row>
    <row r="357" spans="1:6" x14ac:dyDescent="0.45">
      <c r="A357" t="s">
        <v>1053</v>
      </c>
      <c r="B357" t="s">
        <v>1025</v>
      </c>
      <c r="C357">
        <v>58118977100</v>
      </c>
      <c r="D357">
        <v>57212385020</v>
      </c>
      <c r="E357">
        <v>82</v>
      </c>
      <c r="F357" t="str">
        <f>_xlfn.XLOOKUP(C357, '75'!$C$2:$C$1142, '75'!$F$2:$F$1142)</f>
        <v>no</v>
      </c>
    </row>
    <row r="358" spans="1:6" x14ac:dyDescent="0.45">
      <c r="A358" t="s">
        <v>1053</v>
      </c>
      <c r="B358" t="s">
        <v>1037</v>
      </c>
      <c r="C358">
        <v>58118977100</v>
      </c>
      <c r="D358">
        <v>58867040100</v>
      </c>
      <c r="E358">
        <v>87</v>
      </c>
      <c r="F358" t="str">
        <f>_xlfn.XLOOKUP(C358, '75'!$C$2:$C$1142, '75'!$F$2:$F$1142)</f>
        <v>no</v>
      </c>
    </row>
    <row r="359" spans="1:6" x14ac:dyDescent="0.45">
      <c r="A359" t="s">
        <v>1025</v>
      </c>
      <c r="B359" t="s">
        <v>1011</v>
      </c>
      <c r="C359">
        <v>57212385020</v>
      </c>
      <c r="D359">
        <v>59815240100</v>
      </c>
      <c r="E359">
        <v>84</v>
      </c>
      <c r="F359" t="str">
        <f>_xlfn.XLOOKUP(C359, '75'!$C$2:$C$1142, '75'!$F$2:$F$1142)</f>
        <v>no</v>
      </c>
    </row>
    <row r="360" spans="1:6" x14ac:dyDescent="0.45">
      <c r="A360" t="s">
        <v>1025</v>
      </c>
      <c r="B360" t="s">
        <v>1029</v>
      </c>
      <c r="C360">
        <v>57212385020</v>
      </c>
      <c r="D360">
        <v>57222498131</v>
      </c>
      <c r="E360">
        <v>80</v>
      </c>
      <c r="F360" t="str">
        <f>_xlfn.XLOOKUP(C360, '75'!$C$2:$C$1142, '75'!$F$2:$F$1142)</f>
        <v>no</v>
      </c>
    </row>
    <row r="361" spans="1:6" x14ac:dyDescent="0.45">
      <c r="A361" t="s">
        <v>1036</v>
      </c>
      <c r="B361" t="s">
        <v>1014</v>
      </c>
      <c r="C361">
        <v>59662621300</v>
      </c>
      <c r="D361">
        <v>57218475801</v>
      </c>
      <c r="E361">
        <v>80</v>
      </c>
      <c r="F361" t="str">
        <f>_xlfn.XLOOKUP(C361, '75'!$C$2:$C$1142, '75'!$F$2:$F$1142)</f>
        <v>no</v>
      </c>
    </row>
    <row r="362" spans="1:6" x14ac:dyDescent="0.45">
      <c r="A362" t="s">
        <v>1041</v>
      </c>
      <c r="B362" t="s">
        <v>995</v>
      </c>
      <c r="C362">
        <v>57219265536</v>
      </c>
      <c r="D362">
        <v>58097854500</v>
      </c>
      <c r="E362">
        <v>80</v>
      </c>
      <c r="F362" t="str">
        <f>_xlfn.XLOOKUP(C362, '75'!$C$2:$C$1142, '75'!$F$2:$F$1142)</f>
        <v>no</v>
      </c>
    </row>
    <row r="363" spans="1:6" x14ac:dyDescent="0.45">
      <c r="A363" t="s">
        <v>1041</v>
      </c>
      <c r="B363" t="s">
        <v>1055</v>
      </c>
      <c r="C363">
        <v>57219265536</v>
      </c>
      <c r="D363">
        <v>59474255400</v>
      </c>
      <c r="E363">
        <v>86</v>
      </c>
      <c r="F363" t="str">
        <f>_xlfn.XLOOKUP(C363, '75'!$C$2:$C$1142, '75'!$F$2:$F$1142)</f>
        <v>no</v>
      </c>
    </row>
    <row r="364" spans="1:6" x14ac:dyDescent="0.45">
      <c r="A364" t="s">
        <v>1047</v>
      </c>
      <c r="B364" t="s">
        <v>991</v>
      </c>
      <c r="C364">
        <v>57221799820</v>
      </c>
      <c r="D364">
        <v>57206601221</v>
      </c>
      <c r="E364">
        <v>85</v>
      </c>
      <c r="F364" t="str">
        <f>_xlfn.XLOOKUP(C364, '75'!$C$2:$C$1142, '75'!$F$2:$F$1142)</f>
        <v>no</v>
      </c>
    </row>
    <row r="365" spans="1:6" x14ac:dyDescent="0.45">
      <c r="A365" t="s">
        <v>1047</v>
      </c>
      <c r="B365" t="s">
        <v>1056</v>
      </c>
      <c r="C365">
        <v>57221799820</v>
      </c>
      <c r="D365">
        <v>58527206800</v>
      </c>
      <c r="E365">
        <v>80</v>
      </c>
      <c r="F365" t="str">
        <f>_xlfn.XLOOKUP(C365, '75'!$C$2:$C$1142, '75'!$F$2:$F$1142)</f>
        <v>no</v>
      </c>
    </row>
    <row r="366" spans="1:6" x14ac:dyDescent="0.45">
      <c r="A366" t="s">
        <v>985</v>
      </c>
      <c r="B366" t="s">
        <v>1026</v>
      </c>
      <c r="C366">
        <v>57226131863</v>
      </c>
      <c r="D366">
        <v>57218868125</v>
      </c>
      <c r="E366">
        <v>89</v>
      </c>
      <c r="F366" t="str">
        <f>_xlfn.XLOOKUP(C366, '75'!$C$2:$C$1142, '75'!$F$2:$F$1142)</f>
        <v>no</v>
      </c>
    </row>
    <row r="367" spans="1:6" x14ac:dyDescent="0.45">
      <c r="A367" t="s">
        <v>1037</v>
      </c>
      <c r="B367" t="s">
        <v>1011</v>
      </c>
      <c r="C367">
        <v>58867040100</v>
      </c>
      <c r="D367">
        <v>59815240100</v>
      </c>
      <c r="E367">
        <v>80</v>
      </c>
      <c r="F367" t="str">
        <f>_xlfn.XLOOKUP(C367, '75'!$C$2:$C$1142, '75'!$F$2:$F$1142)</f>
        <v>no</v>
      </c>
    </row>
    <row r="368" spans="1:6" x14ac:dyDescent="0.45">
      <c r="A368" t="s">
        <v>995</v>
      </c>
      <c r="B368" t="s">
        <v>993</v>
      </c>
      <c r="C368">
        <v>58097854500</v>
      </c>
      <c r="D368">
        <v>59537723600</v>
      </c>
      <c r="E368">
        <v>82</v>
      </c>
      <c r="F368" t="str">
        <f>_xlfn.XLOOKUP(C368, '75'!$C$2:$C$1142, '75'!$F$2:$F$1142)</f>
        <v>no</v>
      </c>
    </row>
    <row r="369" spans="1:6" x14ac:dyDescent="0.45">
      <c r="A369" t="s">
        <v>1026</v>
      </c>
      <c r="B369" t="s">
        <v>1054</v>
      </c>
      <c r="C369">
        <v>57218868125</v>
      </c>
      <c r="D369">
        <v>57220783660</v>
      </c>
      <c r="E369">
        <v>84</v>
      </c>
      <c r="F369" t="str">
        <f>_xlfn.XLOOKUP(C369, '75'!$C$2:$C$1142, '75'!$F$2:$F$1142)</f>
        <v>no</v>
      </c>
    </row>
    <row r="370" spans="1:6" x14ac:dyDescent="0.45">
      <c r="A370" t="s">
        <v>1026</v>
      </c>
      <c r="B370" t="s">
        <v>1030</v>
      </c>
      <c r="C370">
        <v>57218868125</v>
      </c>
      <c r="D370">
        <v>55712748700</v>
      </c>
      <c r="E370">
        <v>80</v>
      </c>
      <c r="F370" t="str">
        <f>_xlfn.XLOOKUP(C370, '75'!$C$2:$C$1142, '75'!$F$2:$F$1142)</f>
        <v>no</v>
      </c>
    </row>
    <row r="371" spans="1:6" x14ac:dyDescent="0.45">
      <c r="A371" t="s">
        <v>1027</v>
      </c>
      <c r="B371" t="s">
        <v>1030</v>
      </c>
      <c r="C371">
        <v>59560883400</v>
      </c>
      <c r="D371">
        <v>55712748700</v>
      </c>
      <c r="E371">
        <v>80</v>
      </c>
      <c r="F371" t="str">
        <f>_xlfn.XLOOKUP(C371, '75'!$C$2:$C$1142, '75'!$F$2:$F$1142)</f>
        <v>no</v>
      </c>
    </row>
    <row r="372" spans="1:6" x14ac:dyDescent="0.45">
      <c r="A372" t="s">
        <v>1058</v>
      </c>
      <c r="B372" t="s">
        <v>1059</v>
      </c>
      <c r="C372">
        <v>59658256200</v>
      </c>
      <c r="D372">
        <v>57226715462</v>
      </c>
      <c r="E372">
        <v>80</v>
      </c>
      <c r="F372" t="str">
        <f>_xlfn.XLOOKUP(C372, '75'!$C$2:$C$1142, '75'!$F$2:$F$1142)</f>
        <v>no</v>
      </c>
    </row>
    <row r="373" spans="1:6" x14ac:dyDescent="0.45">
      <c r="A373" t="s">
        <v>1010</v>
      </c>
      <c r="B373" t="s">
        <v>1029</v>
      </c>
      <c r="C373">
        <v>57216771994</v>
      </c>
      <c r="D373">
        <v>57222498131</v>
      </c>
      <c r="E373">
        <v>84</v>
      </c>
      <c r="F373" t="str">
        <f>_xlfn.XLOOKUP(C373, '75'!$C$2:$C$1142, '75'!$F$2:$F$1142)</f>
        <v>no</v>
      </c>
    </row>
    <row r="374" spans="1:6" x14ac:dyDescent="0.45">
      <c r="A374" t="s">
        <v>1010</v>
      </c>
      <c r="B374" t="s">
        <v>1013</v>
      </c>
      <c r="C374">
        <v>57216771994</v>
      </c>
      <c r="D374">
        <v>7601513640</v>
      </c>
      <c r="E374">
        <v>94</v>
      </c>
      <c r="F374" t="str">
        <f>_xlfn.XLOOKUP(C374, '75'!$C$2:$C$1142, '75'!$F$2:$F$1142)</f>
        <v>no</v>
      </c>
    </row>
    <row r="375" spans="1:6" x14ac:dyDescent="0.45">
      <c r="A375" t="s">
        <v>996</v>
      </c>
      <c r="B375" t="s">
        <v>1014</v>
      </c>
      <c r="C375">
        <v>59773982900</v>
      </c>
      <c r="D375">
        <v>57218475801</v>
      </c>
      <c r="E375">
        <v>80</v>
      </c>
      <c r="F375" t="str">
        <f>_xlfn.XLOOKUP(C375, '75'!$C$2:$C$1142, '75'!$F$2:$F$1142)</f>
        <v>no</v>
      </c>
    </row>
    <row r="376" spans="1:6" x14ac:dyDescent="0.45">
      <c r="A376" t="s">
        <v>1029</v>
      </c>
      <c r="B376" t="s">
        <v>1013</v>
      </c>
      <c r="C376">
        <v>57222498131</v>
      </c>
      <c r="D376">
        <v>7601513640</v>
      </c>
      <c r="E376">
        <v>89</v>
      </c>
      <c r="F376" t="str">
        <f>_xlfn.XLOOKUP(C376, '75'!$C$2:$C$1142, '75'!$F$2:$F$1142)</f>
        <v>no</v>
      </c>
    </row>
    <row r="377" spans="1:6" x14ac:dyDescent="0.45">
      <c r="A377" t="s">
        <v>1030</v>
      </c>
      <c r="B377" t="s">
        <v>1013</v>
      </c>
      <c r="C377">
        <v>55712748700</v>
      </c>
      <c r="D377">
        <v>7601513640</v>
      </c>
      <c r="E377">
        <v>80</v>
      </c>
      <c r="F377" t="str">
        <f>_xlfn.XLOOKUP(C377, '75'!$C$2:$C$1142, '75'!$F$2:$F$1142)</f>
        <v>no</v>
      </c>
    </row>
    <row r="378" spans="1:6" x14ac:dyDescent="0.45">
      <c r="A378" t="s">
        <v>1068</v>
      </c>
      <c r="B378" t="s">
        <v>1069</v>
      </c>
      <c r="C378">
        <v>57196732836</v>
      </c>
      <c r="D378">
        <v>57188645378</v>
      </c>
      <c r="E378">
        <v>80</v>
      </c>
      <c r="F378" t="str">
        <f>_xlfn.XLOOKUP(C378, '75'!$C$2:$C$1142, '75'!$F$2:$F$1142)</f>
        <v>no</v>
      </c>
    </row>
    <row r="379" spans="1:6" x14ac:dyDescent="0.45">
      <c r="A379" t="s">
        <v>1073</v>
      </c>
      <c r="B379" t="s">
        <v>1074</v>
      </c>
      <c r="C379">
        <v>24443034100</v>
      </c>
      <c r="D379">
        <v>57248304100</v>
      </c>
      <c r="E379">
        <v>85</v>
      </c>
      <c r="F379" t="str">
        <f>_xlfn.XLOOKUP(C379, '75'!$C$2:$C$1142, '75'!$F$2:$F$1142)</f>
        <v>ok</v>
      </c>
    </row>
    <row r="380" spans="1:6" x14ac:dyDescent="0.45">
      <c r="A380" t="s">
        <v>1082</v>
      </c>
      <c r="B380" t="s">
        <v>1083</v>
      </c>
      <c r="C380">
        <v>57207812926</v>
      </c>
      <c r="D380">
        <v>57203390142</v>
      </c>
      <c r="E380">
        <v>86</v>
      </c>
      <c r="F380" t="str">
        <f>_xlfn.XLOOKUP(C380, '75'!$C$2:$C$1142, '75'!$F$2:$F$1142)</f>
        <v>no</v>
      </c>
    </row>
    <row r="381" spans="1:6" x14ac:dyDescent="0.45">
      <c r="A381" t="s">
        <v>1086</v>
      </c>
      <c r="B381" t="s">
        <v>1087</v>
      </c>
      <c r="C381">
        <v>35147042400</v>
      </c>
      <c r="D381">
        <v>57219498582</v>
      </c>
      <c r="E381">
        <v>95</v>
      </c>
      <c r="F381" t="str">
        <f>_xlfn.XLOOKUP(C381, '75'!$C$2:$C$1142, '75'!$F$2:$F$1142)</f>
        <v>no</v>
      </c>
    </row>
    <row r="382" spans="1:6" x14ac:dyDescent="0.45">
      <c r="A382" t="s">
        <v>1093</v>
      </c>
      <c r="B382" t="s">
        <v>1094</v>
      </c>
      <c r="C382">
        <v>57197518788</v>
      </c>
      <c r="D382">
        <v>57581006200</v>
      </c>
      <c r="E382">
        <v>86</v>
      </c>
      <c r="F382" t="str">
        <f>_xlfn.XLOOKUP(C382, '75'!$C$2:$C$1142, '75'!$F$2:$F$1142)</f>
        <v>no</v>
      </c>
    </row>
    <row r="383" spans="1:6" x14ac:dyDescent="0.45">
      <c r="A383" t="s">
        <v>1096</v>
      </c>
      <c r="B383" t="s">
        <v>1097</v>
      </c>
      <c r="C383">
        <v>57221630135</v>
      </c>
      <c r="D383">
        <v>57718687400</v>
      </c>
      <c r="E383">
        <v>82</v>
      </c>
      <c r="F383" t="str">
        <f>_xlfn.XLOOKUP(C383, '75'!$C$2:$C$1142, '75'!$F$2:$F$1142)</f>
        <v>no</v>
      </c>
    </row>
    <row r="384" spans="1:6" x14ac:dyDescent="0.45">
      <c r="A384" t="s">
        <v>1092</v>
      </c>
      <c r="B384" t="s">
        <v>1098</v>
      </c>
      <c r="C384">
        <v>59705724000</v>
      </c>
      <c r="D384">
        <v>57956141800</v>
      </c>
      <c r="E384">
        <v>82</v>
      </c>
      <c r="F384" t="str">
        <f>_xlfn.XLOOKUP(C384, '75'!$C$2:$C$1142, '75'!$F$2:$F$1142)</f>
        <v>no</v>
      </c>
    </row>
    <row r="385" spans="1:6" x14ac:dyDescent="0.45">
      <c r="A385" t="s">
        <v>1100</v>
      </c>
      <c r="B385" t="s">
        <v>1101</v>
      </c>
      <c r="C385">
        <v>55685656900</v>
      </c>
      <c r="D385">
        <v>57219838274</v>
      </c>
      <c r="E385">
        <v>87</v>
      </c>
      <c r="F385" t="str">
        <f>_xlfn.XLOOKUP(C385, '75'!$C$2:$C$1142, '75'!$F$2:$F$1142)</f>
        <v>ok</v>
      </c>
    </row>
    <row r="386" spans="1:6" x14ac:dyDescent="0.45">
      <c r="A386" t="s">
        <v>1103</v>
      </c>
      <c r="B386" t="s">
        <v>1104</v>
      </c>
      <c r="C386">
        <v>59130540100</v>
      </c>
      <c r="D386">
        <v>57193678960</v>
      </c>
      <c r="E386">
        <v>84</v>
      </c>
      <c r="F386" t="str">
        <f>_xlfn.XLOOKUP(C386, '75'!$C$2:$C$1142, '75'!$F$2:$F$1142)</f>
        <v>no</v>
      </c>
    </row>
    <row r="387" spans="1:6" x14ac:dyDescent="0.45">
      <c r="A387" t="s">
        <v>1103</v>
      </c>
      <c r="B387" t="s">
        <v>1106</v>
      </c>
      <c r="C387">
        <v>59130540100</v>
      </c>
      <c r="D387">
        <v>56675471800</v>
      </c>
      <c r="E387">
        <v>89</v>
      </c>
      <c r="F387" t="str">
        <f>_xlfn.XLOOKUP(C387, '75'!$C$2:$C$1142, '75'!$F$2:$F$1142)</f>
        <v>no</v>
      </c>
    </row>
    <row r="388" spans="1:6" x14ac:dyDescent="0.45">
      <c r="A388" t="s">
        <v>1103</v>
      </c>
      <c r="B388" t="s">
        <v>1108</v>
      </c>
      <c r="C388">
        <v>59130540100</v>
      </c>
      <c r="D388">
        <v>55330996300</v>
      </c>
      <c r="E388">
        <v>84</v>
      </c>
      <c r="F388" t="str">
        <f>_xlfn.XLOOKUP(C388, '75'!$C$2:$C$1142, '75'!$F$2:$F$1142)</f>
        <v>no</v>
      </c>
    </row>
    <row r="389" spans="1:6" x14ac:dyDescent="0.45">
      <c r="A389" t="s">
        <v>1103</v>
      </c>
      <c r="B389" t="s">
        <v>1109</v>
      </c>
      <c r="C389">
        <v>59130540100</v>
      </c>
      <c r="D389">
        <v>57217109201</v>
      </c>
      <c r="E389">
        <v>80</v>
      </c>
      <c r="F389" t="str">
        <f>_xlfn.XLOOKUP(C389, '75'!$C$2:$C$1142, '75'!$F$2:$F$1142)</f>
        <v>no</v>
      </c>
    </row>
    <row r="390" spans="1:6" x14ac:dyDescent="0.45">
      <c r="A390" t="s">
        <v>1113</v>
      </c>
      <c r="B390" t="s">
        <v>1116</v>
      </c>
      <c r="C390">
        <v>57192375762</v>
      </c>
      <c r="D390">
        <v>57490488200</v>
      </c>
      <c r="E390">
        <v>82</v>
      </c>
      <c r="F390" t="str">
        <f>_xlfn.XLOOKUP(C390, '75'!$C$2:$C$1142, '75'!$F$2:$F$1142)</f>
        <v>no</v>
      </c>
    </row>
    <row r="391" spans="1:6" x14ac:dyDescent="0.45">
      <c r="A391" t="s">
        <v>1113</v>
      </c>
      <c r="B391" t="s">
        <v>1118</v>
      </c>
      <c r="C391">
        <v>57192375762</v>
      </c>
      <c r="D391">
        <v>57928856000</v>
      </c>
      <c r="E391">
        <v>82</v>
      </c>
      <c r="F391" t="str">
        <f>_xlfn.XLOOKUP(C391, '75'!$C$2:$C$1142, '75'!$F$2:$F$1142)</f>
        <v>no</v>
      </c>
    </row>
    <row r="392" spans="1:6" x14ac:dyDescent="0.45">
      <c r="A392" t="s">
        <v>1120</v>
      </c>
      <c r="B392" t="s">
        <v>1121</v>
      </c>
      <c r="C392">
        <v>57191637431</v>
      </c>
      <c r="D392">
        <v>56149865900</v>
      </c>
      <c r="E392">
        <v>84</v>
      </c>
      <c r="F392" t="str">
        <f>_xlfn.XLOOKUP(C392, '75'!$C$2:$C$1142, '75'!$F$2:$F$1142)</f>
        <v>no</v>
      </c>
    </row>
    <row r="393" spans="1:6" x14ac:dyDescent="0.45">
      <c r="A393" t="s">
        <v>1120</v>
      </c>
      <c r="B393" t="s">
        <v>1122</v>
      </c>
      <c r="C393">
        <v>57191637431</v>
      </c>
      <c r="D393">
        <v>57216204512</v>
      </c>
      <c r="E393">
        <v>82</v>
      </c>
      <c r="F393" t="str">
        <f>_xlfn.XLOOKUP(C393, '75'!$C$2:$C$1142, '75'!$F$2:$F$1142)</f>
        <v>no</v>
      </c>
    </row>
    <row r="394" spans="1:6" x14ac:dyDescent="0.45">
      <c r="A394" t="s">
        <v>1120</v>
      </c>
      <c r="B394" t="s">
        <v>1125</v>
      </c>
      <c r="C394">
        <v>57191637431</v>
      </c>
      <c r="D394">
        <v>59504639600</v>
      </c>
      <c r="E394">
        <v>80</v>
      </c>
      <c r="F394" t="str">
        <f>_xlfn.XLOOKUP(C394, '75'!$C$2:$C$1142, '75'!$F$2:$F$1142)</f>
        <v>no</v>
      </c>
    </row>
    <row r="395" spans="1:6" x14ac:dyDescent="0.45">
      <c r="A395" t="s">
        <v>1104</v>
      </c>
      <c r="B395" t="s">
        <v>1105</v>
      </c>
      <c r="C395">
        <v>57193678960</v>
      </c>
      <c r="D395">
        <v>57192159108</v>
      </c>
      <c r="E395">
        <v>84</v>
      </c>
      <c r="F395" t="str">
        <f>_xlfn.XLOOKUP(C395, '75'!$C$2:$C$1142, '75'!$F$2:$F$1142)</f>
        <v>no</v>
      </c>
    </row>
    <row r="396" spans="1:6" x14ac:dyDescent="0.45">
      <c r="A396" t="s">
        <v>1104</v>
      </c>
      <c r="B396" t="s">
        <v>1108</v>
      </c>
      <c r="C396">
        <v>57193678960</v>
      </c>
      <c r="D396">
        <v>55330996300</v>
      </c>
      <c r="E396">
        <v>90</v>
      </c>
      <c r="F396" t="str">
        <f>_xlfn.XLOOKUP(C396, '75'!$C$2:$C$1142, '75'!$F$2:$F$1142)</f>
        <v>no</v>
      </c>
    </row>
    <row r="397" spans="1:6" x14ac:dyDescent="0.45">
      <c r="A397" t="s">
        <v>1104</v>
      </c>
      <c r="B397" t="s">
        <v>1112</v>
      </c>
      <c r="C397">
        <v>57193678960</v>
      </c>
      <c r="D397">
        <v>57220902381</v>
      </c>
      <c r="E397">
        <v>82</v>
      </c>
      <c r="F397" t="str">
        <f>_xlfn.XLOOKUP(C397, '75'!$C$2:$C$1142, '75'!$F$2:$F$1142)</f>
        <v>no</v>
      </c>
    </row>
    <row r="398" spans="1:6" x14ac:dyDescent="0.45">
      <c r="A398" t="s">
        <v>1134</v>
      </c>
      <c r="B398" t="s">
        <v>1137</v>
      </c>
      <c r="C398">
        <v>57202010045</v>
      </c>
      <c r="D398">
        <v>58659062200</v>
      </c>
      <c r="E398">
        <v>96</v>
      </c>
      <c r="F398" t="str">
        <f>_xlfn.XLOOKUP(C398, '75'!$C$2:$C$1142, '75'!$F$2:$F$1142)</f>
        <v>no</v>
      </c>
    </row>
    <row r="399" spans="1:6" x14ac:dyDescent="0.45">
      <c r="A399" t="s">
        <v>1134</v>
      </c>
      <c r="B399" t="s">
        <v>1138</v>
      </c>
      <c r="C399">
        <v>57202010045</v>
      </c>
      <c r="D399">
        <v>56420749300</v>
      </c>
      <c r="E399">
        <v>80</v>
      </c>
      <c r="F399" t="str">
        <f>_xlfn.XLOOKUP(C399, '75'!$C$2:$C$1142, '75'!$F$2:$F$1142)</f>
        <v>no</v>
      </c>
    </row>
    <row r="400" spans="1:6" x14ac:dyDescent="0.45">
      <c r="A400" t="s">
        <v>1105</v>
      </c>
      <c r="B400" t="s">
        <v>1108</v>
      </c>
      <c r="C400">
        <v>57192159108</v>
      </c>
      <c r="D400">
        <v>55330996300</v>
      </c>
      <c r="E400">
        <v>95</v>
      </c>
      <c r="F400" t="str">
        <f>_xlfn.XLOOKUP(C400, '75'!$C$2:$C$1142, '75'!$F$2:$F$1142)</f>
        <v>no</v>
      </c>
    </row>
    <row r="401" spans="1:6" x14ac:dyDescent="0.45">
      <c r="A401" t="s">
        <v>1105</v>
      </c>
      <c r="B401" t="s">
        <v>1127</v>
      </c>
      <c r="C401">
        <v>57192159108</v>
      </c>
      <c r="D401">
        <v>58511137000</v>
      </c>
      <c r="E401">
        <v>82</v>
      </c>
      <c r="F401" t="str">
        <f>_xlfn.XLOOKUP(C401, '75'!$C$2:$C$1142, '75'!$F$2:$F$1142)</f>
        <v>no</v>
      </c>
    </row>
    <row r="402" spans="1:6" x14ac:dyDescent="0.45">
      <c r="A402" t="s">
        <v>1105</v>
      </c>
      <c r="B402" t="s">
        <v>1112</v>
      </c>
      <c r="C402">
        <v>57192159108</v>
      </c>
      <c r="D402">
        <v>57220902381</v>
      </c>
      <c r="E402">
        <v>86</v>
      </c>
      <c r="F402" t="str">
        <f>_xlfn.XLOOKUP(C402, '75'!$C$2:$C$1142, '75'!$F$2:$F$1142)</f>
        <v>no</v>
      </c>
    </row>
    <row r="403" spans="1:6" x14ac:dyDescent="0.45">
      <c r="A403" t="s">
        <v>1106</v>
      </c>
      <c r="B403" t="s">
        <v>1143</v>
      </c>
      <c r="C403">
        <v>56675471800</v>
      </c>
      <c r="D403">
        <v>58148929600</v>
      </c>
      <c r="E403">
        <v>82</v>
      </c>
      <c r="F403" t="str">
        <f>_xlfn.XLOOKUP(C403, '75'!$C$2:$C$1142, '75'!$F$2:$F$1142)</f>
        <v>no</v>
      </c>
    </row>
    <row r="404" spans="1:6" x14ac:dyDescent="0.45">
      <c r="A404" t="s">
        <v>1106</v>
      </c>
      <c r="B404" t="s">
        <v>1109</v>
      </c>
      <c r="C404">
        <v>56675471800</v>
      </c>
      <c r="D404">
        <v>57217109201</v>
      </c>
      <c r="E404">
        <v>80</v>
      </c>
      <c r="F404" t="str">
        <f>_xlfn.XLOOKUP(C404, '75'!$C$2:$C$1142, '75'!$F$2:$F$1142)</f>
        <v>no</v>
      </c>
    </row>
    <row r="405" spans="1:6" x14ac:dyDescent="0.45">
      <c r="A405" t="s">
        <v>1150</v>
      </c>
      <c r="B405" t="s">
        <v>1151</v>
      </c>
      <c r="C405">
        <v>57195335713</v>
      </c>
      <c r="D405">
        <v>57210362788</v>
      </c>
      <c r="E405">
        <v>88</v>
      </c>
      <c r="F405" t="str">
        <f>_xlfn.XLOOKUP(C405, '75'!$C$2:$C$1142, '75'!$F$2:$F$1142)</f>
        <v>no</v>
      </c>
    </row>
    <row r="406" spans="1:6" x14ac:dyDescent="0.45">
      <c r="A406" t="s">
        <v>1150</v>
      </c>
      <c r="B406" t="s">
        <v>1155</v>
      </c>
      <c r="C406">
        <v>57195335713</v>
      </c>
      <c r="D406">
        <v>57216635351</v>
      </c>
      <c r="E406">
        <v>83</v>
      </c>
      <c r="F406" t="str">
        <f>_xlfn.XLOOKUP(C406, '75'!$C$2:$C$1142, '75'!$F$2:$F$1142)</f>
        <v>no</v>
      </c>
    </row>
    <row r="407" spans="1:6" x14ac:dyDescent="0.45">
      <c r="A407" t="s">
        <v>1150</v>
      </c>
      <c r="B407" t="s">
        <v>1159</v>
      </c>
      <c r="C407">
        <v>57195335713</v>
      </c>
      <c r="D407">
        <v>59814155200</v>
      </c>
      <c r="E407">
        <v>86</v>
      </c>
      <c r="F407" t="str">
        <f>_xlfn.XLOOKUP(C407, '75'!$C$2:$C$1142, '75'!$F$2:$F$1142)</f>
        <v>no</v>
      </c>
    </row>
    <row r="408" spans="1:6" x14ac:dyDescent="0.45">
      <c r="A408" t="s">
        <v>1160</v>
      </c>
      <c r="B408" t="s">
        <v>1161</v>
      </c>
      <c r="C408">
        <v>56963027800</v>
      </c>
      <c r="D408">
        <v>57214091117</v>
      </c>
      <c r="E408">
        <v>83</v>
      </c>
      <c r="F408" t="str">
        <f>_xlfn.XLOOKUP(C408, '75'!$C$2:$C$1142, '75'!$F$2:$F$1142)</f>
        <v>ok</v>
      </c>
    </row>
    <row r="409" spans="1:6" x14ac:dyDescent="0.45">
      <c r="A409" t="s">
        <v>1101</v>
      </c>
      <c r="B409" t="s">
        <v>1102</v>
      </c>
      <c r="C409">
        <v>57219838274</v>
      </c>
      <c r="D409">
        <v>58368085700</v>
      </c>
      <c r="E409">
        <v>80</v>
      </c>
      <c r="F409" t="str">
        <f>_xlfn.XLOOKUP(C409, '75'!$C$2:$C$1142, '75'!$F$2:$F$1142)</f>
        <v>no</v>
      </c>
    </row>
    <row r="410" spans="1:6" x14ac:dyDescent="0.45">
      <c r="A410" t="s">
        <v>1168</v>
      </c>
      <c r="B410" t="s">
        <v>1117</v>
      </c>
      <c r="C410">
        <v>57565427400</v>
      </c>
      <c r="D410">
        <v>58809508500</v>
      </c>
      <c r="E410">
        <v>83</v>
      </c>
      <c r="F410" t="str">
        <f>_xlfn.XLOOKUP(C410, '75'!$C$2:$C$1142, '75'!$F$2:$F$1142)</f>
        <v>no</v>
      </c>
    </row>
    <row r="411" spans="1:6" x14ac:dyDescent="0.45">
      <c r="A411" t="s">
        <v>1151</v>
      </c>
      <c r="B411" t="s">
        <v>1148</v>
      </c>
      <c r="C411">
        <v>57210362788</v>
      </c>
      <c r="D411">
        <v>57215863345</v>
      </c>
      <c r="E411">
        <v>80</v>
      </c>
      <c r="F411" t="str">
        <f>_xlfn.XLOOKUP(C411, '75'!$C$2:$C$1142, '75'!$F$2:$F$1142)</f>
        <v>no</v>
      </c>
    </row>
    <row r="412" spans="1:6" x14ac:dyDescent="0.45">
      <c r="A412" t="s">
        <v>1143</v>
      </c>
      <c r="B412" t="s">
        <v>1146</v>
      </c>
      <c r="C412">
        <v>58148929600</v>
      </c>
      <c r="D412">
        <v>57732522100</v>
      </c>
      <c r="E412">
        <v>88</v>
      </c>
      <c r="F412" t="str">
        <f>_xlfn.XLOOKUP(C412, '75'!$C$2:$C$1142, '75'!$F$2:$F$1142)</f>
        <v>no</v>
      </c>
    </row>
    <row r="413" spans="1:6" x14ac:dyDescent="0.45">
      <c r="A413" t="s">
        <v>1107</v>
      </c>
      <c r="B413" t="s">
        <v>1172</v>
      </c>
      <c r="C413">
        <v>56083560200</v>
      </c>
      <c r="D413">
        <v>57226464367</v>
      </c>
      <c r="E413">
        <v>80</v>
      </c>
      <c r="F413" t="str">
        <f>_xlfn.XLOOKUP(C413, '75'!$C$2:$C$1142, '75'!$F$2:$F$1142)</f>
        <v>no</v>
      </c>
    </row>
    <row r="414" spans="1:6" x14ac:dyDescent="0.45">
      <c r="A414" t="s">
        <v>1152</v>
      </c>
      <c r="B414" t="s">
        <v>1162</v>
      </c>
      <c r="C414">
        <v>57197774098</v>
      </c>
      <c r="D414">
        <v>57221753163</v>
      </c>
      <c r="E414">
        <v>88</v>
      </c>
      <c r="F414" t="str">
        <f>_xlfn.XLOOKUP(C414, '75'!$C$2:$C$1142, '75'!$F$2:$F$1142)</f>
        <v>no</v>
      </c>
    </row>
    <row r="415" spans="1:6" x14ac:dyDescent="0.45">
      <c r="A415" t="s">
        <v>1152</v>
      </c>
      <c r="B415" t="s">
        <v>1159</v>
      </c>
      <c r="C415">
        <v>57197774098</v>
      </c>
      <c r="D415">
        <v>59814155200</v>
      </c>
      <c r="E415">
        <v>86</v>
      </c>
      <c r="F415" t="str">
        <f>_xlfn.XLOOKUP(C415, '75'!$C$2:$C$1142, '75'!$F$2:$F$1142)</f>
        <v>no</v>
      </c>
    </row>
    <row r="416" spans="1:6" x14ac:dyDescent="0.45">
      <c r="A416" t="s">
        <v>1144</v>
      </c>
      <c r="B416" t="s">
        <v>1130</v>
      </c>
      <c r="C416">
        <v>57219650380</v>
      </c>
      <c r="D416">
        <v>58250313900</v>
      </c>
      <c r="E416">
        <v>80</v>
      </c>
      <c r="F416" t="str">
        <f>_xlfn.XLOOKUP(C416, '75'!$C$2:$C$1142, '75'!$F$2:$F$1142)</f>
        <v>no</v>
      </c>
    </row>
    <row r="417" spans="1:6" x14ac:dyDescent="0.45">
      <c r="A417" t="s">
        <v>1144</v>
      </c>
      <c r="B417" t="s">
        <v>1163</v>
      </c>
      <c r="C417">
        <v>57219650380</v>
      </c>
      <c r="D417">
        <v>59315530000</v>
      </c>
      <c r="E417">
        <v>80</v>
      </c>
      <c r="F417" t="str">
        <f>_xlfn.XLOOKUP(C417, '75'!$C$2:$C$1142, '75'!$F$2:$F$1142)</f>
        <v>no</v>
      </c>
    </row>
    <row r="418" spans="1:6" x14ac:dyDescent="0.45">
      <c r="A418" t="s">
        <v>1175</v>
      </c>
      <c r="B418" t="s">
        <v>1123</v>
      </c>
      <c r="C418">
        <v>57215871469</v>
      </c>
      <c r="D418">
        <v>57388977900</v>
      </c>
      <c r="E418">
        <v>84</v>
      </c>
      <c r="F418" t="str">
        <f>_xlfn.XLOOKUP(C418, '75'!$C$2:$C$1142, '75'!$F$2:$F$1142)</f>
        <v>ok</v>
      </c>
    </row>
    <row r="419" spans="1:6" x14ac:dyDescent="0.45">
      <c r="A419" t="s">
        <v>1175</v>
      </c>
      <c r="B419" t="s">
        <v>1176</v>
      </c>
      <c r="C419">
        <v>57215871469</v>
      </c>
      <c r="D419">
        <v>59469547500</v>
      </c>
      <c r="E419">
        <v>91</v>
      </c>
      <c r="F419" t="str">
        <f>_xlfn.XLOOKUP(C419, '75'!$C$2:$C$1142, '75'!$F$2:$F$1142)</f>
        <v>ok</v>
      </c>
    </row>
    <row r="420" spans="1:6" x14ac:dyDescent="0.45">
      <c r="A420" t="s">
        <v>1153</v>
      </c>
      <c r="B420" t="s">
        <v>1135</v>
      </c>
      <c r="C420">
        <v>56652361000</v>
      </c>
      <c r="D420">
        <v>57234148200</v>
      </c>
      <c r="E420">
        <v>82</v>
      </c>
      <c r="F420" t="str">
        <f>_xlfn.XLOOKUP(C420, '75'!$C$2:$C$1142, '75'!$F$2:$F$1142)</f>
        <v>no</v>
      </c>
    </row>
    <row r="421" spans="1:6" x14ac:dyDescent="0.45">
      <c r="A421" t="s">
        <v>1153</v>
      </c>
      <c r="B421" t="s">
        <v>1156</v>
      </c>
      <c r="C421">
        <v>56652361000</v>
      </c>
      <c r="D421">
        <v>57545971500</v>
      </c>
      <c r="E421">
        <v>80</v>
      </c>
      <c r="F421" t="str">
        <f>_xlfn.XLOOKUP(C421, '75'!$C$2:$C$1142, '75'!$F$2:$F$1142)</f>
        <v>no</v>
      </c>
    </row>
    <row r="422" spans="1:6" x14ac:dyDescent="0.45">
      <c r="A422" t="s">
        <v>1153</v>
      </c>
      <c r="B422" t="s">
        <v>1138</v>
      </c>
      <c r="C422">
        <v>56652361000</v>
      </c>
      <c r="D422">
        <v>56420749300</v>
      </c>
      <c r="E422">
        <v>89</v>
      </c>
      <c r="F422" t="str">
        <f>_xlfn.XLOOKUP(C422, '75'!$C$2:$C$1142, '75'!$F$2:$F$1142)</f>
        <v>no</v>
      </c>
    </row>
    <row r="423" spans="1:6" x14ac:dyDescent="0.45">
      <c r="A423" t="s">
        <v>1153</v>
      </c>
      <c r="B423" t="s">
        <v>1178</v>
      </c>
      <c r="C423">
        <v>56652361000</v>
      </c>
      <c r="D423">
        <v>59359288300</v>
      </c>
      <c r="E423">
        <v>80</v>
      </c>
      <c r="F423" t="str">
        <f>_xlfn.XLOOKUP(C423, '75'!$C$2:$C$1142, '75'!$F$2:$F$1142)</f>
        <v>no</v>
      </c>
    </row>
    <row r="424" spans="1:6" x14ac:dyDescent="0.45">
      <c r="A424" t="s">
        <v>1153</v>
      </c>
      <c r="B424" t="s">
        <v>1142</v>
      </c>
      <c r="C424">
        <v>56652361000</v>
      </c>
      <c r="D424">
        <v>56591076800</v>
      </c>
      <c r="E424">
        <v>89</v>
      </c>
      <c r="F424" t="str">
        <f>_xlfn.XLOOKUP(C424, '75'!$C$2:$C$1142, '75'!$F$2:$F$1142)</f>
        <v>no</v>
      </c>
    </row>
    <row r="425" spans="1:6" x14ac:dyDescent="0.45">
      <c r="A425" t="s">
        <v>1153</v>
      </c>
      <c r="B425" t="s">
        <v>1159</v>
      </c>
      <c r="C425">
        <v>56652361000</v>
      </c>
      <c r="D425">
        <v>59814155200</v>
      </c>
      <c r="E425">
        <v>89</v>
      </c>
      <c r="F425" t="str">
        <f>_xlfn.XLOOKUP(C425, '75'!$C$2:$C$1142, '75'!$F$2:$F$1142)</f>
        <v>no</v>
      </c>
    </row>
    <row r="426" spans="1:6" x14ac:dyDescent="0.45">
      <c r="A426" t="s">
        <v>1171</v>
      </c>
      <c r="B426" t="s">
        <v>1130</v>
      </c>
      <c r="C426">
        <v>58669484300</v>
      </c>
      <c r="D426">
        <v>58250313900</v>
      </c>
      <c r="E426">
        <v>80</v>
      </c>
      <c r="F426" t="str">
        <f>_xlfn.XLOOKUP(C426, '75'!$C$2:$C$1142, '75'!$F$2:$F$1142)</f>
        <v>no</v>
      </c>
    </row>
    <row r="427" spans="1:6" x14ac:dyDescent="0.45">
      <c r="A427" t="s">
        <v>1171</v>
      </c>
      <c r="B427" t="s">
        <v>1111</v>
      </c>
      <c r="C427">
        <v>58669484300</v>
      </c>
      <c r="D427">
        <v>26023886900</v>
      </c>
      <c r="E427">
        <v>86</v>
      </c>
      <c r="F427" t="str">
        <f>_xlfn.XLOOKUP(C427, '75'!$C$2:$C$1142, '75'!$F$2:$F$1142)</f>
        <v>no</v>
      </c>
    </row>
    <row r="428" spans="1:6" x14ac:dyDescent="0.45">
      <c r="A428" t="s">
        <v>1145</v>
      </c>
      <c r="B428" t="s">
        <v>1146</v>
      </c>
      <c r="C428">
        <v>56066618800</v>
      </c>
      <c r="D428">
        <v>57732522100</v>
      </c>
      <c r="E428">
        <v>83</v>
      </c>
      <c r="F428" t="str">
        <f>_xlfn.XLOOKUP(C428, '75'!$C$2:$C$1142, '75'!$F$2:$F$1142)</f>
        <v>no</v>
      </c>
    </row>
    <row r="429" spans="1:6" x14ac:dyDescent="0.45">
      <c r="A429" t="s">
        <v>1145</v>
      </c>
      <c r="B429" t="s">
        <v>1148</v>
      </c>
      <c r="C429">
        <v>56066618800</v>
      </c>
      <c r="D429">
        <v>57215863345</v>
      </c>
      <c r="E429">
        <v>83</v>
      </c>
      <c r="F429" t="str">
        <f>_xlfn.XLOOKUP(C429, '75'!$C$2:$C$1142, '75'!$F$2:$F$1142)</f>
        <v>no</v>
      </c>
    </row>
    <row r="430" spans="1:6" x14ac:dyDescent="0.45">
      <c r="A430" t="s">
        <v>1145</v>
      </c>
      <c r="B430" t="s">
        <v>1170</v>
      </c>
      <c r="C430">
        <v>56066618800</v>
      </c>
      <c r="D430">
        <v>57191914913</v>
      </c>
      <c r="E430">
        <v>80</v>
      </c>
      <c r="F430" t="str">
        <f>_xlfn.XLOOKUP(C430, '75'!$C$2:$C$1142, '75'!$F$2:$F$1142)</f>
        <v>no</v>
      </c>
    </row>
    <row r="431" spans="1:6" x14ac:dyDescent="0.45">
      <c r="A431" t="s">
        <v>1126</v>
      </c>
      <c r="B431" t="s">
        <v>1108</v>
      </c>
      <c r="C431">
        <v>57202358222</v>
      </c>
      <c r="D431">
        <v>55330996300</v>
      </c>
      <c r="E431">
        <v>83</v>
      </c>
      <c r="F431" t="str">
        <f>_xlfn.XLOOKUP(C431, '75'!$C$2:$C$1142, '75'!$F$2:$F$1142)</f>
        <v>no</v>
      </c>
    </row>
    <row r="432" spans="1:6" x14ac:dyDescent="0.45">
      <c r="A432" t="s">
        <v>1126</v>
      </c>
      <c r="B432" t="s">
        <v>1127</v>
      </c>
      <c r="C432">
        <v>57202358222</v>
      </c>
      <c r="D432">
        <v>58511137000</v>
      </c>
      <c r="E432">
        <v>81</v>
      </c>
      <c r="F432" t="str">
        <f>_xlfn.XLOOKUP(C432, '75'!$C$2:$C$1142, '75'!$F$2:$F$1142)</f>
        <v>no</v>
      </c>
    </row>
    <row r="433" spans="1:6" x14ac:dyDescent="0.45">
      <c r="A433" t="s">
        <v>1126</v>
      </c>
      <c r="B433" t="s">
        <v>1128</v>
      </c>
      <c r="C433">
        <v>57202358222</v>
      </c>
      <c r="D433">
        <v>57222133578</v>
      </c>
      <c r="E433">
        <v>86</v>
      </c>
      <c r="F433" t="str">
        <f>_xlfn.XLOOKUP(C433, '75'!$C$2:$C$1142, '75'!$F$2:$F$1142)</f>
        <v>no</v>
      </c>
    </row>
    <row r="434" spans="1:6" x14ac:dyDescent="0.45">
      <c r="A434" t="s">
        <v>1108</v>
      </c>
      <c r="B434" t="s">
        <v>1127</v>
      </c>
      <c r="C434">
        <v>55330996300</v>
      </c>
      <c r="D434">
        <v>58511137000</v>
      </c>
      <c r="E434">
        <v>87</v>
      </c>
      <c r="F434" t="str">
        <f>_xlfn.XLOOKUP(C434, '75'!$C$2:$C$1142, '75'!$F$2:$F$1142)</f>
        <v>no</v>
      </c>
    </row>
    <row r="435" spans="1:6" x14ac:dyDescent="0.45">
      <c r="A435" t="s">
        <v>1108</v>
      </c>
      <c r="B435" t="s">
        <v>1112</v>
      </c>
      <c r="C435">
        <v>55330996300</v>
      </c>
      <c r="D435">
        <v>57220902381</v>
      </c>
      <c r="E435">
        <v>91</v>
      </c>
      <c r="F435" t="str">
        <f>_xlfn.XLOOKUP(C435, '75'!$C$2:$C$1142, '75'!$F$2:$F$1142)</f>
        <v>no</v>
      </c>
    </row>
    <row r="436" spans="1:6" x14ac:dyDescent="0.45">
      <c r="A436" t="s">
        <v>1108</v>
      </c>
      <c r="B436" t="s">
        <v>1128</v>
      </c>
      <c r="C436">
        <v>55330996300</v>
      </c>
      <c r="D436">
        <v>57222133578</v>
      </c>
      <c r="E436">
        <v>83</v>
      </c>
      <c r="F436" t="str">
        <f>_xlfn.XLOOKUP(C436, '75'!$C$2:$C$1142, '75'!$F$2:$F$1142)</f>
        <v>no</v>
      </c>
    </row>
    <row r="437" spans="1:6" x14ac:dyDescent="0.45">
      <c r="A437" t="s">
        <v>1108</v>
      </c>
      <c r="B437" t="s">
        <v>1142</v>
      </c>
      <c r="C437">
        <v>55330996300</v>
      </c>
      <c r="D437">
        <v>56591076800</v>
      </c>
      <c r="E437">
        <v>84</v>
      </c>
      <c r="F437" t="str">
        <f>_xlfn.XLOOKUP(C437, '75'!$C$2:$C$1142, '75'!$F$2:$F$1142)</f>
        <v>no</v>
      </c>
    </row>
    <row r="438" spans="1:6" x14ac:dyDescent="0.45">
      <c r="A438" t="s">
        <v>1181</v>
      </c>
      <c r="B438" t="s">
        <v>1182</v>
      </c>
      <c r="C438">
        <v>56503285300</v>
      </c>
      <c r="D438">
        <v>57609969300</v>
      </c>
      <c r="E438">
        <v>81</v>
      </c>
      <c r="F438" t="str">
        <f>_xlfn.XLOOKUP(C438, '75'!$C$2:$C$1142, '75'!$F$2:$F$1142)</f>
        <v>no</v>
      </c>
    </row>
    <row r="439" spans="1:6" x14ac:dyDescent="0.45">
      <c r="A439" t="s">
        <v>1154</v>
      </c>
      <c r="B439" t="s">
        <v>1130</v>
      </c>
      <c r="C439">
        <v>57654567800</v>
      </c>
      <c r="D439">
        <v>58250313900</v>
      </c>
      <c r="E439">
        <v>80</v>
      </c>
      <c r="F439" t="str">
        <f>_xlfn.XLOOKUP(C439, '75'!$C$2:$C$1142, '75'!$F$2:$F$1142)</f>
        <v>no</v>
      </c>
    </row>
    <row r="440" spans="1:6" x14ac:dyDescent="0.45">
      <c r="A440" t="s">
        <v>1154</v>
      </c>
      <c r="B440" t="s">
        <v>1163</v>
      </c>
      <c r="C440">
        <v>57654567800</v>
      </c>
      <c r="D440">
        <v>59315530000</v>
      </c>
      <c r="E440">
        <v>80</v>
      </c>
      <c r="F440" t="str">
        <f>_xlfn.XLOOKUP(C440, '75'!$C$2:$C$1142, '75'!$F$2:$F$1142)</f>
        <v>no</v>
      </c>
    </row>
    <row r="441" spans="1:6" x14ac:dyDescent="0.45">
      <c r="A441" t="s">
        <v>1146</v>
      </c>
      <c r="B441" t="s">
        <v>1148</v>
      </c>
      <c r="C441">
        <v>57732522100</v>
      </c>
      <c r="D441">
        <v>57215863345</v>
      </c>
      <c r="E441">
        <v>83</v>
      </c>
      <c r="F441" t="str">
        <f>_xlfn.XLOOKUP(C441, '75'!$C$2:$C$1142, '75'!$F$2:$F$1142)</f>
        <v>no</v>
      </c>
    </row>
    <row r="442" spans="1:6" x14ac:dyDescent="0.45">
      <c r="A442" t="s">
        <v>1146</v>
      </c>
      <c r="B442" t="s">
        <v>1170</v>
      </c>
      <c r="C442">
        <v>57732522100</v>
      </c>
      <c r="D442">
        <v>57191914913</v>
      </c>
      <c r="E442">
        <v>80</v>
      </c>
      <c r="F442" t="str">
        <f>_xlfn.XLOOKUP(C442, '75'!$C$2:$C$1142, '75'!$F$2:$F$1142)</f>
        <v>no</v>
      </c>
    </row>
    <row r="443" spans="1:6" x14ac:dyDescent="0.45">
      <c r="A443" t="s">
        <v>1130</v>
      </c>
      <c r="B443" t="s">
        <v>1184</v>
      </c>
      <c r="C443">
        <v>58250313900</v>
      </c>
      <c r="D443">
        <v>59305816100</v>
      </c>
      <c r="E443">
        <v>80</v>
      </c>
      <c r="F443" t="str">
        <f>_xlfn.XLOOKUP(C443, '75'!$C$2:$C$1142, '75'!$F$2:$F$1142)</f>
        <v>no</v>
      </c>
    </row>
    <row r="444" spans="1:6" x14ac:dyDescent="0.45">
      <c r="A444" t="s">
        <v>1130</v>
      </c>
      <c r="B444" t="s">
        <v>1131</v>
      </c>
      <c r="C444">
        <v>58250313900</v>
      </c>
      <c r="D444">
        <v>57195715824</v>
      </c>
      <c r="E444">
        <v>85</v>
      </c>
      <c r="F444" t="str">
        <f>_xlfn.XLOOKUP(C444, '75'!$C$2:$C$1142, '75'!$F$2:$F$1142)</f>
        <v>no</v>
      </c>
    </row>
    <row r="445" spans="1:6" x14ac:dyDescent="0.45">
      <c r="A445" t="s">
        <v>1184</v>
      </c>
      <c r="B445" t="s">
        <v>1131</v>
      </c>
      <c r="C445">
        <v>59305816100</v>
      </c>
      <c r="D445">
        <v>57195715824</v>
      </c>
      <c r="E445">
        <v>88</v>
      </c>
      <c r="F445" t="str">
        <f>_xlfn.XLOOKUP(C445, '75'!$C$2:$C$1142, '75'!$F$2:$F$1142)</f>
        <v>no</v>
      </c>
    </row>
    <row r="446" spans="1:6" x14ac:dyDescent="0.45">
      <c r="A446" t="s">
        <v>1162</v>
      </c>
      <c r="B446" t="s">
        <v>1159</v>
      </c>
      <c r="C446">
        <v>57221753163</v>
      </c>
      <c r="D446">
        <v>59814155200</v>
      </c>
      <c r="E446">
        <v>82</v>
      </c>
      <c r="F446" t="str">
        <f>_xlfn.XLOOKUP(C446, '75'!$C$2:$C$1142, '75'!$F$2:$F$1142)</f>
        <v>no</v>
      </c>
    </row>
    <row r="447" spans="1:6" x14ac:dyDescent="0.45">
      <c r="A447" t="s">
        <v>1135</v>
      </c>
      <c r="B447" t="s">
        <v>1136</v>
      </c>
      <c r="C447">
        <v>57234148200</v>
      </c>
      <c r="D447">
        <v>58484470900</v>
      </c>
      <c r="E447">
        <v>80</v>
      </c>
      <c r="F447" t="str">
        <f>_xlfn.XLOOKUP(C447, '75'!$C$2:$C$1142, '75'!$F$2:$F$1142)</f>
        <v>no</v>
      </c>
    </row>
    <row r="448" spans="1:6" x14ac:dyDescent="0.45">
      <c r="A448" t="s">
        <v>1135</v>
      </c>
      <c r="B448" t="s">
        <v>1137</v>
      </c>
      <c r="C448">
        <v>57234148200</v>
      </c>
      <c r="D448">
        <v>58659062200</v>
      </c>
      <c r="E448">
        <v>80</v>
      </c>
      <c r="F448" t="str">
        <f>_xlfn.XLOOKUP(C448, '75'!$C$2:$C$1142, '75'!$F$2:$F$1142)</f>
        <v>no</v>
      </c>
    </row>
    <row r="449" spans="1:6" x14ac:dyDescent="0.45">
      <c r="A449" t="s">
        <v>1109</v>
      </c>
      <c r="B449" t="s">
        <v>1111</v>
      </c>
      <c r="C449">
        <v>57217109201</v>
      </c>
      <c r="D449">
        <v>26023886900</v>
      </c>
      <c r="E449">
        <v>80</v>
      </c>
      <c r="F449" t="str">
        <f>_xlfn.XLOOKUP(C449, '75'!$C$2:$C$1142, '75'!$F$2:$F$1142)</f>
        <v>no</v>
      </c>
    </row>
    <row r="450" spans="1:6" x14ac:dyDescent="0.45">
      <c r="A450" t="s">
        <v>1123</v>
      </c>
      <c r="B450" t="s">
        <v>1188</v>
      </c>
      <c r="C450">
        <v>57388977900</v>
      </c>
      <c r="D450">
        <v>57215719895</v>
      </c>
      <c r="E450">
        <v>82</v>
      </c>
      <c r="F450" t="str">
        <f>_xlfn.XLOOKUP(C450, '75'!$C$2:$C$1142, '75'!$F$2:$F$1142)</f>
        <v>no</v>
      </c>
    </row>
    <row r="451" spans="1:6" x14ac:dyDescent="0.45">
      <c r="A451" t="s">
        <v>1123</v>
      </c>
      <c r="B451" t="s">
        <v>1125</v>
      </c>
      <c r="C451">
        <v>57388977900</v>
      </c>
      <c r="D451">
        <v>59504639600</v>
      </c>
      <c r="E451">
        <v>80</v>
      </c>
      <c r="F451" t="str">
        <f>_xlfn.XLOOKUP(C451, '75'!$C$2:$C$1142, '75'!$F$2:$F$1142)</f>
        <v>no</v>
      </c>
    </row>
    <row r="452" spans="1:6" x14ac:dyDescent="0.45">
      <c r="A452" t="s">
        <v>1123</v>
      </c>
      <c r="B452" t="s">
        <v>1176</v>
      </c>
      <c r="C452">
        <v>57388977900</v>
      </c>
      <c r="D452">
        <v>59469547500</v>
      </c>
      <c r="E452">
        <v>84</v>
      </c>
      <c r="F452" t="str">
        <f>_xlfn.XLOOKUP(C452, '75'!$C$2:$C$1142, '75'!$F$2:$F$1142)</f>
        <v>no</v>
      </c>
    </row>
    <row r="453" spans="1:6" x14ac:dyDescent="0.45">
      <c r="A453" t="s">
        <v>1155</v>
      </c>
      <c r="B453" t="s">
        <v>1149</v>
      </c>
      <c r="C453">
        <v>57216635351</v>
      </c>
      <c r="D453">
        <v>57445736500</v>
      </c>
      <c r="E453">
        <v>86</v>
      </c>
      <c r="F453" t="str">
        <f>_xlfn.XLOOKUP(C453, '75'!$C$2:$C$1142, '75'!$F$2:$F$1142)</f>
        <v>no</v>
      </c>
    </row>
    <row r="454" spans="1:6" x14ac:dyDescent="0.45">
      <c r="A454" t="s">
        <v>1155</v>
      </c>
      <c r="B454" t="s">
        <v>1159</v>
      </c>
      <c r="C454">
        <v>57216635351</v>
      </c>
      <c r="D454">
        <v>59814155200</v>
      </c>
      <c r="E454">
        <v>86</v>
      </c>
      <c r="F454" t="str">
        <f>_xlfn.XLOOKUP(C454, '75'!$C$2:$C$1142, '75'!$F$2:$F$1142)</f>
        <v>no</v>
      </c>
    </row>
    <row r="455" spans="1:6" x14ac:dyDescent="0.45">
      <c r="A455" t="s">
        <v>1190</v>
      </c>
      <c r="B455" t="s">
        <v>1191</v>
      </c>
      <c r="C455">
        <v>57203870410</v>
      </c>
      <c r="D455">
        <v>56565802200</v>
      </c>
      <c r="E455">
        <v>84</v>
      </c>
      <c r="F455" t="str">
        <f>_xlfn.XLOOKUP(C455, '75'!$C$2:$C$1142, '75'!$F$2:$F$1142)</f>
        <v>no</v>
      </c>
    </row>
    <row r="456" spans="1:6" x14ac:dyDescent="0.45">
      <c r="A456" t="s">
        <v>1163</v>
      </c>
      <c r="B456" t="s">
        <v>1142</v>
      </c>
      <c r="C456">
        <v>59315530000</v>
      </c>
      <c r="D456">
        <v>56591076800</v>
      </c>
      <c r="E456">
        <v>82</v>
      </c>
      <c r="F456" t="str">
        <f>_xlfn.XLOOKUP(C456, '75'!$C$2:$C$1142, '75'!$F$2:$F$1142)</f>
        <v>no</v>
      </c>
    </row>
    <row r="457" spans="1:6" x14ac:dyDescent="0.45">
      <c r="A457" t="s">
        <v>1188</v>
      </c>
      <c r="B457" t="s">
        <v>1124</v>
      </c>
      <c r="C457">
        <v>57215719895</v>
      </c>
      <c r="D457">
        <v>57770966500</v>
      </c>
      <c r="E457">
        <v>82</v>
      </c>
      <c r="F457" t="str">
        <f>_xlfn.XLOOKUP(C457, '75'!$C$2:$C$1142, '75'!$F$2:$F$1142)</f>
        <v>no</v>
      </c>
    </row>
    <row r="458" spans="1:6" x14ac:dyDescent="0.45">
      <c r="A458" t="s">
        <v>1136</v>
      </c>
      <c r="B458" t="s">
        <v>1137</v>
      </c>
      <c r="C458">
        <v>58484470900</v>
      </c>
      <c r="D458">
        <v>58659062200</v>
      </c>
      <c r="E458">
        <v>83</v>
      </c>
      <c r="F458" t="str">
        <f>_xlfn.XLOOKUP(C458, '75'!$C$2:$C$1142, '75'!$F$2:$F$1142)</f>
        <v>no</v>
      </c>
    </row>
    <row r="459" spans="1:6" x14ac:dyDescent="0.45">
      <c r="A459" t="s">
        <v>1136</v>
      </c>
      <c r="B459" t="s">
        <v>1149</v>
      </c>
      <c r="C459">
        <v>58484470900</v>
      </c>
      <c r="D459">
        <v>57445736500</v>
      </c>
      <c r="E459">
        <v>86</v>
      </c>
      <c r="F459" t="str">
        <f>_xlfn.XLOOKUP(C459, '75'!$C$2:$C$1142, '75'!$F$2:$F$1142)</f>
        <v>no</v>
      </c>
    </row>
    <row r="460" spans="1:6" x14ac:dyDescent="0.45">
      <c r="A460" t="s">
        <v>1137</v>
      </c>
      <c r="B460" t="s">
        <v>1138</v>
      </c>
      <c r="C460">
        <v>58659062200</v>
      </c>
      <c r="D460">
        <v>56420749300</v>
      </c>
      <c r="E460">
        <v>86</v>
      </c>
      <c r="F460" t="str">
        <f>_xlfn.XLOOKUP(C460, '75'!$C$2:$C$1142, '75'!$F$2:$F$1142)</f>
        <v>no</v>
      </c>
    </row>
    <row r="461" spans="1:6" x14ac:dyDescent="0.45">
      <c r="A461" t="s">
        <v>1124</v>
      </c>
      <c r="B461" t="s">
        <v>1180</v>
      </c>
      <c r="C461">
        <v>57770966500</v>
      </c>
      <c r="D461">
        <v>58438192400</v>
      </c>
      <c r="E461">
        <v>89</v>
      </c>
      <c r="F461" t="str">
        <f>_xlfn.XLOOKUP(C461, '75'!$C$2:$C$1142, '75'!$F$2:$F$1142)</f>
        <v>no</v>
      </c>
    </row>
    <row r="462" spans="1:6" x14ac:dyDescent="0.45">
      <c r="A462" t="s">
        <v>1124</v>
      </c>
      <c r="B462" t="s">
        <v>1125</v>
      </c>
      <c r="C462">
        <v>57770966500</v>
      </c>
      <c r="D462">
        <v>59504639600</v>
      </c>
      <c r="E462">
        <v>80</v>
      </c>
      <c r="F462" t="str">
        <f>_xlfn.XLOOKUP(C462, '75'!$C$2:$C$1142, '75'!$F$2:$F$1142)</f>
        <v>no</v>
      </c>
    </row>
    <row r="463" spans="1:6" x14ac:dyDescent="0.45">
      <c r="A463" t="s">
        <v>1124</v>
      </c>
      <c r="B463" t="s">
        <v>1142</v>
      </c>
      <c r="C463">
        <v>57770966500</v>
      </c>
      <c r="D463">
        <v>56591076800</v>
      </c>
      <c r="E463">
        <v>82</v>
      </c>
      <c r="F463" t="str">
        <f>_xlfn.XLOOKUP(C463, '75'!$C$2:$C$1142, '75'!$F$2:$F$1142)</f>
        <v>no</v>
      </c>
    </row>
    <row r="464" spans="1:6" x14ac:dyDescent="0.45">
      <c r="A464" t="s">
        <v>1156</v>
      </c>
      <c r="B464" t="s">
        <v>1142</v>
      </c>
      <c r="C464">
        <v>57545971500</v>
      </c>
      <c r="D464">
        <v>56591076800</v>
      </c>
      <c r="E464">
        <v>90</v>
      </c>
      <c r="F464" t="str">
        <f>_xlfn.XLOOKUP(C464, '75'!$C$2:$C$1142, '75'!$F$2:$F$1142)</f>
        <v>no</v>
      </c>
    </row>
    <row r="465" spans="1:6" x14ac:dyDescent="0.45">
      <c r="A465" t="s">
        <v>1156</v>
      </c>
      <c r="B465" t="s">
        <v>1159</v>
      </c>
      <c r="C465">
        <v>57545971500</v>
      </c>
      <c r="D465">
        <v>59814155200</v>
      </c>
      <c r="E465">
        <v>80</v>
      </c>
      <c r="F465" t="str">
        <f>_xlfn.XLOOKUP(C465, '75'!$C$2:$C$1142, '75'!$F$2:$F$1142)</f>
        <v>no</v>
      </c>
    </row>
    <row r="466" spans="1:6" x14ac:dyDescent="0.45">
      <c r="A466" t="s">
        <v>1182</v>
      </c>
      <c r="B466" t="s">
        <v>1142</v>
      </c>
      <c r="C466">
        <v>57609969300</v>
      </c>
      <c r="D466">
        <v>56591076800</v>
      </c>
      <c r="E466">
        <v>82</v>
      </c>
      <c r="F466" t="str">
        <f>_xlfn.XLOOKUP(C466, '75'!$C$2:$C$1142, '75'!$F$2:$F$1142)</f>
        <v>no</v>
      </c>
    </row>
    <row r="467" spans="1:6" x14ac:dyDescent="0.45">
      <c r="A467" t="s">
        <v>1127</v>
      </c>
      <c r="B467" t="s">
        <v>1112</v>
      </c>
      <c r="C467">
        <v>58511137000</v>
      </c>
      <c r="D467">
        <v>57220902381</v>
      </c>
      <c r="E467">
        <v>80</v>
      </c>
      <c r="F467" t="str">
        <f>_xlfn.XLOOKUP(C467, '75'!$C$2:$C$1142, '75'!$F$2:$F$1142)</f>
        <v>no</v>
      </c>
    </row>
    <row r="468" spans="1:6" x14ac:dyDescent="0.45">
      <c r="A468" t="s">
        <v>1127</v>
      </c>
      <c r="B468" t="s">
        <v>1128</v>
      </c>
      <c r="C468">
        <v>58511137000</v>
      </c>
      <c r="D468">
        <v>57222133578</v>
      </c>
      <c r="E468">
        <v>81</v>
      </c>
      <c r="F468" t="str">
        <f>_xlfn.XLOOKUP(C468, '75'!$C$2:$C$1142, '75'!$F$2:$F$1142)</f>
        <v>no</v>
      </c>
    </row>
    <row r="469" spans="1:6" x14ac:dyDescent="0.45">
      <c r="A469" t="s">
        <v>1127</v>
      </c>
      <c r="B469" t="s">
        <v>1142</v>
      </c>
      <c r="C469">
        <v>58511137000</v>
      </c>
      <c r="D469">
        <v>56591076800</v>
      </c>
      <c r="E469">
        <v>82</v>
      </c>
      <c r="F469" t="str">
        <f>_xlfn.XLOOKUP(C469, '75'!$C$2:$C$1142, '75'!$F$2:$F$1142)</f>
        <v>no</v>
      </c>
    </row>
    <row r="470" spans="1:6" x14ac:dyDescent="0.45">
      <c r="A470" t="s">
        <v>1192</v>
      </c>
      <c r="B470" t="s">
        <v>1142</v>
      </c>
      <c r="C470">
        <v>57846861700</v>
      </c>
      <c r="D470">
        <v>56591076800</v>
      </c>
      <c r="E470">
        <v>80</v>
      </c>
      <c r="F470" t="str">
        <f>_xlfn.XLOOKUP(C470, '75'!$C$2:$C$1142, '75'!$F$2:$F$1142)</f>
        <v>no</v>
      </c>
    </row>
    <row r="471" spans="1:6" x14ac:dyDescent="0.45">
      <c r="A471" t="s">
        <v>1158</v>
      </c>
      <c r="B471" t="s">
        <v>1193</v>
      </c>
      <c r="C471">
        <v>54390643800</v>
      </c>
      <c r="D471">
        <v>37084737400</v>
      </c>
      <c r="E471">
        <v>82</v>
      </c>
      <c r="F471" t="str">
        <f>_xlfn.XLOOKUP(C471, '75'!$C$2:$C$1142, '75'!$F$2:$F$1142)</f>
        <v>no</v>
      </c>
    </row>
    <row r="472" spans="1:6" x14ac:dyDescent="0.45">
      <c r="A472" t="s">
        <v>1158</v>
      </c>
      <c r="B472" t="s">
        <v>1149</v>
      </c>
      <c r="C472">
        <v>54390643800</v>
      </c>
      <c r="D472">
        <v>57445736500</v>
      </c>
      <c r="E472">
        <v>80</v>
      </c>
      <c r="F472" t="str">
        <f>_xlfn.XLOOKUP(C472, '75'!$C$2:$C$1142, '75'!$F$2:$F$1142)</f>
        <v>no</v>
      </c>
    </row>
    <row r="473" spans="1:6" x14ac:dyDescent="0.45">
      <c r="A473" t="s">
        <v>1138</v>
      </c>
      <c r="B473" t="s">
        <v>1133</v>
      </c>
      <c r="C473">
        <v>56420749300</v>
      </c>
      <c r="D473">
        <v>58835262000</v>
      </c>
      <c r="E473">
        <v>82</v>
      </c>
      <c r="F473" t="str">
        <f>_xlfn.XLOOKUP(C473, '75'!$C$2:$C$1142, '75'!$F$2:$F$1142)</f>
        <v>no</v>
      </c>
    </row>
    <row r="474" spans="1:6" x14ac:dyDescent="0.45">
      <c r="A474" t="s">
        <v>1138</v>
      </c>
      <c r="B474" t="s">
        <v>1178</v>
      </c>
      <c r="C474">
        <v>56420749300</v>
      </c>
      <c r="D474">
        <v>59359288300</v>
      </c>
      <c r="E474">
        <v>80</v>
      </c>
      <c r="F474" t="str">
        <f>_xlfn.XLOOKUP(C474, '75'!$C$2:$C$1142, '75'!$F$2:$F$1142)</f>
        <v>no</v>
      </c>
    </row>
    <row r="475" spans="1:6" x14ac:dyDescent="0.45">
      <c r="A475" t="s">
        <v>1194</v>
      </c>
      <c r="B475" t="s">
        <v>1187</v>
      </c>
      <c r="C475">
        <v>57218401531</v>
      </c>
      <c r="D475">
        <v>58746456100</v>
      </c>
      <c r="E475">
        <v>84</v>
      </c>
      <c r="F475" t="str">
        <f>_xlfn.XLOOKUP(C475, '75'!$C$2:$C$1142, '75'!$F$2:$F$1142)</f>
        <v>no</v>
      </c>
    </row>
    <row r="476" spans="1:6" x14ac:dyDescent="0.45">
      <c r="A476" t="s">
        <v>1169</v>
      </c>
      <c r="B476" t="s">
        <v>1191</v>
      </c>
      <c r="C476">
        <v>59138795000</v>
      </c>
      <c r="D476">
        <v>56565802200</v>
      </c>
      <c r="E476">
        <v>80</v>
      </c>
      <c r="F476" t="str">
        <f>_xlfn.XLOOKUP(C476, '75'!$C$2:$C$1142, '75'!$F$2:$F$1142)</f>
        <v>no</v>
      </c>
    </row>
    <row r="477" spans="1:6" x14ac:dyDescent="0.45">
      <c r="A477" t="s">
        <v>1119</v>
      </c>
      <c r="B477" t="s">
        <v>1191</v>
      </c>
      <c r="C477">
        <v>57225984973</v>
      </c>
      <c r="D477">
        <v>56565802200</v>
      </c>
      <c r="E477">
        <v>82</v>
      </c>
      <c r="F477" t="str">
        <f>_xlfn.XLOOKUP(C477, '75'!$C$2:$C$1142, '75'!$F$2:$F$1142)</f>
        <v>no</v>
      </c>
    </row>
    <row r="478" spans="1:6" x14ac:dyDescent="0.45">
      <c r="A478" t="s">
        <v>1142</v>
      </c>
      <c r="B478" t="s">
        <v>1159</v>
      </c>
      <c r="C478">
        <v>56591076800</v>
      </c>
      <c r="D478">
        <v>59814155200</v>
      </c>
      <c r="E478">
        <v>89</v>
      </c>
      <c r="F478" t="str">
        <f>_xlfn.XLOOKUP(C478, '75'!$C$2:$C$1142, '75'!$F$2:$F$1142)</f>
        <v>no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14F44-CC8D-4958-807E-C42DC865BBD5}">
  <dimension ref="A1:J316"/>
  <sheetViews>
    <sheetView workbookViewId="0">
      <selection activeCell="F2" sqref="F2"/>
    </sheetView>
  </sheetViews>
  <sheetFormatPr defaultRowHeight="14.25" x14ac:dyDescent="0.45"/>
  <cols>
    <col min="1" max="1" width="21.46484375" bestFit="1" customWidth="1"/>
    <col min="2" max="2" width="23.6640625" bestFit="1" customWidth="1"/>
    <col min="3" max="4" width="11.73046875" bestFit="1" customWidth="1"/>
    <col min="5" max="5" width="13.464843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1200</v>
      </c>
    </row>
    <row r="2" spans="1:10" x14ac:dyDescent="0.45">
      <c r="A2" t="s">
        <v>7</v>
      </c>
      <c r="B2" t="s">
        <v>8</v>
      </c>
      <c r="C2">
        <v>25930284300</v>
      </c>
      <c r="D2">
        <v>57194637587</v>
      </c>
      <c r="E2">
        <v>84</v>
      </c>
      <c r="F2" t="str">
        <f>_xlfn.XLOOKUP(C2, '75'!$C$2:$C$1142, '75'!$F$2:$F$1142)</f>
        <v>no</v>
      </c>
      <c r="H2" t="s">
        <v>1201</v>
      </c>
      <c r="I2">
        <f>COUNTIF(F2:F316, "ok")/315</f>
        <v>0.31428571428571428</v>
      </c>
      <c r="J2">
        <f>I2*315</f>
        <v>99</v>
      </c>
    </row>
    <row r="3" spans="1:10" x14ac:dyDescent="0.45">
      <c r="A3" t="s">
        <v>19</v>
      </c>
      <c r="B3" t="s">
        <v>20</v>
      </c>
      <c r="C3">
        <v>57212395140</v>
      </c>
      <c r="D3">
        <v>56239028500</v>
      </c>
      <c r="E3">
        <v>83</v>
      </c>
      <c r="F3" t="str">
        <f>_xlfn.XLOOKUP(C3, '75'!$C$2:$C$1142, '75'!$F$2:$F$1142)</f>
        <v>no</v>
      </c>
      <c r="I3">
        <f>COUNTIF(F2:F316, "no")/315</f>
        <v>0.68571428571428572</v>
      </c>
      <c r="J3">
        <f>I3*315</f>
        <v>216</v>
      </c>
    </row>
    <row r="4" spans="1:10" x14ac:dyDescent="0.45">
      <c r="A4" t="s">
        <v>21</v>
      </c>
      <c r="B4" t="s">
        <v>22</v>
      </c>
      <c r="C4">
        <v>55105815400</v>
      </c>
      <c r="D4">
        <v>57216688017</v>
      </c>
      <c r="E4">
        <v>90</v>
      </c>
      <c r="F4" t="str">
        <f>_xlfn.XLOOKUP(C4, '75'!$C$2:$C$1142, '75'!$F$2:$F$1142)</f>
        <v>ok</v>
      </c>
    </row>
    <row r="5" spans="1:10" x14ac:dyDescent="0.45">
      <c r="A5" t="s">
        <v>25</v>
      </c>
      <c r="B5" t="s">
        <v>26</v>
      </c>
      <c r="C5">
        <v>57218423351</v>
      </c>
      <c r="D5">
        <v>56965067200</v>
      </c>
      <c r="E5">
        <v>95</v>
      </c>
      <c r="F5" t="str">
        <f>_xlfn.XLOOKUP(C5, '75'!$C$2:$C$1142, '75'!$F$2:$F$1142)</f>
        <v>ok</v>
      </c>
    </row>
    <row r="6" spans="1:10" x14ac:dyDescent="0.45">
      <c r="A6" t="s">
        <v>35</v>
      </c>
      <c r="B6" t="s">
        <v>36</v>
      </c>
      <c r="C6">
        <v>56654006700</v>
      </c>
      <c r="D6">
        <v>7102310616</v>
      </c>
      <c r="E6">
        <v>93</v>
      </c>
      <c r="F6" t="str">
        <f>_xlfn.XLOOKUP(C6, '75'!$C$2:$C$1142, '75'!$F$2:$F$1142)</f>
        <v>ok</v>
      </c>
    </row>
    <row r="7" spans="1:10" x14ac:dyDescent="0.45">
      <c r="A7" t="s">
        <v>40</v>
      </c>
      <c r="B7" t="s">
        <v>41</v>
      </c>
      <c r="C7">
        <v>17344924200</v>
      </c>
      <c r="D7">
        <v>59806848700</v>
      </c>
      <c r="E7">
        <v>85</v>
      </c>
      <c r="F7" t="str">
        <f>_xlfn.XLOOKUP(C7, '75'!$C$2:$C$1142, '75'!$F$2:$F$1142)</f>
        <v>ok</v>
      </c>
    </row>
    <row r="8" spans="1:10" x14ac:dyDescent="0.45">
      <c r="A8" t="s">
        <v>42</v>
      </c>
      <c r="B8" t="s">
        <v>43</v>
      </c>
      <c r="C8">
        <v>6602479101</v>
      </c>
      <c r="D8">
        <v>59465106300</v>
      </c>
      <c r="E8">
        <v>92</v>
      </c>
      <c r="F8" t="str">
        <f>_xlfn.XLOOKUP(C8, '75'!$C$2:$C$1142, '75'!$F$2:$F$1142)</f>
        <v>ok</v>
      </c>
    </row>
    <row r="9" spans="1:10" x14ac:dyDescent="0.45">
      <c r="A9" t="s">
        <v>42</v>
      </c>
      <c r="B9" t="s">
        <v>44</v>
      </c>
      <c r="C9">
        <v>6602479101</v>
      </c>
      <c r="D9">
        <v>59119893600</v>
      </c>
      <c r="E9">
        <v>92</v>
      </c>
      <c r="F9" t="str">
        <f>_xlfn.XLOOKUP(C9, '75'!$C$2:$C$1142, '75'!$F$2:$F$1142)</f>
        <v>ok</v>
      </c>
    </row>
    <row r="10" spans="1:10" x14ac:dyDescent="0.45">
      <c r="A10" t="s">
        <v>49</v>
      </c>
      <c r="B10" t="s">
        <v>50</v>
      </c>
      <c r="C10">
        <v>42760951000</v>
      </c>
      <c r="D10">
        <v>57937968100</v>
      </c>
      <c r="E10">
        <v>91</v>
      </c>
      <c r="F10" t="str">
        <f>_xlfn.XLOOKUP(C10, '75'!$C$2:$C$1142, '75'!$F$2:$F$1142)</f>
        <v>ok</v>
      </c>
    </row>
    <row r="11" spans="1:10" x14ac:dyDescent="0.45">
      <c r="A11" t="s">
        <v>51</v>
      </c>
      <c r="B11" t="s">
        <v>52</v>
      </c>
      <c r="C11">
        <v>57204216471</v>
      </c>
      <c r="D11">
        <v>7004856179</v>
      </c>
      <c r="E11">
        <v>93</v>
      </c>
      <c r="F11" t="str">
        <f>_xlfn.XLOOKUP(C11, '75'!$C$2:$C$1142, '75'!$F$2:$F$1142)</f>
        <v>ok</v>
      </c>
    </row>
    <row r="12" spans="1:10" x14ac:dyDescent="0.45">
      <c r="A12" t="s">
        <v>59</v>
      </c>
      <c r="B12" t="s">
        <v>60</v>
      </c>
      <c r="C12">
        <v>7004232335</v>
      </c>
      <c r="D12">
        <v>57218515194</v>
      </c>
      <c r="E12">
        <v>96</v>
      </c>
      <c r="F12" t="str">
        <f>_xlfn.XLOOKUP(C12, '75'!$C$2:$C$1142, '75'!$F$2:$F$1142)</f>
        <v>ok</v>
      </c>
    </row>
    <row r="13" spans="1:10" x14ac:dyDescent="0.45">
      <c r="A13" t="s">
        <v>71</v>
      </c>
      <c r="B13" t="s">
        <v>72</v>
      </c>
      <c r="C13">
        <v>24433859000</v>
      </c>
      <c r="D13">
        <v>57225808826</v>
      </c>
      <c r="E13">
        <v>90</v>
      </c>
      <c r="F13" t="str">
        <f>_xlfn.XLOOKUP(C13, '75'!$C$2:$C$1142, '75'!$F$2:$F$1142)</f>
        <v>ok</v>
      </c>
    </row>
    <row r="14" spans="1:10" x14ac:dyDescent="0.45">
      <c r="A14" t="s">
        <v>64</v>
      </c>
      <c r="B14" t="s">
        <v>77</v>
      </c>
      <c r="C14">
        <v>59467571400</v>
      </c>
      <c r="D14">
        <v>57543086500</v>
      </c>
      <c r="E14">
        <v>86</v>
      </c>
      <c r="F14" t="str">
        <f>_xlfn.XLOOKUP(C14, '75'!$C$2:$C$1142, '75'!$F$2:$F$1142)</f>
        <v>no</v>
      </c>
    </row>
    <row r="15" spans="1:10" x14ac:dyDescent="0.45">
      <c r="A15" t="s">
        <v>43</v>
      </c>
      <c r="B15" t="s">
        <v>44</v>
      </c>
      <c r="C15">
        <v>59465106300</v>
      </c>
      <c r="D15">
        <v>59119893600</v>
      </c>
      <c r="E15">
        <v>83</v>
      </c>
      <c r="F15" t="str">
        <f>_xlfn.XLOOKUP(C15, '75'!$C$2:$C$1142, '75'!$F$2:$F$1142)</f>
        <v>ok</v>
      </c>
    </row>
    <row r="16" spans="1:10" x14ac:dyDescent="0.45">
      <c r="A16" t="s">
        <v>80</v>
      </c>
      <c r="B16" t="s">
        <v>81</v>
      </c>
      <c r="C16">
        <v>58480796700</v>
      </c>
      <c r="D16">
        <v>59482580700</v>
      </c>
      <c r="E16">
        <v>92</v>
      </c>
      <c r="F16" t="str">
        <f>_xlfn.XLOOKUP(C16, '75'!$C$2:$C$1142, '75'!$F$2:$F$1142)</f>
        <v>ok</v>
      </c>
    </row>
    <row r="17" spans="1:6" x14ac:dyDescent="0.45">
      <c r="A17" t="s">
        <v>82</v>
      </c>
      <c r="B17" t="s">
        <v>83</v>
      </c>
      <c r="C17">
        <v>57195104543</v>
      </c>
      <c r="D17">
        <v>59812475700</v>
      </c>
      <c r="E17">
        <v>96</v>
      </c>
      <c r="F17" t="str">
        <f>_xlfn.XLOOKUP(C17, '75'!$C$2:$C$1142, '75'!$F$2:$F$1142)</f>
        <v>ok</v>
      </c>
    </row>
    <row r="18" spans="1:6" x14ac:dyDescent="0.45">
      <c r="A18" t="s">
        <v>84</v>
      </c>
      <c r="B18" t="s">
        <v>85</v>
      </c>
      <c r="C18">
        <v>7005488549</v>
      </c>
      <c r="D18">
        <v>58680470600</v>
      </c>
      <c r="E18">
        <v>93</v>
      </c>
      <c r="F18" t="str">
        <f>_xlfn.XLOOKUP(C18, '75'!$C$2:$C$1142, '75'!$F$2:$F$1142)</f>
        <v>ok</v>
      </c>
    </row>
    <row r="19" spans="1:6" x14ac:dyDescent="0.45">
      <c r="A19" t="s">
        <v>86</v>
      </c>
      <c r="B19" t="s">
        <v>87</v>
      </c>
      <c r="C19">
        <v>16416871500</v>
      </c>
      <c r="D19">
        <v>57221322504</v>
      </c>
      <c r="E19">
        <v>93</v>
      </c>
      <c r="F19" t="str">
        <f>_xlfn.XLOOKUP(C19, '75'!$C$2:$C$1142, '75'!$F$2:$F$1142)</f>
        <v>ok</v>
      </c>
    </row>
    <row r="20" spans="1:6" x14ac:dyDescent="0.45">
      <c r="A20" t="s">
        <v>101</v>
      </c>
      <c r="B20" t="s">
        <v>102</v>
      </c>
      <c r="C20">
        <v>12645477200</v>
      </c>
      <c r="D20">
        <v>58313184000</v>
      </c>
      <c r="E20">
        <v>89</v>
      </c>
      <c r="F20" t="str">
        <f>_xlfn.XLOOKUP(C20, '75'!$C$2:$C$1142, '75'!$F$2:$F$1142)</f>
        <v>no</v>
      </c>
    </row>
    <row r="21" spans="1:6" x14ac:dyDescent="0.45">
      <c r="A21" t="s">
        <v>110</v>
      </c>
      <c r="B21" t="s">
        <v>111</v>
      </c>
      <c r="C21">
        <v>57202919677</v>
      </c>
      <c r="D21">
        <v>57209555584</v>
      </c>
      <c r="E21">
        <v>85</v>
      </c>
      <c r="F21" t="str">
        <f>_xlfn.XLOOKUP(C21, '75'!$C$2:$C$1142, '75'!$F$2:$F$1142)</f>
        <v>no</v>
      </c>
    </row>
    <row r="22" spans="1:6" x14ac:dyDescent="0.45">
      <c r="A22" t="s">
        <v>113</v>
      </c>
      <c r="B22" t="s">
        <v>120</v>
      </c>
      <c r="C22">
        <v>57200504717</v>
      </c>
      <c r="D22">
        <v>57464181400</v>
      </c>
      <c r="E22">
        <v>86</v>
      </c>
      <c r="F22" t="str">
        <f>_xlfn.XLOOKUP(C22, '75'!$C$2:$C$1142, '75'!$F$2:$F$1142)</f>
        <v>no</v>
      </c>
    </row>
    <row r="23" spans="1:6" x14ac:dyDescent="0.45">
      <c r="A23" t="s">
        <v>114</v>
      </c>
      <c r="B23" t="s">
        <v>119</v>
      </c>
      <c r="C23">
        <v>56040387500</v>
      </c>
      <c r="D23">
        <v>55049017000</v>
      </c>
      <c r="E23">
        <v>89</v>
      </c>
      <c r="F23" t="str">
        <f>_xlfn.XLOOKUP(C23, '75'!$C$2:$C$1142, '75'!$F$2:$F$1142)</f>
        <v>no</v>
      </c>
    </row>
    <row r="24" spans="1:6" x14ac:dyDescent="0.45">
      <c r="A24" t="s">
        <v>114</v>
      </c>
      <c r="B24" t="s">
        <v>127</v>
      </c>
      <c r="C24">
        <v>56040387500</v>
      </c>
      <c r="D24">
        <v>59353414700</v>
      </c>
      <c r="E24">
        <v>90</v>
      </c>
      <c r="F24" t="str">
        <f>_xlfn.XLOOKUP(C24, '75'!$C$2:$C$1142, '75'!$F$2:$F$1142)</f>
        <v>no</v>
      </c>
    </row>
    <row r="25" spans="1:6" x14ac:dyDescent="0.45">
      <c r="A25" t="s">
        <v>95</v>
      </c>
      <c r="B25" t="s">
        <v>129</v>
      </c>
      <c r="C25">
        <v>35306560600</v>
      </c>
      <c r="D25">
        <v>57382754500</v>
      </c>
      <c r="E25">
        <v>95</v>
      </c>
      <c r="F25" t="str">
        <f>_xlfn.XLOOKUP(C25, '75'!$C$2:$C$1142, '75'!$F$2:$F$1142)</f>
        <v>no</v>
      </c>
    </row>
    <row r="26" spans="1:6" x14ac:dyDescent="0.45">
      <c r="A26" t="s">
        <v>95</v>
      </c>
      <c r="B26" t="s">
        <v>130</v>
      </c>
      <c r="C26">
        <v>35306560600</v>
      </c>
      <c r="D26">
        <v>55447267000</v>
      </c>
      <c r="E26">
        <v>95</v>
      </c>
      <c r="F26" t="str">
        <f>_xlfn.XLOOKUP(C26, '75'!$C$2:$C$1142, '75'!$F$2:$F$1142)</f>
        <v>no</v>
      </c>
    </row>
    <row r="27" spans="1:6" x14ac:dyDescent="0.45">
      <c r="A27" t="s">
        <v>96</v>
      </c>
      <c r="B27" t="s">
        <v>99</v>
      </c>
      <c r="C27">
        <v>57202349101</v>
      </c>
      <c r="D27">
        <v>57221774756</v>
      </c>
      <c r="E27">
        <v>89</v>
      </c>
      <c r="F27" t="str">
        <f>_xlfn.XLOOKUP(C27, '75'!$C$2:$C$1142, '75'!$F$2:$F$1142)</f>
        <v>no</v>
      </c>
    </row>
    <row r="28" spans="1:6" x14ac:dyDescent="0.45">
      <c r="A28" t="s">
        <v>139</v>
      </c>
      <c r="B28" t="s">
        <v>140</v>
      </c>
      <c r="C28">
        <v>57211297356</v>
      </c>
      <c r="D28">
        <v>58042961200</v>
      </c>
      <c r="E28">
        <v>89</v>
      </c>
      <c r="F28" t="str">
        <f>_xlfn.XLOOKUP(C28, '75'!$C$2:$C$1142, '75'!$F$2:$F$1142)</f>
        <v>no</v>
      </c>
    </row>
    <row r="29" spans="1:6" x14ac:dyDescent="0.45">
      <c r="A29" t="s">
        <v>143</v>
      </c>
      <c r="B29" t="s">
        <v>144</v>
      </c>
      <c r="C29">
        <v>55520207400</v>
      </c>
      <c r="D29">
        <v>57040127500</v>
      </c>
      <c r="E29">
        <v>82</v>
      </c>
      <c r="F29" t="str">
        <f>_xlfn.XLOOKUP(C29, '75'!$C$2:$C$1142, '75'!$F$2:$F$1142)</f>
        <v>no</v>
      </c>
    </row>
    <row r="30" spans="1:6" x14ac:dyDescent="0.45">
      <c r="A30" t="s">
        <v>89</v>
      </c>
      <c r="B30" t="s">
        <v>119</v>
      </c>
      <c r="C30">
        <v>57203151209</v>
      </c>
      <c r="D30">
        <v>55049017000</v>
      </c>
      <c r="E30">
        <v>82</v>
      </c>
      <c r="F30" t="str">
        <f>_xlfn.XLOOKUP(C30, '75'!$C$2:$C$1142, '75'!$F$2:$F$1142)</f>
        <v>no</v>
      </c>
    </row>
    <row r="31" spans="1:6" x14ac:dyDescent="0.45">
      <c r="A31" t="s">
        <v>146</v>
      </c>
      <c r="B31" t="s">
        <v>147</v>
      </c>
      <c r="C31">
        <v>56572138800</v>
      </c>
      <c r="D31">
        <v>57917651800</v>
      </c>
      <c r="E31">
        <v>83</v>
      </c>
      <c r="F31" t="str">
        <f>_xlfn.XLOOKUP(C31, '75'!$C$2:$C$1142, '75'!$F$2:$F$1142)</f>
        <v>no</v>
      </c>
    </row>
    <row r="32" spans="1:6" x14ac:dyDescent="0.45">
      <c r="A32" t="s">
        <v>148</v>
      </c>
      <c r="B32" t="s">
        <v>118</v>
      </c>
      <c r="C32">
        <v>57193485712</v>
      </c>
      <c r="D32">
        <v>59549734700</v>
      </c>
      <c r="E32">
        <v>84</v>
      </c>
      <c r="F32" t="str">
        <f>_xlfn.XLOOKUP(C32, '75'!$C$2:$C$1142, '75'!$F$2:$F$1142)</f>
        <v>no</v>
      </c>
    </row>
    <row r="33" spans="1:6" x14ac:dyDescent="0.45">
      <c r="A33" t="s">
        <v>154</v>
      </c>
      <c r="B33" t="s">
        <v>155</v>
      </c>
      <c r="C33">
        <v>56085514500</v>
      </c>
      <c r="D33">
        <v>59501786900</v>
      </c>
      <c r="E33">
        <v>92</v>
      </c>
      <c r="F33" t="str">
        <f>_xlfn.XLOOKUP(C33, '75'!$C$2:$C$1142, '75'!$F$2:$F$1142)</f>
        <v>ok</v>
      </c>
    </row>
    <row r="34" spans="1:6" x14ac:dyDescent="0.45">
      <c r="A34" t="s">
        <v>124</v>
      </c>
      <c r="B34" t="s">
        <v>121</v>
      </c>
      <c r="C34">
        <v>57328681600</v>
      </c>
      <c r="D34">
        <v>59817205600</v>
      </c>
      <c r="E34">
        <v>82</v>
      </c>
      <c r="F34" t="str">
        <f>_xlfn.XLOOKUP(C34, '75'!$C$2:$C$1142, '75'!$F$2:$F$1142)</f>
        <v>no</v>
      </c>
    </row>
    <row r="35" spans="1:6" x14ac:dyDescent="0.45">
      <c r="A35" t="s">
        <v>129</v>
      </c>
      <c r="B35" t="s">
        <v>130</v>
      </c>
      <c r="C35">
        <v>57382754500</v>
      </c>
      <c r="D35">
        <v>55447267000</v>
      </c>
      <c r="E35">
        <v>90</v>
      </c>
      <c r="F35" t="str">
        <f>_xlfn.XLOOKUP(C35, '75'!$C$2:$C$1142, '75'!$F$2:$F$1142)</f>
        <v>no</v>
      </c>
    </row>
    <row r="36" spans="1:6" x14ac:dyDescent="0.45">
      <c r="A36" t="s">
        <v>169</v>
      </c>
      <c r="B36" t="s">
        <v>170</v>
      </c>
      <c r="C36">
        <v>58827810200</v>
      </c>
      <c r="D36">
        <v>56719213100</v>
      </c>
      <c r="E36">
        <v>92</v>
      </c>
      <c r="F36" t="str">
        <f>_xlfn.XLOOKUP(C36, '75'!$C$2:$C$1142, '75'!$F$2:$F$1142)</f>
        <v>ok</v>
      </c>
    </row>
    <row r="37" spans="1:6" x14ac:dyDescent="0.45">
      <c r="A37" t="s">
        <v>116</v>
      </c>
      <c r="B37" t="s">
        <v>172</v>
      </c>
      <c r="C37">
        <v>57220043419</v>
      </c>
      <c r="D37">
        <v>59352990300</v>
      </c>
      <c r="E37">
        <v>90</v>
      </c>
      <c r="F37" t="str">
        <f>_xlfn.XLOOKUP(C37, '75'!$C$2:$C$1142, '75'!$F$2:$F$1142)</f>
        <v>no</v>
      </c>
    </row>
    <row r="38" spans="1:6" x14ac:dyDescent="0.45">
      <c r="A38" t="s">
        <v>173</v>
      </c>
      <c r="B38" t="s">
        <v>117</v>
      </c>
      <c r="C38">
        <v>58830295700</v>
      </c>
      <c r="D38">
        <v>57219394662</v>
      </c>
      <c r="E38">
        <v>90</v>
      </c>
      <c r="F38" t="str">
        <f>_xlfn.XLOOKUP(C38, '75'!$C$2:$C$1142, '75'!$F$2:$F$1142)</f>
        <v>ok</v>
      </c>
    </row>
    <row r="39" spans="1:6" x14ac:dyDescent="0.45">
      <c r="A39" t="s">
        <v>125</v>
      </c>
      <c r="B39" t="s">
        <v>174</v>
      </c>
      <c r="C39">
        <v>57214459624</v>
      </c>
      <c r="D39">
        <v>57209849920</v>
      </c>
      <c r="E39">
        <v>82</v>
      </c>
      <c r="F39" t="str">
        <f>_xlfn.XLOOKUP(C39, '75'!$C$2:$C$1142, '75'!$F$2:$F$1142)</f>
        <v>no</v>
      </c>
    </row>
    <row r="40" spans="1:6" x14ac:dyDescent="0.45">
      <c r="A40" t="s">
        <v>93</v>
      </c>
      <c r="B40" t="s">
        <v>178</v>
      </c>
      <c r="C40">
        <v>56997016900</v>
      </c>
      <c r="D40">
        <v>57222103241</v>
      </c>
      <c r="E40">
        <v>83</v>
      </c>
      <c r="F40" t="str">
        <f>_xlfn.XLOOKUP(C40, '75'!$C$2:$C$1142, '75'!$F$2:$F$1142)</f>
        <v>no</v>
      </c>
    </row>
    <row r="41" spans="1:6" x14ac:dyDescent="0.45">
      <c r="A41" t="s">
        <v>177</v>
      </c>
      <c r="B41" t="s">
        <v>178</v>
      </c>
      <c r="C41">
        <v>57974985600</v>
      </c>
      <c r="D41">
        <v>57222103241</v>
      </c>
      <c r="E41">
        <v>86</v>
      </c>
      <c r="F41" t="str">
        <f>_xlfn.XLOOKUP(C41, '75'!$C$2:$C$1142, '75'!$F$2:$F$1142)</f>
        <v>no</v>
      </c>
    </row>
    <row r="42" spans="1:6" x14ac:dyDescent="0.45">
      <c r="A42" t="s">
        <v>111</v>
      </c>
      <c r="B42" t="s">
        <v>112</v>
      </c>
      <c r="C42">
        <v>57209555584</v>
      </c>
      <c r="D42">
        <v>59135252300</v>
      </c>
      <c r="E42">
        <v>89</v>
      </c>
      <c r="F42" t="str">
        <f>_xlfn.XLOOKUP(C42, '75'!$C$2:$C$1142, '75'!$F$2:$F$1142)</f>
        <v>no</v>
      </c>
    </row>
    <row r="43" spans="1:6" x14ac:dyDescent="0.45">
      <c r="A43" t="s">
        <v>117</v>
      </c>
      <c r="B43" t="s">
        <v>132</v>
      </c>
      <c r="C43">
        <v>57219394662</v>
      </c>
      <c r="D43">
        <v>58018476700</v>
      </c>
      <c r="E43">
        <v>84</v>
      </c>
      <c r="F43" t="str">
        <f>_xlfn.XLOOKUP(C43, '75'!$C$2:$C$1142, '75'!$F$2:$F$1142)</f>
        <v>no</v>
      </c>
    </row>
    <row r="44" spans="1:6" x14ac:dyDescent="0.45">
      <c r="A44" t="s">
        <v>190</v>
      </c>
      <c r="B44" t="s">
        <v>191</v>
      </c>
      <c r="C44">
        <v>57821779900</v>
      </c>
      <c r="D44">
        <v>59415748800</v>
      </c>
      <c r="E44">
        <v>94</v>
      </c>
      <c r="F44" t="str">
        <f>_xlfn.XLOOKUP(C44, '75'!$C$2:$C$1142, '75'!$F$2:$F$1142)</f>
        <v>ok</v>
      </c>
    </row>
    <row r="45" spans="1:6" x14ac:dyDescent="0.45">
      <c r="A45" t="s">
        <v>195</v>
      </c>
      <c r="B45" t="s">
        <v>174</v>
      </c>
      <c r="C45">
        <v>57222654013</v>
      </c>
      <c r="D45">
        <v>57209849920</v>
      </c>
      <c r="E45">
        <v>82</v>
      </c>
      <c r="F45" t="str">
        <f>_xlfn.XLOOKUP(C45, '75'!$C$2:$C$1142, '75'!$F$2:$F$1142)</f>
        <v>no</v>
      </c>
    </row>
    <row r="46" spans="1:6" x14ac:dyDescent="0.45">
      <c r="A46" t="s">
        <v>142</v>
      </c>
      <c r="B46" t="s">
        <v>134</v>
      </c>
      <c r="C46">
        <v>57221630885</v>
      </c>
      <c r="D46">
        <v>57216638641</v>
      </c>
      <c r="E46">
        <v>84</v>
      </c>
      <c r="F46" t="str">
        <f>_xlfn.XLOOKUP(C46, '75'!$C$2:$C$1142, '75'!$F$2:$F$1142)</f>
        <v>no</v>
      </c>
    </row>
    <row r="47" spans="1:6" x14ac:dyDescent="0.45">
      <c r="A47" t="s">
        <v>200</v>
      </c>
      <c r="B47" t="s">
        <v>201</v>
      </c>
      <c r="C47">
        <v>59807760700</v>
      </c>
      <c r="D47">
        <v>7402666341</v>
      </c>
      <c r="E47">
        <v>92</v>
      </c>
      <c r="F47" t="str">
        <f>_xlfn.XLOOKUP(C47, '75'!$C$2:$C$1142, '75'!$F$2:$F$1142)</f>
        <v>ok</v>
      </c>
    </row>
    <row r="48" spans="1:6" x14ac:dyDescent="0.45">
      <c r="A48" t="s">
        <v>98</v>
      </c>
      <c r="B48" t="s">
        <v>134</v>
      </c>
      <c r="C48">
        <v>57218701161</v>
      </c>
      <c r="D48">
        <v>57216638641</v>
      </c>
      <c r="E48">
        <v>82</v>
      </c>
      <c r="F48" t="str">
        <f>_xlfn.XLOOKUP(C48, '75'!$C$2:$C$1142, '75'!$F$2:$F$1142)</f>
        <v>no</v>
      </c>
    </row>
    <row r="49" spans="1:6" x14ac:dyDescent="0.45">
      <c r="A49" t="s">
        <v>207</v>
      </c>
      <c r="B49" t="s">
        <v>208</v>
      </c>
      <c r="C49">
        <v>58287914600</v>
      </c>
      <c r="D49">
        <v>58061917200</v>
      </c>
      <c r="E49">
        <v>95</v>
      </c>
      <c r="F49" t="str">
        <f>_xlfn.XLOOKUP(C49, '75'!$C$2:$C$1142, '75'!$F$2:$F$1142)</f>
        <v>ok</v>
      </c>
    </row>
    <row r="50" spans="1:6" x14ac:dyDescent="0.45">
      <c r="A50" t="s">
        <v>118</v>
      </c>
      <c r="B50" t="s">
        <v>134</v>
      </c>
      <c r="C50">
        <v>59549734700</v>
      </c>
      <c r="D50">
        <v>57216638641</v>
      </c>
      <c r="E50">
        <v>82</v>
      </c>
      <c r="F50" t="str">
        <f>_xlfn.XLOOKUP(C50, '75'!$C$2:$C$1142, '75'!$F$2:$F$1142)</f>
        <v>no</v>
      </c>
    </row>
    <row r="51" spans="1:6" x14ac:dyDescent="0.45">
      <c r="A51" t="s">
        <v>118</v>
      </c>
      <c r="B51" t="s">
        <v>120</v>
      </c>
      <c r="C51">
        <v>59549734700</v>
      </c>
      <c r="D51">
        <v>57464181400</v>
      </c>
      <c r="E51">
        <v>88</v>
      </c>
      <c r="F51" t="str">
        <f>_xlfn.XLOOKUP(C51, '75'!$C$2:$C$1142, '75'!$F$2:$F$1142)</f>
        <v>no</v>
      </c>
    </row>
    <row r="52" spans="1:6" x14ac:dyDescent="0.45">
      <c r="A52" t="s">
        <v>133</v>
      </c>
      <c r="B52" t="s">
        <v>183</v>
      </c>
      <c r="C52">
        <v>58666893100</v>
      </c>
      <c r="D52">
        <v>57219506217</v>
      </c>
      <c r="E52">
        <v>82</v>
      </c>
      <c r="F52" t="str">
        <f>_xlfn.XLOOKUP(C52, '75'!$C$2:$C$1142, '75'!$F$2:$F$1142)</f>
        <v>no</v>
      </c>
    </row>
    <row r="53" spans="1:6" x14ac:dyDescent="0.45">
      <c r="A53" t="s">
        <v>218</v>
      </c>
      <c r="B53" t="s">
        <v>219</v>
      </c>
      <c r="C53">
        <v>57201730337</v>
      </c>
      <c r="D53">
        <v>57202912172</v>
      </c>
      <c r="E53">
        <v>93</v>
      </c>
      <c r="F53" t="str">
        <f>_xlfn.XLOOKUP(C53, '75'!$C$2:$C$1142, '75'!$F$2:$F$1142)</f>
        <v>ok</v>
      </c>
    </row>
    <row r="54" spans="1:6" x14ac:dyDescent="0.45">
      <c r="A54" t="s">
        <v>220</v>
      </c>
      <c r="B54" t="s">
        <v>221</v>
      </c>
      <c r="C54">
        <v>57211702395</v>
      </c>
      <c r="D54">
        <v>57225927794</v>
      </c>
      <c r="E54">
        <v>83</v>
      </c>
      <c r="F54" t="str">
        <f>_xlfn.XLOOKUP(C54, '75'!$C$2:$C$1142, '75'!$F$2:$F$1142)</f>
        <v>no</v>
      </c>
    </row>
    <row r="55" spans="1:6" x14ac:dyDescent="0.45">
      <c r="A55" t="s">
        <v>222</v>
      </c>
      <c r="B55" t="s">
        <v>223</v>
      </c>
      <c r="C55">
        <v>7004268181</v>
      </c>
      <c r="D55">
        <v>56840385400</v>
      </c>
      <c r="E55">
        <v>93</v>
      </c>
      <c r="F55" t="str">
        <f>_xlfn.XLOOKUP(C55, '75'!$C$2:$C$1142, '75'!$F$2:$F$1142)</f>
        <v>ok</v>
      </c>
    </row>
    <row r="56" spans="1:6" x14ac:dyDescent="0.45">
      <c r="A56" t="s">
        <v>230</v>
      </c>
      <c r="B56" t="s">
        <v>231</v>
      </c>
      <c r="C56">
        <v>59157783100</v>
      </c>
      <c r="D56">
        <v>59814698200</v>
      </c>
      <c r="E56">
        <v>92</v>
      </c>
      <c r="F56" t="str">
        <f>_xlfn.XLOOKUP(C56, '75'!$C$2:$C$1142, '75'!$F$2:$F$1142)</f>
        <v>ok</v>
      </c>
    </row>
    <row r="57" spans="1:6" x14ac:dyDescent="0.45">
      <c r="A57" t="s">
        <v>232</v>
      </c>
      <c r="B57" t="s">
        <v>233</v>
      </c>
      <c r="C57">
        <v>57287468800</v>
      </c>
      <c r="D57">
        <v>57575566400</v>
      </c>
      <c r="E57">
        <v>92</v>
      </c>
      <c r="F57" t="str">
        <f>_xlfn.XLOOKUP(C57, '75'!$C$2:$C$1142, '75'!$F$2:$F$1142)</f>
        <v>ok</v>
      </c>
    </row>
    <row r="58" spans="1:6" x14ac:dyDescent="0.45">
      <c r="A58" t="s">
        <v>242</v>
      </c>
      <c r="B58" t="s">
        <v>243</v>
      </c>
      <c r="C58">
        <v>57792002700</v>
      </c>
      <c r="D58">
        <v>59373208900</v>
      </c>
      <c r="E58">
        <v>97</v>
      </c>
      <c r="F58" t="str">
        <f>_xlfn.XLOOKUP(C58, '75'!$C$2:$C$1142, '75'!$F$2:$F$1142)</f>
        <v>ok</v>
      </c>
    </row>
    <row r="59" spans="1:6" x14ac:dyDescent="0.45">
      <c r="A59" t="s">
        <v>244</v>
      </c>
      <c r="B59" t="s">
        <v>245</v>
      </c>
      <c r="C59">
        <v>57212346127</v>
      </c>
      <c r="D59">
        <v>57203331764</v>
      </c>
      <c r="E59">
        <v>90</v>
      </c>
      <c r="F59" t="str">
        <f>_xlfn.XLOOKUP(C59, '75'!$C$2:$C$1142, '75'!$F$2:$F$1142)</f>
        <v>no</v>
      </c>
    </row>
    <row r="60" spans="1:6" x14ac:dyDescent="0.45">
      <c r="A60" t="s">
        <v>248</v>
      </c>
      <c r="B60" t="s">
        <v>249</v>
      </c>
      <c r="C60">
        <v>57215934820</v>
      </c>
      <c r="D60">
        <v>57214111535</v>
      </c>
      <c r="E60">
        <v>97</v>
      </c>
      <c r="F60" t="str">
        <f>_xlfn.XLOOKUP(C60, '75'!$C$2:$C$1142, '75'!$F$2:$F$1142)</f>
        <v>ok</v>
      </c>
    </row>
    <row r="61" spans="1:6" x14ac:dyDescent="0.45">
      <c r="A61" t="s">
        <v>250</v>
      </c>
      <c r="B61" t="s">
        <v>251</v>
      </c>
      <c r="C61">
        <v>59647175000</v>
      </c>
      <c r="D61">
        <v>57216222262</v>
      </c>
      <c r="E61">
        <v>93</v>
      </c>
      <c r="F61" t="str">
        <f>_xlfn.XLOOKUP(C61, '75'!$C$2:$C$1142, '75'!$F$2:$F$1142)</f>
        <v>ok</v>
      </c>
    </row>
    <row r="62" spans="1:6" x14ac:dyDescent="0.45">
      <c r="A62" t="s">
        <v>254</v>
      </c>
      <c r="B62" t="s">
        <v>255</v>
      </c>
      <c r="C62">
        <v>55620693600</v>
      </c>
      <c r="D62">
        <v>57998385200</v>
      </c>
      <c r="E62">
        <v>96</v>
      </c>
      <c r="F62" t="str">
        <f>_xlfn.XLOOKUP(C62, '75'!$C$2:$C$1142, '75'!$F$2:$F$1142)</f>
        <v>ok</v>
      </c>
    </row>
    <row r="63" spans="1:6" x14ac:dyDescent="0.45">
      <c r="A63" t="s">
        <v>259</v>
      </c>
      <c r="B63" t="s">
        <v>260</v>
      </c>
      <c r="C63">
        <v>56483186100</v>
      </c>
      <c r="D63">
        <v>57215828343</v>
      </c>
      <c r="E63">
        <v>83</v>
      </c>
      <c r="F63" t="str">
        <f>_xlfn.XLOOKUP(C63, '75'!$C$2:$C$1142, '75'!$F$2:$F$1142)</f>
        <v>ok</v>
      </c>
    </row>
    <row r="64" spans="1:6" x14ac:dyDescent="0.45">
      <c r="A64" t="s">
        <v>261</v>
      </c>
      <c r="B64" t="s">
        <v>262</v>
      </c>
      <c r="C64">
        <v>56856315600</v>
      </c>
      <c r="D64">
        <v>56268773600</v>
      </c>
      <c r="E64">
        <v>92</v>
      </c>
      <c r="F64" t="str">
        <f>_xlfn.XLOOKUP(C64, '75'!$C$2:$C$1142, '75'!$F$2:$F$1142)</f>
        <v>no</v>
      </c>
    </row>
    <row r="65" spans="1:6" x14ac:dyDescent="0.45">
      <c r="A65" t="s">
        <v>267</v>
      </c>
      <c r="B65" t="s">
        <v>268</v>
      </c>
      <c r="C65">
        <v>57220106603</v>
      </c>
      <c r="D65">
        <v>57217134072</v>
      </c>
      <c r="E65">
        <v>92</v>
      </c>
      <c r="F65" t="str">
        <f>_xlfn.XLOOKUP(C65, '75'!$C$2:$C$1142, '75'!$F$2:$F$1142)</f>
        <v>no</v>
      </c>
    </row>
    <row r="66" spans="1:6" x14ac:dyDescent="0.45">
      <c r="A66" t="s">
        <v>276</v>
      </c>
      <c r="B66" t="s">
        <v>277</v>
      </c>
      <c r="C66">
        <v>58558920700</v>
      </c>
      <c r="D66">
        <v>57218855997</v>
      </c>
      <c r="E66">
        <v>87</v>
      </c>
      <c r="F66" t="str">
        <f>_xlfn.XLOOKUP(C66, '75'!$C$2:$C$1142, '75'!$F$2:$F$1142)</f>
        <v>ok</v>
      </c>
    </row>
    <row r="67" spans="1:6" x14ac:dyDescent="0.45">
      <c r="A67" t="s">
        <v>280</v>
      </c>
      <c r="B67" t="s">
        <v>279</v>
      </c>
      <c r="C67">
        <v>57204292684</v>
      </c>
      <c r="D67">
        <v>59152182400</v>
      </c>
      <c r="E67">
        <v>82</v>
      </c>
      <c r="F67" t="str">
        <f>_xlfn.XLOOKUP(C67, '75'!$C$2:$C$1142, '75'!$F$2:$F$1142)</f>
        <v>no</v>
      </c>
    </row>
    <row r="68" spans="1:6" x14ac:dyDescent="0.45">
      <c r="A68" t="s">
        <v>275</v>
      </c>
      <c r="B68" t="s">
        <v>264</v>
      </c>
      <c r="C68">
        <v>57998535800</v>
      </c>
      <c r="D68">
        <v>57211241158</v>
      </c>
      <c r="E68">
        <v>86</v>
      </c>
      <c r="F68" t="str">
        <f>_xlfn.XLOOKUP(C68, '75'!$C$2:$C$1142, '75'!$F$2:$F$1142)</f>
        <v>no</v>
      </c>
    </row>
    <row r="69" spans="1:6" x14ac:dyDescent="0.45">
      <c r="A69" t="s">
        <v>281</v>
      </c>
      <c r="B69" t="s">
        <v>282</v>
      </c>
      <c r="C69">
        <v>57200176320</v>
      </c>
      <c r="D69">
        <v>58689678000</v>
      </c>
      <c r="E69">
        <v>92</v>
      </c>
      <c r="F69" t="str">
        <f>_xlfn.XLOOKUP(C69, '75'!$C$2:$C$1142, '75'!$F$2:$F$1142)</f>
        <v>ok</v>
      </c>
    </row>
    <row r="70" spans="1:6" x14ac:dyDescent="0.45">
      <c r="A70" t="s">
        <v>285</v>
      </c>
      <c r="B70" t="s">
        <v>286</v>
      </c>
      <c r="C70">
        <v>57723250300</v>
      </c>
      <c r="D70">
        <v>59173501800</v>
      </c>
      <c r="E70">
        <v>93</v>
      </c>
      <c r="F70" t="str">
        <f>_xlfn.XLOOKUP(C70, '75'!$C$2:$C$1142, '75'!$F$2:$F$1142)</f>
        <v>ok</v>
      </c>
    </row>
    <row r="71" spans="1:6" x14ac:dyDescent="0.45">
      <c r="A71" t="s">
        <v>292</v>
      </c>
      <c r="B71" t="s">
        <v>293</v>
      </c>
      <c r="C71">
        <v>24359010500</v>
      </c>
      <c r="D71">
        <v>57223164224</v>
      </c>
      <c r="E71">
        <v>90</v>
      </c>
      <c r="F71" t="str">
        <f>_xlfn.XLOOKUP(C71, '75'!$C$2:$C$1142, '75'!$F$2:$F$1142)</f>
        <v>ok</v>
      </c>
    </row>
    <row r="72" spans="1:6" x14ac:dyDescent="0.45">
      <c r="A72" t="s">
        <v>298</v>
      </c>
      <c r="B72" t="s">
        <v>299</v>
      </c>
      <c r="C72">
        <v>6507645629</v>
      </c>
      <c r="D72">
        <v>58990528300</v>
      </c>
      <c r="E72">
        <v>91</v>
      </c>
      <c r="F72" t="str">
        <f>_xlfn.XLOOKUP(C72, '75'!$C$2:$C$1142, '75'!$F$2:$F$1142)</f>
        <v>ok</v>
      </c>
    </row>
    <row r="73" spans="1:6" x14ac:dyDescent="0.45">
      <c r="A73" t="s">
        <v>302</v>
      </c>
      <c r="B73" t="s">
        <v>303</v>
      </c>
      <c r="C73">
        <v>26429468000</v>
      </c>
      <c r="D73">
        <v>56411977100</v>
      </c>
      <c r="E73">
        <v>82</v>
      </c>
      <c r="F73" t="str">
        <f>_xlfn.XLOOKUP(C73, '75'!$C$2:$C$1142, '75'!$F$2:$F$1142)</f>
        <v>no</v>
      </c>
    </row>
    <row r="74" spans="1:6" x14ac:dyDescent="0.45">
      <c r="A74" t="s">
        <v>309</v>
      </c>
      <c r="B74" t="s">
        <v>295</v>
      </c>
      <c r="C74">
        <v>57210636353</v>
      </c>
      <c r="D74">
        <v>57392372000</v>
      </c>
      <c r="E74">
        <v>86</v>
      </c>
      <c r="F74" t="str">
        <f>_xlfn.XLOOKUP(C74, '75'!$C$2:$C$1142, '75'!$F$2:$F$1142)</f>
        <v>no</v>
      </c>
    </row>
    <row r="75" spans="1:6" x14ac:dyDescent="0.45">
      <c r="A75" t="s">
        <v>314</v>
      </c>
      <c r="B75" t="s">
        <v>315</v>
      </c>
      <c r="C75">
        <v>57213334854</v>
      </c>
      <c r="D75">
        <v>58680264800</v>
      </c>
      <c r="E75">
        <v>82</v>
      </c>
      <c r="F75" t="str">
        <f>_xlfn.XLOOKUP(C75, '75'!$C$2:$C$1142, '75'!$F$2:$F$1142)</f>
        <v>ok</v>
      </c>
    </row>
    <row r="76" spans="1:6" x14ac:dyDescent="0.45">
      <c r="A76" t="s">
        <v>316</v>
      </c>
      <c r="B76" t="s">
        <v>317</v>
      </c>
      <c r="C76">
        <v>56582435700</v>
      </c>
      <c r="D76">
        <v>57948030800</v>
      </c>
      <c r="E76">
        <v>90</v>
      </c>
      <c r="F76" t="str">
        <f>_xlfn.XLOOKUP(C76, '75'!$C$2:$C$1142, '75'!$F$2:$F$1142)</f>
        <v>ok</v>
      </c>
    </row>
    <row r="77" spans="1:6" x14ac:dyDescent="0.45">
      <c r="A77" t="s">
        <v>318</v>
      </c>
      <c r="B77" t="s">
        <v>319</v>
      </c>
      <c r="C77">
        <v>58676962100</v>
      </c>
      <c r="D77">
        <v>57997869400</v>
      </c>
      <c r="E77">
        <v>97</v>
      </c>
      <c r="F77" t="str">
        <f>_xlfn.XLOOKUP(C77, '75'!$C$2:$C$1142, '75'!$F$2:$F$1142)</f>
        <v>ok</v>
      </c>
    </row>
    <row r="78" spans="1:6" x14ac:dyDescent="0.45">
      <c r="A78" t="s">
        <v>334</v>
      </c>
      <c r="B78" t="s">
        <v>335</v>
      </c>
      <c r="C78">
        <v>57220890035</v>
      </c>
      <c r="D78">
        <v>59029455600</v>
      </c>
      <c r="E78">
        <v>92</v>
      </c>
      <c r="F78" t="str">
        <f>_xlfn.XLOOKUP(C78, '75'!$C$2:$C$1142, '75'!$F$2:$F$1142)</f>
        <v>ok</v>
      </c>
    </row>
    <row r="79" spans="1:6" x14ac:dyDescent="0.45">
      <c r="A79" t="s">
        <v>343</v>
      </c>
      <c r="B79" t="s">
        <v>344</v>
      </c>
      <c r="C79">
        <v>57201225750</v>
      </c>
      <c r="D79">
        <v>55332947200</v>
      </c>
      <c r="E79">
        <v>92</v>
      </c>
      <c r="F79" t="str">
        <f>_xlfn.XLOOKUP(C79, '75'!$C$2:$C$1142, '75'!$F$2:$F$1142)</f>
        <v>ok</v>
      </c>
    </row>
    <row r="80" spans="1:6" x14ac:dyDescent="0.45">
      <c r="A80" t="s">
        <v>345</v>
      </c>
      <c r="B80" t="s">
        <v>346</v>
      </c>
      <c r="C80">
        <v>20433459500</v>
      </c>
      <c r="D80">
        <v>57204281290</v>
      </c>
      <c r="E80">
        <v>94</v>
      </c>
      <c r="F80" t="str">
        <f>_xlfn.XLOOKUP(C80, '75'!$C$2:$C$1142, '75'!$F$2:$F$1142)</f>
        <v>ok</v>
      </c>
    </row>
    <row r="81" spans="1:6" x14ac:dyDescent="0.45">
      <c r="A81" t="s">
        <v>352</v>
      </c>
      <c r="B81" t="s">
        <v>354</v>
      </c>
      <c r="C81">
        <v>57233901800</v>
      </c>
      <c r="D81">
        <v>57192586510</v>
      </c>
      <c r="E81">
        <v>85</v>
      </c>
      <c r="F81" t="str">
        <f>_xlfn.XLOOKUP(C81, '75'!$C$2:$C$1142, '75'!$F$2:$F$1142)</f>
        <v>no</v>
      </c>
    </row>
    <row r="82" spans="1:6" x14ac:dyDescent="0.45">
      <c r="A82" t="s">
        <v>375</v>
      </c>
      <c r="B82" t="s">
        <v>376</v>
      </c>
      <c r="C82">
        <v>57217693682</v>
      </c>
      <c r="D82">
        <v>57217055832</v>
      </c>
      <c r="E82">
        <v>92</v>
      </c>
      <c r="F82" t="str">
        <f>_xlfn.XLOOKUP(C82, '75'!$C$2:$C$1142, '75'!$F$2:$F$1142)</f>
        <v>ok</v>
      </c>
    </row>
    <row r="83" spans="1:6" x14ac:dyDescent="0.45">
      <c r="A83" t="s">
        <v>383</v>
      </c>
      <c r="B83" t="s">
        <v>384</v>
      </c>
      <c r="C83">
        <v>57219241387</v>
      </c>
      <c r="D83">
        <v>57453661700</v>
      </c>
      <c r="E83">
        <v>82</v>
      </c>
      <c r="F83" t="str">
        <f>_xlfn.XLOOKUP(C83, '75'!$C$2:$C$1142, '75'!$F$2:$F$1142)</f>
        <v>no</v>
      </c>
    </row>
    <row r="84" spans="1:6" x14ac:dyDescent="0.45">
      <c r="A84" t="s">
        <v>385</v>
      </c>
      <c r="B84" t="s">
        <v>386</v>
      </c>
      <c r="C84">
        <v>57206426930</v>
      </c>
      <c r="D84">
        <v>57212408054</v>
      </c>
      <c r="E84">
        <v>86</v>
      </c>
      <c r="F84" t="str">
        <f>_xlfn.XLOOKUP(C84, '75'!$C$2:$C$1142, '75'!$F$2:$F$1142)</f>
        <v>no</v>
      </c>
    </row>
    <row r="85" spans="1:6" x14ac:dyDescent="0.45">
      <c r="A85" t="s">
        <v>385</v>
      </c>
      <c r="B85" t="s">
        <v>387</v>
      </c>
      <c r="C85">
        <v>57206426930</v>
      </c>
      <c r="D85">
        <v>57218667819</v>
      </c>
      <c r="E85">
        <v>85</v>
      </c>
      <c r="F85" t="str">
        <f>_xlfn.XLOOKUP(C85, '75'!$C$2:$C$1142, '75'!$F$2:$F$1142)</f>
        <v>no</v>
      </c>
    </row>
    <row r="86" spans="1:6" x14ac:dyDescent="0.45">
      <c r="A86" t="s">
        <v>389</v>
      </c>
      <c r="B86" t="s">
        <v>391</v>
      </c>
      <c r="C86">
        <v>59161285900</v>
      </c>
      <c r="D86">
        <v>34979903200</v>
      </c>
      <c r="E86">
        <v>90</v>
      </c>
      <c r="F86" t="str">
        <f>_xlfn.XLOOKUP(C86, '75'!$C$2:$C$1142, '75'!$F$2:$F$1142)</f>
        <v>no</v>
      </c>
    </row>
    <row r="87" spans="1:6" x14ac:dyDescent="0.45">
      <c r="A87" t="s">
        <v>390</v>
      </c>
      <c r="B87" t="s">
        <v>391</v>
      </c>
      <c r="C87">
        <v>59207795900</v>
      </c>
      <c r="D87">
        <v>34979903200</v>
      </c>
      <c r="E87">
        <v>90</v>
      </c>
      <c r="F87" t="str">
        <f>_xlfn.XLOOKUP(C87, '75'!$C$2:$C$1142, '75'!$F$2:$F$1142)</f>
        <v>ok</v>
      </c>
    </row>
    <row r="88" spans="1:6" x14ac:dyDescent="0.45">
      <c r="A88" t="s">
        <v>399</v>
      </c>
      <c r="B88" t="s">
        <v>400</v>
      </c>
      <c r="C88">
        <v>57208184515</v>
      </c>
      <c r="D88">
        <v>59803235800</v>
      </c>
      <c r="E88">
        <v>90</v>
      </c>
      <c r="F88" t="str">
        <f>_xlfn.XLOOKUP(C88, '75'!$C$2:$C$1142, '75'!$F$2:$F$1142)</f>
        <v>no</v>
      </c>
    </row>
    <row r="89" spans="1:6" x14ac:dyDescent="0.45">
      <c r="A89" t="s">
        <v>401</v>
      </c>
      <c r="B89" t="s">
        <v>402</v>
      </c>
      <c r="C89">
        <v>7201973561</v>
      </c>
      <c r="D89">
        <v>59794341400</v>
      </c>
      <c r="E89">
        <v>96</v>
      </c>
      <c r="F89" t="str">
        <f>_xlfn.XLOOKUP(C89, '75'!$C$2:$C$1142, '75'!$F$2:$F$1142)</f>
        <v>ok</v>
      </c>
    </row>
    <row r="90" spans="1:6" x14ac:dyDescent="0.45">
      <c r="A90" t="s">
        <v>410</v>
      </c>
      <c r="B90" t="s">
        <v>411</v>
      </c>
      <c r="C90">
        <v>57211405320</v>
      </c>
      <c r="D90">
        <v>57220933225</v>
      </c>
      <c r="E90">
        <v>94</v>
      </c>
      <c r="F90" t="str">
        <f>_xlfn.XLOOKUP(C90, '75'!$C$2:$C$1142, '75'!$F$2:$F$1142)</f>
        <v>ok</v>
      </c>
    </row>
    <row r="91" spans="1:6" x14ac:dyDescent="0.45">
      <c r="A91" t="s">
        <v>414</v>
      </c>
      <c r="B91" t="s">
        <v>415</v>
      </c>
      <c r="C91">
        <v>57211955754</v>
      </c>
      <c r="D91">
        <v>57224160661</v>
      </c>
      <c r="E91">
        <v>82</v>
      </c>
      <c r="F91" t="str">
        <f>_xlfn.XLOOKUP(C91, '75'!$C$2:$C$1142, '75'!$F$2:$F$1142)</f>
        <v>no</v>
      </c>
    </row>
    <row r="92" spans="1:6" x14ac:dyDescent="0.45">
      <c r="A92" t="s">
        <v>419</v>
      </c>
      <c r="B92" t="s">
        <v>420</v>
      </c>
      <c r="C92">
        <v>6701569164</v>
      </c>
      <c r="D92">
        <v>59475179000</v>
      </c>
      <c r="E92">
        <v>94</v>
      </c>
      <c r="F92" t="str">
        <f>_xlfn.XLOOKUP(C92, '75'!$C$2:$C$1142, '75'!$F$2:$F$1142)</f>
        <v>ok</v>
      </c>
    </row>
    <row r="93" spans="1:6" x14ac:dyDescent="0.45">
      <c r="A93" t="s">
        <v>421</v>
      </c>
      <c r="B93" t="s">
        <v>422</v>
      </c>
      <c r="C93">
        <v>57203870786</v>
      </c>
      <c r="D93">
        <v>58078867300</v>
      </c>
      <c r="E93">
        <v>86</v>
      </c>
      <c r="F93" t="str">
        <f>_xlfn.XLOOKUP(C93, '75'!$C$2:$C$1142, '75'!$F$2:$F$1142)</f>
        <v>no</v>
      </c>
    </row>
    <row r="94" spans="1:6" x14ac:dyDescent="0.45">
      <c r="A94" t="s">
        <v>423</v>
      </c>
      <c r="B94" t="s">
        <v>424</v>
      </c>
      <c r="C94">
        <v>57204906651</v>
      </c>
      <c r="D94">
        <v>59345453700</v>
      </c>
      <c r="E94">
        <v>82</v>
      </c>
      <c r="F94" t="str">
        <f>_xlfn.XLOOKUP(C94, '75'!$C$2:$C$1142, '75'!$F$2:$F$1142)</f>
        <v>no</v>
      </c>
    </row>
    <row r="95" spans="1:6" x14ac:dyDescent="0.45">
      <c r="A95" t="s">
        <v>431</v>
      </c>
      <c r="B95" t="s">
        <v>432</v>
      </c>
      <c r="C95">
        <v>55202285800</v>
      </c>
      <c r="D95">
        <v>55603882200</v>
      </c>
      <c r="E95">
        <v>85</v>
      </c>
      <c r="F95" t="str">
        <f>_xlfn.XLOOKUP(C95, '75'!$C$2:$C$1142, '75'!$F$2:$F$1142)</f>
        <v>no</v>
      </c>
    </row>
    <row r="96" spans="1:6" x14ac:dyDescent="0.45">
      <c r="A96" t="s">
        <v>446</v>
      </c>
      <c r="B96" t="s">
        <v>447</v>
      </c>
      <c r="C96">
        <v>57205207510</v>
      </c>
      <c r="D96">
        <v>57214770459</v>
      </c>
      <c r="E96">
        <v>86</v>
      </c>
      <c r="F96" t="str">
        <f>_xlfn.XLOOKUP(C96, '75'!$C$2:$C$1142, '75'!$F$2:$F$1142)</f>
        <v>no</v>
      </c>
    </row>
    <row r="97" spans="1:6" x14ac:dyDescent="0.45">
      <c r="A97" t="s">
        <v>438</v>
      </c>
      <c r="B97" t="s">
        <v>448</v>
      </c>
      <c r="C97">
        <v>58588589500</v>
      </c>
      <c r="D97">
        <v>56448087600</v>
      </c>
      <c r="E97">
        <v>85</v>
      </c>
      <c r="F97" t="str">
        <f>_xlfn.XLOOKUP(C97, '75'!$C$2:$C$1142, '75'!$F$2:$F$1142)</f>
        <v>no</v>
      </c>
    </row>
    <row r="98" spans="1:6" x14ac:dyDescent="0.45">
      <c r="A98" t="s">
        <v>438</v>
      </c>
      <c r="B98" t="s">
        <v>439</v>
      </c>
      <c r="C98">
        <v>58588589500</v>
      </c>
      <c r="D98">
        <v>58602148800</v>
      </c>
      <c r="E98">
        <v>83</v>
      </c>
      <c r="F98" t="str">
        <f>_xlfn.XLOOKUP(C98, '75'!$C$2:$C$1142, '75'!$F$2:$F$1142)</f>
        <v>no</v>
      </c>
    </row>
    <row r="99" spans="1:6" x14ac:dyDescent="0.45">
      <c r="A99" t="s">
        <v>441</v>
      </c>
      <c r="B99" t="s">
        <v>443</v>
      </c>
      <c r="C99">
        <v>57211871654</v>
      </c>
      <c r="D99">
        <v>58860015500</v>
      </c>
      <c r="E99">
        <v>82</v>
      </c>
      <c r="F99" t="str">
        <f>_xlfn.XLOOKUP(C99, '75'!$C$2:$C$1142, '75'!$F$2:$F$1142)</f>
        <v>no</v>
      </c>
    </row>
    <row r="100" spans="1:6" x14ac:dyDescent="0.45">
      <c r="A100" t="s">
        <v>441</v>
      </c>
      <c r="B100" t="s">
        <v>452</v>
      </c>
      <c r="C100">
        <v>57211871654</v>
      </c>
      <c r="D100">
        <v>57221141737</v>
      </c>
      <c r="E100">
        <v>86</v>
      </c>
      <c r="F100" t="str">
        <f>_xlfn.XLOOKUP(C100, '75'!$C$2:$C$1142, '75'!$F$2:$F$1142)</f>
        <v>no</v>
      </c>
    </row>
    <row r="101" spans="1:6" x14ac:dyDescent="0.45">
      <c r="A101" t="s">
        <v>459</v>
      </c>
      <c r="B101" t="s">
        <v>460</v>
      </c>
      <c r="C101">
        <v>8596306300</v>
      </c>
      <c r="D101">
        <v>57200560173</v>
      </c>
      <c r="E101">
        <v>83</v>
      </c>
      <c r="F101" t="str">
        <f>_xlfn.XLOOKUP(C101, '75'!$C$2:$C$1142, '75'!$F$2:$F$1142)</f>
        <v>no</v>
      </c>
    </row>
    <row r="102" spans="1:6" x14ac:dyDescent="0.45">
      <c r="A102" t="s">
        <v>464</v>
      </c>
      <c r="B102" t="s">
        <v>465</v>
      </c>
      <c r="C102">
        <v>56102570600</v>
      </c>
      <c r="D102">
        <v>57224748486</v>
      </c>
      <c r="E102">
        <v>83</v>
      </c>
      <c r="F102" t="str">
        <f>_xlfn.XLOOKUP(C102, '75'!$C$2:$C$1142, '75'!$F$2:$F$1142)</f>
        <v>ok</v>
      </c>
    </row>
    <row r="103" spans="1:6" x14ac:dyDescent="0.45">
      <c r="A103" t="s">
        <v>466</v>
      </c>
      <c r="B103" t="s">
        <v>467</v>
      </c>
      <c r="C103">
        <v>57202588460</v>
      </c>
      <c r="D103">
        <v>59315845200</v>
      </c>
      <c r="E103">
        <v>92</v>
      </c>
      <c r="F103" t="str">
        <f>_xlfn.XLOOKUP(C103, '75'!$C$2:$C$1142, '75'!$F$2:$F$1142)</f>
        <v>no</v>
      </c>
    </row>
    <row r="104" spans="1:6" x14ac:dyDescent="0.45">
      <c r="A104" t="s">
        <v>468</v>
      </c>
      <c r="B104" t="s">
        <v>469</v>
      </c>
      <c r="C104">
        <v>58274752000</v>
      </c>
      <c r="D104">
        <v>58161314200</v>
      </c>
      <c r="E104">
        <v>83</v>
      </c>
      <c r="F104" t="str">
        <f>_xlfn.XLOOKUP(C104, '75'!$C$2:$C$1142, '75'!$F$2:$F$1142)</f>
        <v>no</v>
      </c>
    </row>
    <row r="105" spans="1:6" x14ac:dyDescent="0.45">
      <c r="A105" t="s">
        <v>469</v>
      </c>
      <c r="B105" t="s">
        <v>472</v>
      </c>
      <c r="C105">
        <v>58161314200</v>
      </c>
      <c r="D105">
        <v>58854567800</v>
      </c>
      <c r="E105">
        <v>83</v>
      </c>
      <c r="F105" t="str">
        <f>_xlfn.XLOOKUP(C105, '75'!$C$2:$C$1142, '75'!$F$2:$F$1142)</f>
        <v>no</v>
      </c>
    </row>
    <row r="106" spans="1:6" x14ac:dyDescent="0.45">
      <c r="A106" t="s">
        <v>473</v>
      </c>
      <c r="B106" t="s">
        <v>474</v>
      </c>
      <c r="C106">
        <v>57212571216</v>
      </c>
      <c r="D106">
        <v>57197841951</v>
      </c>
      <c r="E106">
        <v>95</v>
      </c>
      <c r="F106" t="str">
        <f>_xlfn.XLOOKUP(C106, '75'!$C$2:$C$1142, '75'!$F$2:$F$1142)</f>
        <v>ok</v>
      </c>
    </row>
    <row r="107" spans="1:6" x14ac:dyDescent="0.45">
      <c r="A107" t="s">
        <v>475</v>
      </c>
      <c r="B107" t="s">
        <v>476</v>
      </c>
      <c r="C107">
        <v>59185018600</v>
      </c>
      <c r="D107">
        <v>57352587200</v>
      </c>
      <c r="E107">
        <v>85</v>
      </c>
      <c r="F107" t="str">
        <f>_xlfn.XLOOKUP(C107, '75'!$C$2:$C$1142, '75'!$F$2:$F$1142)</f>
        <v>no</v>
      </c>
    </row>
    <row r="108" spans="1:6" x14ac:dyDescent="0.45">
      <c r="A108" t="s">
        <v>477</v>
      </c>
      <c r="B108" t="s">
        <v>478</v>
      </c>
      <c r="C108">
        <v>57203603824</v>
      </c>
      <c r="D108">
        <v>57209116896</v>
      </c>
      <c r="E108">
        <v>85</v>
      </c>
      <c r="F108" t="str">
        <f>_xlfn.XLOOKUP(C108, '75'!$C$2:$C$1142, '75'!$F$2:$F$1142)</f>
        <v>no</v>
      </c>
    </row>
    <row r="109" spans="1:6" x14ac:dyDescent="0.45">
      <c r="A109" t="s">
        <v>487</v>
      </c>
      <c r="B109" t="s">
        <v>451</v>
      </c>
      <c r="C109">
        <v>57555413300</v>
      </c>
      <c r="D109">
        <v>59305897300</v>
      </c>
      <c r="E109">
        <v>87</v>
      </c>
      <c r="F109" t="str">
        <f>_xlfn.XLOOKUP(C109, '75'!$C$2:$C$1142, '75'!$F$2:$F$1142)</f>
        <v>ok</v>
      </c>
    </row>
    <row r="110" spans="1:6" x14ac:dyDescent="0.45">
      <c r="A110" t="s">
        <v>488</v>
      </c>
      <c r="B110" t="s">
        <v>489</v>
      </c>
      <c r="C110">
        <v>57214883229</v>
      </c>
      <c r="D110">
        <v>56575966800</v>
      </c>
      <c r="E110">
        <v>92</v>
      </c>
      <c r="F110" t="str">
        <f>_xlfn.XLOOKUP(C110, '75'!$C$2:$C$1142, '75'!$F$2:$F$1142)</f>
        <v>ok</v>
      </c>
    </row>
    <row r="111" spans="1:6" x14ac:dyDescent="0.45">
      <c r="A111" t="s">
        <v>490</v>
      </c>
      <c r="B111" t="s">
        <v>493</v>
      </c>
      <c r="C111">
        <v>58603818900</v>
      </c>
      <c r="D111">
        <v>59487044600</v>
      </c>
      <c r="E111">
        <v>87</v>
      </c>
      <c r="F111" t="str">
        <f>_xlfn.XLOOKUP(C111, '75'!$C$2:$C$1142, '75'!$F$2:$F$1142)</f>
        <v>no</v>
      </c>
    </row>
    <row r="112" spans="1:6" x14ac:dyDescent="0.45">
      <c r="A112" t="s">
        <v>495</v>
      </c>
      <c r="B112" t="s">
        <v>492</v>
      </c>
      <c r="C112">
        <v>8969748600</v>
      </c>
      <c r="D112">
        <v>59061428700</v>
      </c>
      <c r="E112">
        <v>82</v>
      </c>
      <c r="F112" t="str">
        <f>_xlfn.XLOOKUP(C112, '75'!$C$2:$C$1142, '75'!$F$2:$F$1142)</f>
        <v>ok</v>
      </c>
    </row>
    <row r="113" spans="1:6" x14ac:dyDescent="0.45">
      <c r="A113" t="s">
        <v>495</v>
      </c>
      <c r="B113" t="s">
        <v>496</v>
      </c>
      <c r="C113">
        <v>8969748600</v>
      </c>
      <c r="D113">
        <v>59732151800</v>
      </c>
      <c r="E113">
        <v>86</v>
      </c>
      <c r="F113" t="str">
        <f>_xlfn.XLOOKUP(C113, '75'!$C$2:$C$1142, '75'!$F$2:$F$1142)</f>
        <v>ok</v>
      </c>
    </row>
    <row r="114" spans="1:6" x14ac:dyDescent="0.45">
      <c r="A114" t="s">
        <v>497</v>
      </c>
      <c r="B114" t="s">
        <v>498</v>
      </c>
      <c r="C114">
        <v>58100818300</v>
      </c>
      <c r="D114">
        <v>44461638200</v>
      </c>
      <c r="E114">
        <v>97</v>
      </c>
      <c r="F114" t="str">
        <f>_xlfn.XLOOKUP(C114, '75'!$C$2:$C$1142, '75'!$F$2:$F$1142)</f>
        <v>ok</v>
      </c>
    </row>
    <row r="115" spans="1:6" x14ac:dyDescent="0.45">
      <c r="A115" t="s">
        <v>501</v>
      </c>
      <c r="B115" t="s">
        <v>503</v>
      </c>
      <c r="C115">
        <v>55540777300</v>
      </c>
      <c r="D115">
        <v>58669083900</v>
      </c>
      <c r="E115">
        <v>90</v>
      </c>
      <c r="F115" t="str">
        <f>_xlfn.XLOOKUP(C115, '75'!$C$2:$C$1142, '75'!$F$2:$F$1142)</f>
        <v>no</v>
      </c>
    </row>
    <row r="116" spans="1:6" x14ac:dyDescent="0.45">
      <c r="A116" t="s">
        <v>504</v>
      </c>
      <c r="B116" t="s">
        <v>506</v>
      </c>
      <c r="C116">
        <v>57208500706</v>
      </c>
      <c r="D116">
        <v>57419438300</v>
      </c>
      <c r="E116">
        <v>93</v>
      </c>
      <c r="F116" t="str">
        <f>_xlfn.XLOOKUP(C116, '75'!$C$2:$C$1142, '75'!$F$2:$F$1142)</f>
        <v>no</v>
      </c>
    </row>
    <row r="117" spans="1:6" x14ac:dyDescent="0.45">
      <c r="A117" t="s">
        <v>504</v>
      </c>
      <c r="B117" t="s">
        <v>507</v>
      </c>
      <c r="C117">
        <v>57208500706</v>
      </c>
      <c r="D117">
        <v>58930944200</v>
      </c>
      <c r="E117">
        <v>94</v>
      </c>
      <c r="F117" t="str">
        <f>_xlfn.XLOOKUP(C117, '75'!$C$2:$C$1142, '75'!$F$2:$F$1142)</f>
        <v>no</v>
      </c>
    </row>
    <row r="118" spans="1:6" x14ac:dyDescent="0.45">
      <c r="A118" t="s">
        <v>512</v>
      </c>
      <c r="B118" t="s">
        <v>513</v>
      </c>
      <c r="C118">
        <v>55477263200</v>
      </c>
      <c r="D118">
        <v>59661104900</v>
      </c>
      <c r="E118">
        <v>93</v>
      </c>
      <c r="F118" t="str">
        <f>_xlfn.XLOOKUP(C118, '75'!$C$2:$C$1142, '75'!$F$2:$F$1142)</f>
        <v>ok</v>
      </c>
    </row>
    <row r="119" spans="1:6" x14ac:dyDescent="0.45">
      <c r="A119" t="s">
        <v>502</v>
      </c>
      <c r="B119" t="s">
        <v>503</v>
      </c>
      <c r="C119">
        <v>57207257893</v>
      </c>
      <c r="D119">
        <v>58669083900</v>
      </c>
      <c r="E119">
        <v>86</v>
      </c>
      <c r="F119" t="str">
        <f>_xlfn.XLOOKUP(C119, '75'!$C$2:$C$1142, '75'!$F$2:$F$1142)</f>
        <v>no</v>
      </c>
    </row>
    <row r="120" spans="1:6" x14ac:dyDescent="0.45">
      <c r="A120" t="s">
        <v>525</v>
      </c>
      <c r="B120" t="s">
        <v>527</v>
      </c>
      <c r="C120">
        <v>55574212275</v>
      </c>
      <c r="D120">
        <v>57207946091</v>
      </c>
      <c r="E120">
        <v>83</v>
      </c>
      <c r="F120" t="str">
        <f>_xlfn.XLOOKUP(C120, '75'!$C$2:$C$1142, '75'!$F$2:$F$1142)</f>
        <v>no</v>
      </c>
    </row>
    <row r="121" spans="1:6" x14ac:dyDescent="0.45">
      <c r="A121" t="s">
        <v>532</v>
      </c>
      <c r="B121" t="s">
        <v>533</v>
      </c>
      <c r="C121">
        <v>55904182200</v>
      </c>
      <c r="D121">
        <v>59516564600</v>
      </c>
      <c r="E121">
        <v>94</v>
      </c>
      <c r="F121" t="str">
        <f>_xlfn.XLOOKUP(C121, '75'!$C$2:$C$1142, '75'!$F$2:$F$1142)</f>
        <v>ok</v>
      </c>
    </row>
    <row r="122" spans="1:6" x14ac:dyDescent="0.45">
      <c r="A122" t="s">
        <v>491</v>
      </c>
      <c r="B122" t="s">
        <v>537</v>
      </c>
      <c r="C122">
        <v>57210262931</v>
      </c>
      <c r="D122">
        <v>57205694562</v>
      </c>
      <c r="E122">
        <v>84</v>
      </c>
      <c r="F122" t="str">
        <f>_xlfn.XLOOKUP(C122, '75'!$C$2:$C$1142, '75'!$F$2:$F$1142)</f>
        <v>no</v>
      </c>
    </row>
    <row r="123" spans="1:6" x14ac:dyDescent="0.45">
      <c r="A123" t="s">
        <v>505</v>
      </c>
      <c r="B123" t="s">
        <v>543</v>
      </c>
      <c r="C123">
        <v>57191371558</v>
      </c>
      <c r="D123">
        <v>57212311896</v>
      </c>
      <c r="E123">
        <v>89</v>
      </c>
      <c r="F123" t="str">
        <f>_xlfn.XLOOKUP(C123, '75'!$C$2:$C$1142, '75'!$F$2:$F$1142)</f>
        <v>no</v>
      </c>
    </row>
    <row r="124" spans="1:6" x14ac:dyDescent="0.45">
      <c r="A124" t="s">
        <v>505</v>
      </c>
      <c r="B124" t="s">
        <v>508</v>
      </c>
      <c r="C124">
        <v>57191371558</v>
      </c>
      <c r="D124">
        <v>57192301448</v>
      </c>
      <c r="E124">
        <v>88</v>
      </c>
      <c r="F124" t="str">
        <f>_xlfn.XLOOKUP(C124, '75'!$C$2:$C$1142, '75'!$F$2:$F$1142)</f>
        <v>no</v>
      </c>
    </row>
    <row r="125" spans="1:6" x14ac:dyDescent="0.45">
      <c r="A125" t="s">
        <v>541</v>
      </c>
      <c r="B125" t="s">
        <v>559</v>
      </c>
      <c r="C125">
        <v>57189987947</v>
      </c>
      <c r="D125">
        <v>57218939828</v>
      </c>
      <c r="E125">
        <v>86</v>
      </c>
      <c r="F125" t="str">
        <f>_xlfn.XLOOKUP(C125, '75'!$C$2:$C$1142, '75'!$F$2:$F$1142)</f>
        <v>no</v>
      </c>
    </row>
    <row r="126" spans="1:6" x14ac:dyDescent="0.45">
      <c r="A126" t="s">
        <v>560</v>
      </c>
      <c r="B126" t="s">
        <v>561</v>
      </c>
      <c r="C126">
        <v>57217039511</v>
      </c>
      <c r="D126">
        <v>57364393000</v>
      </c>
      <c r="E126">
        <v>86</v>
      </c>
      <c r="F126" t="str">
        <f>_xlfn.XLOOKUP(C126, '75'!$C$2:$C$1142, '75'!$F$2:$F$1142)</f>
        <v>no</v>
      </c>
    </row>
    <row r="127" spans="1:6" x14ac:dyDescent="0.45">
      <c r="A127" t="s">
        <v>563</v>
      </c>
      <c r="B127" t="s">
        <v>564</v>
      </c>
      <c r="C127">
        <v>59785163100</v>
      </c>
      <c r="D127">
        <v>56306779600</v>
      </c>
      <c r="E127">
        <v>84</v>
      </c>
      <c r="F127" t="str">
        <f>_xlfn.XLOOKUP(C127, '75'!$C$2:$C$1142, '75'!$F$2:$F$1142)</f>
        <v>no</v>
      </c>
    </row>
    <row r="128" spans="1:6" x14ac:dyDescent="0.45">
      <c r="A128" t="s">
        <v>568</v>
      </c>
      <c r="B128" t="s">
        <v>569</v>
      </c>
      <c r="C128">
        <v>57831947600</v>
      </c>
      <c r="D128">
        <v>59114291700</v>
      </c>
      <c r="E128">
        <v>84</v>
      </c>
      <c r="F128" t="str">
        <f>_xlfn.XLOOKUP(C128, '75'!$C$2:$C$1142, '75'!$F$2:$F$1142)</f>
        <v>ok</v>
      </c>
    </row>
    <row r="129" spans="1:6" x14ac:dyDescent="0.45">
      <c r="A129" t="s">
        <v>570</v>
      </c>
      <c r="B129" t="s">
        <v>571</v>
      </c>
      <c r="C129">
        <v>56803251500</v>
      </c>
      <c r="D129">
        <v>58292542600</v>
      </c>
      <c r="E129">
        <v>82</v>
      </c>
      <c r="F129" t="str">
        <f>_xlfn.XLOOKUP(C129, '75'!$C$2:$C$1142, '75'!$F$2:$F$1142)</f>
        <v>no</v>
      </c>
    </row>
    <row r="130" spans="1:6" x14ac:dyDescent="0.45">
      <c r="A130" t="s">
        <v>492</v>
      </c>
      <c r="B130" t="s">
        <v>496</v>
      </c>
      <c r="C130">
        <v>59061428700</v>
      </c>
      <c r="D130">
        <v>59732151800</v>
      </c>
      <c r="E130">
        <v>90</v>
      </c>
      <c r="F130" t="str">
        <f>_xlfn.XLOOKUP(C130, '75'!$C$2:$C$1142, '75'!$F$2:$F$1142)</f>
        <v>no</v>
      </c>
    </row>
    <row r="131" spans="1:6" x14ac:dyDescent="0.45">
      <c r="A131" t="s">
        <v>557</v>
      </c>
      <c r="B131" t="s">
        <v>531</v>
      </c>
      <c r="C131">
        <v>58555571700</v>
      </c>
      <c r="D131">
        <v>58436524800</v>
      </c>
      <c r="E131">
        <v>82</v>
      </c>
      <c r="F131" t="str">
        <f>_xlfn.XLOOKUP(C131, '75'!$C$2:$C$1142, '75'!$F$2:$F$1142)</f>
        <v>no</v>
      </c>
    </row>
    <row r="132" spans="1:6" x14ac:dyDescent="0.45">
      <c r="A132" t="s">
        <v>557</v>
      </c>
      <c r="B132" t="s">
        <v>575</v>
      </c>
      <c r="C132">
        <v>58555571700</v>
      </c>
      <c r="D132">
        <v>57204916659</v>
      </c>
      <c r="E132">
        <v>82</v>
      </c>
      <c r="F132" t="str">
        <f>_xlfn.XLOOKUP(C132, '75'!$C$2:$C$1142, '75'!$F$2:$F$1142)</f>
        <v>no</v>
      </c>
    </row>
    <row r="133" spans="1:6" x14ac:dyDescent="0.45">
      <c r="A133" t="s">
        <v>557</v>
      </c>
      <c r="B133" t="s">
        <v>538</v>
      </c>
      <c r="C133">
        <v>58555571700</v>
      </c>
      <c r="D133">
        <v>57216939987</v>
      </c>
      <c r="E133">
        <v>82</v>
      </c>
      <c r="F133" t="str">
        <f>_xlfn.XLOOKUP(C133, '75'!$C$2:$C$1142, '75'!$F$2:$F$1142)</f>
        <v>no</v>
      </c>
    </row>
    <row r="134" spans="1:6" x14ac:dyDescent="0.45">
      <c r="A134" t="s">
        <v>564</v>
      </c>
      <c r="B134" t="s">
        <v>580</v>
      </c>
      <c r="C134">
        <v>56306779600</v>
      </c>
      <c r="D134">
        <v>57225920605</v>
      </c>
      <c r="E134">
        <v>84</v>
      </c>
      <c r="F134" t="str">
        <f>_xlfn.XLOOKUP(C134, '75'!$C$2:$C$1142, '75'!$F$2:$F$1142)</f>
        <v>no</v>
      </c>
    </row>
    <row r="135" spans="1:6" x14ac:dyDescent="0.45">
      <c r="A135" t="s">
        <v>581</v>
      </c>
      <c r="B135" t="s">
        <v>583</v>
      </c>
      <c r="C135">
        <v>57211756552</v>
      </c>
      <c r="D135">
        <v>57323476000</v>
      </c>
      <c r="E135">
        <v>88</v>
      </c>
      <c r="F135" t="str">
        <f>_xlfn.XLOOKUP(C135, '75'!$C$2:$C$1142, '75'!$F$2:$F$1142)</f>
        <v>no</v>
      </c>
    </row>
    <row r="136" spans="1:6" x14ac:dyDescent="0.45">
      <c r="A136" t="s">
        <v>506</v>
      </c>
      <c r="B136" t="s">
        <v>507</v>
      </c>
      <c r="C136">
        <v>57419438300</v>
      </c>
      <c r="D136">
        <v>58930944200</v>
      </c>
      <c r="E136">
        <v>88</v>
      </c>
      <c r="F136" t="str">
        <f>_xlfn.XLOOKUP(C136, '75'!$C$2:$C$1142, '75'!$F$2:$F$1142)</f>
        <v>no</v>
      </c>
    </row>
    <row r="137" spans="1:6" x14ac:dyDescent="0.45">
      <c r="A137" t="s">
        <v>584</v>
      </c>
      <c r="B137" t="s">
        <v>531</v>
      </c>
      <c r="C137">
        <v>57218566585</v>
      </c>
      <c r="D137">
        <v>58436524800</v>
      </c>
      <c r="E137">
        <v>88</v>
      </c>
      <c r="F137" t="str">
        <f>_xlfn.XLOOKUP(C137, '75'!$C$2:$C$1142, '75'!$F$2:$F$1142)</f>
        <v>no</v>
      </c>
    </row>
    <row r="138" spans="1:6" x14ac:dyDescent="0.45">
      <c r="A138" t="s">
        <v>596</v>
      </c>
      <c r="B138" t="s">
        <v>517</v>
      </c>
      <c r="C138">
        <v>57203855079</v>
      </c>
      <c r="D138">
        <v>59710754100</v>
      </c>
      <c r="E138">
        <v>82</v>
      </c>
      <c r="F138" t="str">
        <f>_xlfn.XLOOKUP(C138, '75'!$C$2:$C$1142, '75'!$F$2:$F$1142)</f>
        <v>no</v>
      </c>
    </row>
    <row r="139" spans="1:6" x14ac:dyDescent="0.45">
      <c r="A139" t="s">
        <v>602</v>
      </c>
      <c r="B139" t="s">
        <v>603</v>
      </c>
      <c r="C139">
        <v>6603359570</v>
      </c>
      <c r="D139">
        <v>56529642000</v>
      </c>
      <c r="E139">
        <v>90</v>
      </c>
      <c r="F139" t="str">
        <f>_xlfn.XLOOKUP(C139, '75'!$C$2:$C$1142, '75'!$F$2:$F$1142)</f>
        <v>ok</v>
      </c>
    </row>
    <row r="140" spans="1:6" x14ac:dyDescent="0.45">
      <c r="A140" t="s">
        <v>604</v>
      </c>
      <c r="B140" t="s">
        <v>605</v>
      </c>
      <c r="C140">
        <v>57218533490</v>
      </c>
      <c r="D140">
        <v>59774208600</v>
      </c>
      <c r="E140">
        <v>83</v>
      </c>
      <c r="F140" t="str">
        <f>_xlfn.XLOOKUP(C140, '75'!$C$2:$C$1142, '75'!$F$2:$F$1142)</f>
        <v>no</v>
      </c>
    </row>
    <row r="141" spans="1:6" x14ac:dyDescent="0.45">
      <c r="A141" t="s">
        <v>606</v>
      </c>
      <c r="B141" t="s">
        <v>607</v>
      </c>
      <c r="C141">
        <v>58481182500</v>
      </c>
      <c r="D141">
        <v>57856271800</v>
      </c>
      <c r="E141">
        <v>82</v>
      </c>
      <c r="F141" t="str">
        <f>_xlfn.XLOOKUP(C141, '75'!$C$2:$C$1142, '75'!$F$2:$F$1142)</f>
        <v>no</v>
      </c>
    </row>
    <row r="142" spans="1:6" x14ac:dyDescent="0.45">
      <c r="A142" t="s">
        <v>609</v>
      </c>
      <c r="B142" t="s">
        <v>610</v>
      </c>
      <c r="C142">
        <v>55924372600</v>
      </c>
      <c r="D142">
        <v>58546087400</v>
      </c>
      <c r="E142">
        <v>82</v>
      </c>
      <c r="F142" t="str">
        <f>_xlfn.XLOOKUP(C142, '75'!$C$2:$C$1142, '75'!$F$2:$F$1142)</f>
        <v>no</v>
      </c>
    </row>
    <row r="143" spans="1:6" x14ac:dyDescent="0.45">
      <c r="A143" t="s">
        <v>595</v>
      </c>
      <c r="B143" t="s">
        <v>620</v>
      </c>
      <c r="C143">
        <v>57193577134</v>
      </c>
      <c r="D143">
        <v>58318064600</v>
      </c>
      <c r="E143">
        <v>82</v>
      </c>
      <c r="F143" t="str">
        <f>_xlfn.XLOOKUP(C143, '75'!$C$2:$C$1142, '75'!$F$2:$F$1142)</f>
        <v>no</v>
      </c>
    </row>
    <row r="144" spans="1:6" x14ac:dyDescent="0.45">
      <c r="A144" t="s">
        <v>573</v>
      </c>
      <c r="B144" t="s">
        <v>574</v>
      </c>
      <c r="C144">
        <v>57980252100</v>
      </c>
      <c r="D144">
        <v>57216867749</v>
      </c>
      <c r="E144">
        <v>86</v>
      </c>
      <c r="F144" t="str">
        <f>_xlfn.XLOOKUP(C144, '75'!$C$2:$C$1142, '75'!$F$2:$F$1142)</f>
        <v>no</v>
      </c>
    </row>
    <row r="145" spans="1:6" x14ac:dyDescent="0.45">
      <c r="A145" t="s">
        <v>621</v>
      </c>
      <c r="B145" t="s">
        <v>529</v>
      </c>
      <c r="C145">
        <v>57888134600</v>
      </c>
      <c r="D145">
        <v>57226790697</v>
      </c>
      <c r="E145">
        <v>82</v>
      </c>
      <c r="F145" t="str">
        <f>_xlfn.XLOOKUP(C145, '75'!$C$2:$C$1142, '75'!$F$2:$F$1142)</f>
        <v>no</v>
      </c>
    </row>
    <row r="146" spans="1:6" x14ac:dyDescent="0.45">
      <c r="A146" t="s">
        <v>623</v>
      </c>
      <c r="B146" t="s">
        <v>624</v>
      </c>
      <c r="C146">
        <v>57197841332</v>
      </c>
      <c r="D146">
        <v>58701988800</v>
      </c>
      <c r="E146">
        <v>86</v>
      </c>
      <c r="F146" t="str">
        <f>_xlfn.XLOOKUP(C146, '75'!$C$2:$C$1142, '75'!$F$2:$F$1142)</f>
        <v>no</v>
      </c>
    </row>
    <row r="147" spans="1:6" x14ac:dyDescent="0.45">
      <c r="A147" t="s">
        <v>590</v>
      </c>
      <c r="B147" t="s">
        <v>625</v>
      </c>
      <c r="C147">
        <v>57224091825</v>
      </c>
      <c r="D147">
        <v>59390171200</v>
      </c>
      <c r="E147">
        <v>82</v>
      </c>
      <c r="F147" t="str">
        <f>_xlfn.XLOOKUP(C147, '75'!$C$2:$C$1142, '75'!$F$2:$F$1142)</f>
        <v>no</v>
      </c>
    </row>
    <row r="148" spans="1:6" x14ac:dyDescent="0.45">
      <c r="A148" t="s">
        <v>627</v>
      </c>
      <c r="B148" t="s">
        <v>598</v>
      </c>
      <c r="C148">
        <v>57213395060</v>
      </c>
      <c r="D148">
        <v>57219825843</v>
      </c>
      <c r="E148">
        <v>89</v>
      </c>
      <c r="F148" t="str">
        <f>_xlfn.XLOOKUP(C148, '75'!$C$2:$C$1142, '75'!$F$2:$F$1142)</f>
        <v>no</v>
      </c>
    </row>
    <row r="149" spans="1:6" x14ac:dyDescent="0.45">
      <c r="A149" t="s">
        <v>585</v>
      </c>
      <c r="B149" t="s">
        <v>531</v>
      </c>
      <c r="C149">
        <v>57226157890</v>
      </c>
      <c r="D149">
        <v>58436524800</v>
      </c>
      <c r="E149">
        <v>88</v>
      </c>
      <c r="F149" t="str">
        <f>_xlfn.XLOOKUP(C149, '75'!$C$2:$C$1142, '75'!$F$2:$F$1142)</f>
        <v>no</v>
      </c>
    </row>
    <row r="150" spans="1:6" x14ac:dyDescent="0.45">
      <c r="A150" t="s">
        <v>632</v>
      </c>
      <c r="B150" t="s">
        <v>527</v>
      </c>
      <c r="C150">
        <v>57221698253</v>
      </c>
      <c r="D150">
        <v>57207946091</v>
      </c>
      <c r="E150">
        <v>86</v>
      </c>
      <c r="F150" t="str">
        <f>_xlfn.XLOOKUP(C150, '75'!$C$2:$C$1142, '75'!$F$2:$F$1142)</f>
        <v>no</v>
      </c>
    </row>
    <row r="151" spans="1:6" x14ac:dyDescent="0.45">
      <c r="A151" t="s">
        <v>531</v>
      </c>
      <c r="B151" t="s">
        <v>538</v>
      </c>
      <c r="C151">
        <v>58436524800</v>
      </c>
      <c r="D151">
        <v>57216939987</v>
      </c>
      <c r="E151">
        <v>86</v>
      </c>
      <c r="F151" t="str">
        <f>_xlfn.XLOOKUP(C151, '75'!$C$2:$C$1142, '75'!$F$2:$F$1142)</f>
        <v>no</v>
      </c>
    </row>
    <row r="152" spans="1:6" x14ac:dyDescent="0.45">
      <c r="A152" t="s">
        <v>561</v>
      </c>
      <c r="B152" t="s">
        <v>634</v>
      </c>
      <c r="C152">
        <v>57364393000</v>
      </c>
      <c r="D152">
        <v>57199453570</v>
      </c>
      <c r="E152">
        <v>83</v>
      </c>
      <c r="F152" t="str">
        <f>_xlfn.XLOOKUP(C152, '75'!$C$2:$C$1142, '75'!$F$2:$F$1142)</f>
        <v>no</v>
      </c>
    </row>
    <row r="153" spans="1:6" x14ac:dyDescent="0.45">
      <c r="A153" t="s">
        <v>526</v>
      </c>
      <c r="B153" t="s">
        <v>527</v>
      </c>
      <c r="C153">
        <v>59357212900</v>
      </c>
      <c r="D153">
        <v>57207946091</v>
      </c>
      <c r="E153">
        <v>88</v>
      </c>
      <c r="F153" t="str">
        <f>_xlfn.XLOOKUP(C153, '75'!$C$2:$C$1142, '75'!$F$2:$F$1142)</f>
        <v>no</v>
      </c>
    </row>
    <row r="154" spans="1:6" x14ac:dyDescent="0.45">
      <c r="A154" t="s">
        <v>635</v>
      </c>
      <c r="B154" t="s">
        <v>636</v>
      </c>
      <c r="C154">
        <v>55992234300</v>
      </c>
      <c r="D154">
        <v>59203928900</v>
      </c>
      <c r="E154">
        <v>89</v>
      </c>
      <c r="F154" t="str">
        <f>_xlfn.XLOOKUP(C154, '75'!$C$2:$C$1142, '75'!$F$2:$F$1142)</f>
        <v>ok</v>
      </c>
    </row>
    <row r="155" spans="1:6" x14ac:dyDescent="0.45">
      <c r="A155" t="s">
        <v>641</v>
      </c>
      <c r="B155" t="s">
        <v>642</v>
      </c>
      <c r="C155">
        <v>15750967800</v>
      </c>
      <c r="D155">
        <v>56659815100</v>
      </c>
      <c r="E155">
        <v>97</v>
      </c>
      <c r="F155" t="str">
        <f>_xlfn.XLOOKUP(C155, '75'!$C$2:$C$1142, '75'!$F$2:$F$1142)</f>
        <v>ok</v>
      </c>
    </row>
    <row r="156" spans="1:6" x14ac:dyDescent="0.45">
      <c r="A156" t="s">
        <v>666</v>
      </c>
      <c r="B156" t="s">
        <v>667</v>
      </c>
      <c r="C156">
        <v>35173508900</v>
      </c>
      <c r="D156">
        <v>59393740200</v>
      </c>
      <c r="E156">
        <v>94</v>
      </c>
      <c r="F156" t="str">
        <f>_xlfn.XLOOKUP(C156, '75'!$C$2:$C$1142, '75'!$F$2:$F$1142)</f>
        <v>ok</v>
      </c>
    </row>
    <row r="157" spans="1:6" x14ac:dyDescent="0.45">
      <c r="A157" t="s">
        <v>671</v>
      </c>
      <c r="B157" t="s">
        <v>672</v>
      </c>
      <c r="C157">
        <v>57188701186</v>
      </c>
      <c r="D157">
        <v>57194212166</v>
      </c>
      <c r="E157">
        <v>82</v>
      </c>
      <c r="F157" t="str">
        <f>_xlfn.XLOOKUP(C157, '75'!$C$2:$C$1142, '75'!$F$2:$F$1142)</f>
        <v>no</v>
      </c>
    </row>
    <row r="158" spans="1:6" x14ac:dyDescent="0.45">
      <c r="A158" t="s">
        <v>679</v>
      </c>
      <c r="B158" t="s">
        <v>680</v>
      </c>
      <c r="C158">
        <v>57204627910</v>
      </c>
      <c r="D158">
        <v>59552567400</v>
      </c>
      <c r="E158">
        <v>83</v>
      </c>
      <c r="F158" t="str">
        <f>_xlfn.XLOOKUP(C158, '75'!$C$2:$C$1142, '75'!$F$2:$F$1142)</f>
        <v>no</v>
      </c>
    </row>
    <row r="159" spans="1:6" x14ac:dyDescent="0.45">
      <c r="A159" t="s">
        <v>638</v>
      </c>
      <c r="B159" t="s">
        <v>694</v>
      </c>
      <c r="C159">
        <v>56697869300</v>
      </c>
      <c r="D159">
        <v>59710417000</v>
      </c>
      <c r="E159">
        <v>85</v>
      </c>
      <c r="F159" t="str">
        <f>_xlfn.XLOOKUP(C159, '75'!$C$2:$C$1142, '75'!$F$2:$F$1142)</f>
        <v>no</v>
      </c>
    </row>
    <row r="160" spans="1:6" x14ac:dyDescent="0.45">
      <c r="A160" t="s">
        <v>696</v>
      </c>
      <c r="B160" t="s">
        <v>697</v>
      </c>
      <c r="C160">
        <v>57219096600</v>
      </c>
      <c r="D160">
        <v>57223897530</v>
      </c>
      <c r="E160">
        <v>83</v>
      </c>
      <c r="F160" t="str">
        <f>_xlfn.XLOOKUP(C160, '75'!$C$2:$C$1142, '75'!$F$2:$F$1142)</f>
        <v>no</v>
      </c>
    </row>
    <row r="161" spans="1:6" x14ac:dyDescent="0.45">
      <c r="A161" t="s">
        <v>698</v>
      </c>
      <c r="B161" t="s">
        <v>699</v>
      </c>
      <c r="C161">
        <v>57219499119</v>
      </c>
      <c r="D161">
        <v>57229919200</v>
      </c>
      <c r="E161">
        <v>89</v>
      </c>
      <c r="F161" t="str">
        <f>_xlfn.XLOOKUP(C161, '75'!$C$2:$C$1142, '75'!$F$2:$F$1142)</f>
        <v>no</v>
      </c>
    </row>
    <row r="162" spans="1:6" x14ac:dyDescent="0.45">
      <c r="A162" t="s">
        <v>693</v>
      </c>
      <c r="B162" t="s">
        <v>694</v>
      </c>
      <c r="C162">
        <v>57204080026</v>
      </c>
      <c r="D162">
        <v>59710417000</v>
      </c>
      <c r="E162">
        <v>85</v>
      </c>
      <c r="F162" t="str">
        <f>_xlfn.XLOOKUP(C162, '75'!$C$2:$C$1142, '75'!$F$2:$F$1142)</f>
        <v>no</v>
      </c>
    </row>
    <row r="163" spans="1:6" x14ac:dyDescent="0.45">
      <c r="A163" t="s">
        <v>658</v>
      </c>
      <c r="B163" t="s">
        <v>659</v>
      </c>
      <c r="C163">
        <v>58958691400</v>
      </c>
      <c r="D163">
        <v>59126397000</v>
      </c>
      <c r="E163">
        <v>87</v>
      </c>
      <c r="F163" t="str">
        <f>_xlfn.XLOOKUP(C163, '75'!$C$2:$C$1142, '75'!$F$2:$F$1142)</f>
        <v>no</v>
      </c>
    </row>
    <row r="164" spans="1:6" x14ac:dyDescent="0.45">
      <c r="A164" t="s">
        <v>707</v>
      </c>
      <c r="B164" t="s">
        <v>709</v>
      </c>
      <c r="C164">
        <v>59332737300</v>
      </c>
      <c r="D164">
        <v>58481391200</v>
      </c>
      <c r="E164">
        <v>94</v>
      </c>
      <c r="F164" t="str">
        <f>_xlfn.XLOOKUP(C164, '75'!$C$2:$C$1142, '75'!$F$2:$F$1142)</f>
        <v>no</v>
      </c>
    </row>
    <row r="165" spans="1:6" x14ac:dyDescent="0.45">
      <c r="A165" t="s">
        <v>713</v>
      </c>
      <c r="B165" t="s">
        <v>714</v>
      </c>
      <c r="C165">
        <v>57219449940</v>
      </c>
      <c r="D165">
        <v>57210807569</v>
      </c>
      <c r="E165">
        <v>92</v>
      </c>
      <c r="F165" t="str">
        <f>_xlfn.XLOOKUP(C165, '75'!$C$2:$C$1142, '75'!$F$2:$F$1142)</f>
        <v>no</v>
      </c>
    </row>
    <row r="166" spans="1:6" x14ac:dyDescent="0.45">
      <c r="A166" t="s">
        <v>725</v>
      </c>
      <c r="B166" t="s">
        <v>726</v>
      </c>
      <c r="C166">
        <v>56647738300</v>
      </c>
      <c r="D166">
        <v>58070953400</v>
      </c>
      <c r="E166">
        <v>97</v>
      </c>
      <c r="F166" t="str">
        <f>_xlfn.XLOOKUP(C166, '75'!$C$2:$C$1142, '75'!$F$2:$F$1142)</f>
        <v>ok</v>
      </c>
    </row>
    <row r="167" spans="1:6" x14ac:dyDescent="0.45">
      <c r="A167" t="s">
        <v>729</v>
      </c>
      <c r="B167" t="s">
        <v>731</v>
      </c>
      <c r="C167">
        <v>35227745700</v>
      </c>
      <c r="D167">
        <v>57202570602</v>
      </c>
      <c r="E167">
        <v>82</v>
      </c>
      <c r="F167" t="str">
        <f>_xlfn.XLOOKUP(C167, '75'!$C$2:$C$1142, '75'!$F$2:$F$1142)</f>
        <v>ok</v>
      </c>
    </row>
    <row r="168" spans="1:6" x14ac:dyDescent="0.45">
      <c r="A168" t="s">
        <v>730</v>
      </c>
      <c r="B168" t="s">
        <v>731</v>
      </c>
      <c r="C168">
        <v>57202558154</v>
      </c>
      <c r="D168">
        <v>57202570602</v>
      </c>
      <c r="E168">
        <v>95</v>
      </c>
      <c r="F168" t="str">
        <f>_xlfn.XLOOKUP(C168, '75'!$C$2:$C$1142, '75'!$F$2:$F$1142)</f>
        <v>ok</v>
      </c>
    </row>
    <row r="169" spans="1:6" x14ac:dyDescent="0.45">
      <c r="A169" t="s">
        <v>734</v>
      </c>
      <c r="B169" t="s">
        <v>735</v>
      </c>
      <c r="C169">
        <v>57219467977</v>
      </c>
      <c r="D169">
        <v>43461611700</v>
      </c>
      <c r="E169">
        <v>97</v>
      </c>
      <c r="F169" t="str">
        <f>_xlfn.XLOOKUP(C169, '75'!$C$2:$C$1142, '75'!$F$2:$F$1142)</f>
        <v>ok</v>
      </c>
    </row>
    <row r="170" spans="1:6" x14ac:dyDescent="0.45">
      <c r="A170" t="s">
        <v>736</v>
      </c>
      <c r="B170" t="s">
        <v>733</v>
      </c>
      <c r="C170">
        <v>57213737060</v>
      </c>
      <c r="D170">
        <v>57647220300</v>
      </c>
      <c r="E170">
        <v>96</v>
      </c>
      <c r="F170" t="str">
        <f>_xlfn.XLOOKUP(C170, '75'!$C$2:$C$1142, '75'!$F$2:$F$1142)</f>
        <v>ok</v>
      </c>
    </row>
    <row r="171" spans="1:6" x14ac:dyDescent="0.45">
      <c r="A171" t="s">
        <v>737</v>
      </c>
      <c r="B171" t="s">
        <v>738</v>
      </c>
      <c r="C171">
        <v>57198433638</v>
      </c>
      <c r="D171">
        <v>57221371161</v>
      </c>
      <c r="E171">
        <v>97</v>
      </c>
      <c r="F171" t="str">
        <f>_xlfn.XLOOKUP(C171, '75'!$C$2:$C$1142, '75'!$F$2:$F$1142)</f>
        <v>ok</v>
      </c>
    </row>
    <row r="172" spans="1:6" x14ac:dyDescent="0.45">
      <c r="A172" t="s">
        <v>739</v>
      </c>
      <c r="B172" t="s">
        <v>740</v>
      </c>
      <c r="C172">
        <v>59124444900</v>
      </c>
      <c r="D172">
        <v>58862940500</v>
      </c>
      <c r="E172">
        <v>94</v>
      </c>
      <c r="F172" t="str">
        <f>_xlfn.XLOOKUP(C172, '75'!$C$2:$C$1142, '75'!$F$2:$F$1142)</f>
        <v>ok</v>
      </c>
    </row>
    <row r="173" spans="1:6" x14ac:dyDescent="0.45">
      <c r="A173" t="s">
        <v>741</v>
      </c>
      <c r="B173" t="s">
        <v>742</v>
      </c>
      <c r="C173">
        <v>24466885300</v>
      </c>
      <c r="D173">
        <v>57209368500</v>
      </c>
      <c r="E173">
        <v>98</v>
      </c>
      <c r="F173" t="str">
        <f>_xlfn.XLOOKUP(C173, '75'!$C$2:$C$1142, '75'!$F$2:$F$1142)</f>
        <v>ok</v>
      </c>
    </row>
    <row r="174" spans="1:6" x14ac:dyDescent="0.45">
      <c r="A174" t="s">
        <v>743</v>
      </c>
      <c r="B174" t="s">
        <v>744</v>
      </c>
      <c r="C174">
        <v>57214225625</v>
      </c>
      <c r="D174">
        <v>57222108764</v>
      </c>
      <c r="E174">
        <v>98</v>
      </c>
      <c r="F174" t="str">
        <f>_xlfn.XLOOKUP(C174, '75'!$C$2:$C$1142, '75'!$F$2:$F$1142)</f>
        <v>ok</v>
      </c>
    </row>
    <row r="175" spans="1:6" x14ac:dyDescent="0.45">
      <c r="A175" t="s">
        <v>743</v>
      </c>
      <c r="B175" t="s">
        <v>745</v>
      </c>
      <c r="C175">
        <v>57214225625</v>
      </c>
      <c r="D175">
        <v>57221995059</v>
      </c>
      <c r="E175">
        <v>98</v>
      </c>
      <c r="F175" t="str">
        <f>_xlfn.XLOOKUP(C175, '75'!$C$2:$C$1142, '75'!$F$2:$F$1142)</f>
        <v>ok</v>
      </c>
    </row>
    <row r="176" spans="1:6" x14ac:dyDescent="0.45">
      <c r="A176" t="s">
        <v>744</v>
      </c>
      <c r="B176" t="s">
        <v>745</v>
      </c>
      <c r="C176">
        <v>57222108764</v>
      </c>
      <c r="D176">
        <v>57221995059</v>
      </c>
      <c r="E176">
        <v>96</v>
      </c>
      <c r="F176" t="str">
        <f>_xlfn.XLOOKUP(C176, '75'!$C$2:$C$1142, '75'!$F$2:$F$1142)</f>
        <v>ok</v>
      </c>
    </row>
    <row r="177" spans="1:6" x14ac:dyDescent="0.45">
      <c r="A177" t="s">
        <v>746</v>
      </c>
      <c r="B177" t="s">
        <v>747</v>
      </c>
      <c r="C177">
        <v>58504367700</v>
      </c>
      <c r="D177">
        <v>58749655300</v>
      </c>
      <c r="E177">
        <v>97</v>
      </c>
      <c r="F177" t="str">
        <f>_xlfn.XLOOKUP(C177, '75'!$C$2:$C$1142, '75'!$F$2:$F$1142)</f>
        <v>ok</v>
      </c>
    </row>
    <row r="178" spans="1:6" x14ac:dyDescent="0.45">
      <c r="A178" t="s">
        <v>752</v>
      </c>
      <c r="B178" t="s">
        <v>753</v>
      </c>
      <c r="C178">
        <v>57189261670</v>
      </c>
      <c r="D178">
        <v>57670607700</v>
      </c>
      <c r="E178">
        <v>97</v>
      </c>
      <c r="F178" t="str">
        <f>_xlfn.XLOOKUP(C178, '75'!$C$2:$C$1142, '75'!$F$2:$F$1142)</f>
        <v>ok</v>
      </c>
    </row>
    <row r="179" spans="1:6" x14ac:dyDescent="0.45">
      <c r="A179" t="s">
        <v>754</v>
      </c>
      <c r="B179" t="s">
        <v>755</v>
      </c>
      <c r="C179">
        <v>58494532600</v>
      </c>
      <c r="D179">
        <v>58555668700</v>
      </c>
      <c r="E179">
        <v>94</v>
      </c>
      <c r="F179" t="str">
        <f>_xlfn.XLOOKUP(C179, '75'!$C$2:$C$1142, '75'!$F$2:$F$1142)</f>
        <v>ok</v>
      </c>
    </row>
    <row r="180" spans="1:6" x14ac:dyDescent="0.45">
      <c r="A180" t="s">
        <v>756</v>
      </c>
      <c r="B180" t="s">
        <v>757</v>
      </c>
      <c r="C180">
        <v>57208216498</v>
      </c>
      <c r="D180">
        <v>57208378019</v>
      </c>
      <c r="E180">
        <v>84</v>
      </c>
      <c r="F180" t="str">
        <f>_xlfn.XLOOKUP(C180, '75'!$C$2:$C$1142, '75'!$F$2:$F$1142)</f>
        <v>no</v>
      </c>
    </row>
    <row r="181" spans="1:6" x14ac:dyDescent="0.45">
      <c r="A181" t="s">
        <v>756</v>
      </c>
      <c r="B181" t="s">
        <v>758</v>
      </c>
      <c r="C181">
        <v>57208216498</v>
      </c>
      <c r="D181">
        <v>57703123400</v>
      </c>
      <c r="E181">
        <v>96</v>
      </c>
      <c r="F181" t="str">
        <f>_xlfn.XLOOKUP(C181, '75'!$C$2:$C$1142, '75'!$F$2:$F$1142)</f>
        <v>no</v>
      </c>
    </row>
    <row r="182" spans="1:6" x14ac:dyDescent="0.45">
      <c r="A182" t="s">
        <v>766</v>
      </c>
      <c r="B182" t="s">
        <v>767</v>
      </c>
      <c r="C182">
        <v>6602329029</v>
      </c>
      <c r="D182">
        <v>57226822784</v>
      </c>
      <c r="E182">
        <v>93</v>
      </c>
      <c r="F182" t="str">
        <f>_xlfn.XLOOKUP(C182, '75'!$C$2:$C$1142, '75'!$F$2:$F$1142)</f>
        <v>ok</v>
      </c>
    </row>
    <row r="183" spans="1:6" x14ac:dyDescent="0.45">
      <c r="A183" t="s">
        <v>775</v>
      </c>
      <c r="B183" t="s">
        <v>776</v>
      </c>
      <c r="C183">
        <v>57206859910</v>
      </c>
      <c r="D183">
        <v>57219663938</v>
      </c>
      <c r="E183">
        <v>83</v>
      </c>
      <c r="F183" t="str">
        <f>_xlfn.XLOOKUP(C183, '75'!$C$2:$C$1142, '75'!$F$2:$F$1142)</f>
        <v>no</v>
      </c>
    </row>
    <row r="184" spans="1:6" x14ac:dyDescent="0.45">
      <c r="A184" t="s">
        <v>781</v>
      </c>
      <c r="B184" t="s">
        <v>783</v>
      </c>
      <c r="C184">
        <v>57205739301</v>
      </c>
      <c r="D184">
        <v>7202288223</v>
      </c>
      <c r="E184">
        <v>82</v>
      </c>
      <c r="F184" t="str">
        <f>_xlfn.XLOOKUP(C184, '75'!$C$2:$C$1142, '75'!$F$2:$F$1142)</f>
        <v>no</v>
      </c>
    </row>
    <row r="185" spans="1:6" x14ac:dyDescent="0.45">
      <c r="A185" t="s">
        <v>762</v>
      </c>
      <c r="B185" t="s">
        <v>763</v>
      </c>
      <c r="C185">
        <v>57205682246</v>
      </c>
      <c r="D185">
        <v>58740176100</v>
      </c>
      <c r="E185">
        <v>92</v>
      </c>
      <c r="F185" t="str">
        <f>_xlfn.XLOOKUP(C185, '75'!$C$2:$C$1142, '75'!$F$2:$F$1142)</f>
        <v>no</v>
      </c>
    </row>
    <row r="186" spans="1:6" x14ac:dyDescent="0.45">
      <c r="A186" t="s">
        <v>784</v>
      </c>
      <c r="B186" t="s">
        <v>785</v>
      </c>
      <c r="C186">
        <v>58317356300</v>
      </c>
      <c r="D186">
        <v>59768676500</v>
      </c>
      <c r="E186">
        <v>84</v>
      </c>
      <c r="F186" t="str">
        <f>_xlfn.XLOOKUP(C186, '75'!$C$2:$C$1142, '75'!$F$2:$F$1142)</f>
        <v>ok</v>
      </c>
    </row>
    <row r="187" spans="1:6" x14ac:dyDescent="0.45">
      <c r="A187" t="s">
        <v>786</v>
      </c>
      <c r="B187" t="s">
        <v>774</v>
      </c>
      <c r="C187">
        <v>57210949071</v>
      </c>
      <c r="D187">
        <v>35332915800</v>
      </c>
      <c r="E187">
        <v>92</v>
      </c>
      <c r="F187" t="str">
        <f>_xlfn.XLOOKUP(C187, '75'!$C$2:$C$1142, '75'!$F$2:$F$1142)</f>
        <v>no</v>
      </c>
    </row>
    <row r="188" spans="1:6" x14ac:dyDescent="0.45">
      <c r="A188" t="s">
        <v>793</v>
      </c>
      <c r="B188" t="s">
        <v>794</v>
      </c>
      <c r="C188">
        <v>7003880452</v>
      </c>
      <c r="D188">
        <v>57271323300</v>
      </c>
      <c r="E188">
        <v>91</v>
      </c>
      <c r="F188" t="str">
        <f>_xlfn.XLOOKUP(C188, '75'!$C$2:$C$1142, '75'!$F$2:$F$1142)</f>
        <v>ok</v>
      </c>
    </row>
    <row r="189" spans="1:6" x14ac:dyDescent="0.45">
      <c r="A189" t="s">
        <v>795</v>
      </c>
      <c r="B189" t="s">
        <v>796</v>
      </c>
      <c r="C189">
        <v>6701849102</v>
      </c>
      <c r="D189">
        <v>59624866300</v>
      </c>
      <c r="E189">
        <v>93</v>
      </c>
      <c r="F189" t="str">
        <f>_xlfn.XLOOKUP(C189, '75'!$C$2:$C$1142, '75'!$F$2:$F$1142)</f>
        <v>ok</v>
      </c>
    </row>
    <row r="190" spans="1:6" x14ac:dyDescent="0.45">
      <c r="A190" t="s">
        <v>795</v>
      </c>
      <c r="B190" t="s">
        <v>797</v>
      </c>
      <c r="C190">
        <v>6701849102</v>
      </c>
      <c r="D190">
        <v>57998650100</v>
      </c>
      <c r="E190">
        <v>90</v>
      </c>
      <c r="F190" t="str">
        <f>_xlfn.XLOOKUP(C190, '75'!$C$2:$C$1142, '75'!$F$2:$F$1142)</f>
        <v>ok</v>
      </c>
    </row>
    <row r="191" spans="1:6" x14ac:dyDescent="0.45">
      <c r="A191" t="s">
        <v>802</v>
      </c>
      <c r="B191" t="s">
        <v>803</v>
      </c>
      <c r="C191">
        <v>57501924000</v>
      </c>
      <c r="D191">
        <v>26035289600</v>
      </c>
      <c r="E191">
        <v>87</v>
      </c>
      <c r="F191" t="str">
        <f>_xlfn.XLOOKUP(C191, '75'!$C$2:$C$1142, '75'!$F$2:$F$1142)</f>
        <v>no</v>
      </c>
    </row>
    <row r="192" spans="1:6" x14ac:dyDescent="0.45">
      <c r="A192" t="s">
        <v>796</v>
      </c>
      <c r="B192" t="s">
        <v>797</v>
      </c>
      <c r="C192">
        <v>59624866300</v>
      </c>
      <c r="D192">
        <v>57998650100</v>
      </c>
      <c r="E192">
        <v>97</v>
      </c>
      <c r="F192" t="str">
        <f>_xlfn.XLOOKUP(C192, '75'!$C$2:$C$1142, '75'!$F$2:$F$1142)</f>
        <v>ok</v>
      </c>
    </row>
    <row r="193" spans="1:6" x14ac:dyDescent="0.45">
      <c r="A193" t="s">
        <v>806</v>
      </c>
      <c r="B193" t="s">
        <v>807</v>
      </c>
      <c r="C193">
        <v>6603622358</v>
      </c>
      <c r="D193">
        <v>58554273300</v>
      </c>
      <c r="E193">
        <v>94</v>
      </c>
      <c r="F193" t="str">
        <f>_xlfn.XLOOKUP(C193, '75'!$C$2:$C$1142, '75'!$F$2:$F$1142)</f>
        <v>ok</v>
      </c>
    </row>
    <row r="194" spans="1:6" x14ac:dyDescent="0.45">
      <c r="A194" t="s">
        <v>810</v>
      </c>
      <c r="B194" t="s">
        <v>811</v>
      </c>
      <c r="C194">
        <v>57222201980</v>
      </c>
      <c r="D194">
        <v>56372705700</v>
      </c>
      <c r="E194">
        <v>87</v>
      </c>
      <c r="F194" t="str">
        <f>_xlfn.XLOOKUP(C194, '75'!$C$2:$C$1142, '75'!$F$2:$F$1142)</f>
        <v>no</v>
      </c>
    </row>
    <row r="195" spans="1:6" x14ac:dyDescent="0.45">
      <c r="A195" t="s">
        <v>816</v>
      </c>
      <c r="B195" t="s">
        <v>817</v>
      </c>
      <c r="C195">
        <v>55902405400</v>
      </c>
      <c r="D195">
        <v>59245189400</v>
      </c>
      <c r="E195">
        <v>93</v>
      </c>
      <c r="F195" t="str">
        <f>_xlfn.XLOOKUP(C195, '75'!$C$2:$C$1142, '75'!$F$2:$F$1142)</f>
        <v>ok</v>
      </c>
    </row>
    <row r="196" spans="1:6" x14ac:dyDescent="0.45">
      <c r="A196" t="s">
        <v>820</v>
      </c>
      <c r="B196" t="s">
        <v>821</v>
      </c>
      <c r="C196">
        <v>6602954500</v>
      </c>
      <c r="D196">
        <v>58222269900</v>
      </c>
      <c r="E196">
        <v>91</v>
      </c>
      <c r="F196" t="str">
        <f>_xlfn.XLOOKUP(C196, '75'!$C$2:$C$1142, '75'!$F$2:$F$1142)</f>
        <v>ok</v>
      </c>
    </row>
    <row r="197" spans="1:6" x14ac:dyDescent="0.45">
      <c r="A197" t="s">
        <v>822</v>
      </c>
      <c r="B197" t="s">
        <v>823</v>
      </c>
      <c r="C197">
        <v>32868158100</v>
      </c>
      <c r="D197">
        <v>57996986400</v>
      </c>
      <c r="E197">
        <v>96</v>
      </c>
      <c r="F197" t="str">
        <f>_xlfn.XLOOKUP(C197, '75'!$C$2:$C$1142, '75'!$F$2:$F$1142)</f>
        <v>ok</v>
      </c>
    </row>
    <row r="198" spans="1:6" x14ac:dyDescent="0.45">
      <c r="A198" t="s">
        <v>834</v>
      </c>
      <c r="B198" t="s">
        <v>835</v>
      </c>
      <c r="C198">
        <v>36488788000</v>
      </c>
      <c r="D198">
        <v>57218847212</v>
      </c>
      <c r="E198">
        <v>82</v>
      </c>
      <c r="F198" t="str">
        <f>_xlfn.XLOOKUP(C198, '75'!$C$2:$C$1142, '75'!$F$2:$F$1142)</f>
        <v>no</v>
      </c>
    </row>
    <row r="199" spans="1:6" x14ac:dyDescent="0.45">
      <c r="A199" t="s">
        <v>837</v>
      </c>
      <c r="B199" t="s">
        <v>838</v>
      </c>
      <c r="C199">
        <v>41862484700</v>
      </c>
      <c r="D199">
        <v>59225858600</v>
      </c>
      <c r="E199">
        <v>86</v>
      </c>
      <c r="F199" t="str">
        <f>_xlfn.XLOOKUP(C199, '75'!$C$2:$C$1142, '75'!$F$2:$F$1142)</f>
        <v>no</v>
      </c>
    </row>
    <row r="200" spans="1:6" x14ac:dyDescent="0.45">
      <c r="A200" t="s">
        <v>850</v>
      </c>
      <c r="B200" t="s">
        <v>851</v>
      </c>
      <c r="C200">
        <v>7101617400</v>
      </c>
      <c r="D200">
        <v>57419543300</v>
      </c>
      <c r="E200">
        <v>87</v>
      </c>
      <c r="F200" t="str">
        <f>_xlfn.XLOOKUP(C200, '75'!$C$2:$C$1142, '75'!$F$2:$F$1142)</f>
        <v>ok</v>
      </c>
    </row>
    <row r="201" spans="1:6" x14ac:dyDescent="0.45">
      <c r="A201" t="s">
        <v>852</v>
      </c>
      <c r="B201" t="s">
        <v>853</v>
      </c>
      <c r="C201">
        <v>55568333600</v>
      </c>
      <c r="D201">
        <v>59277537500</v>
      </c>
      <c r="E201">
        <v>84</v>
      </c>
      <c r="F201" t="str">
        <f>_xlfn.XLOOKUP(C201, '75'!$C$2:$C$1142, '75'!$F$2:$F$1142)</f>
        <v>no</v>
      </c>
    </row>
    <row r="202" spans="1:6" x14ac:dyDescent="0.45">
      <c r="A202" t="s">
        <v>854</v>
      </c>
      <c r="B202" t="s">
        <v>855</v>
      </c>
      <c r="C202">
        <v>58668997300</v>
      </c>
      <c r="D202">
        <v>57218305410</v>
      </c>
      <c r="E202">
        <v>85</v>
      </c>
      <c r="F202" t="str">
        <f>_xlfn.XLOOKUP(C202, '75'!$C$2:$C$1142, '75'!$F$2:$F$1142)</f>
        <v>no</v>
      </c>
    </row>
    <row r="203" spans="1:6" x14ac:dyDescent="0.45">
      <c r="A203" t="s">
        <v>865</v>
      </c>
      <c r="B203" t="s">
        <v>866</v>
      </c>
      <c r="C203">
        <v>57206314215</v>
      </c>
      <c r="D203">
        <v>57195340320</v>
      </c>
      <c r="E203">
        <v>83</v>
      </c>
      <c r="F203" t="str">
        <f>_xlfn.XLOOKUP(C203, '75'!$C$2:$C$1142, '75'!$F$2:$F$1142)</f>
        <v>no</v>
      </c>
    </row>
    <row r="204" spans="1:6" x14ac:dyDescent="0.45">
      <c r="A204" t="s">
        <v>882</v>
      </c>
      <c r="B204" t="s">
        <v>883</v>
      </c>
      <c r="C204">
        <v>57209473457</v>
      </c>
      <c r="D204">
        <v>58076956700</v>
      </c>
      <c r="E204">
        <v>90</v>
      </c>
      <c r="F204" t="str">
        <f>_xlfn.XLOOKUP(C204, '75'!$C$2:$C$1142, '75'!$F$2:$F$1142)</f>
        <v>no</v>
      </c>
    </row>
    <row r="205" spans="1:6" x14ac:dyDescent="0.45">
      <c r="A205" t="s">
        <v>896</v>
      </c>
      <c r="B205" t="s">
        <v>897</v>
      </c>
      <c r="C205">
        <v>58677312100</v>
      </c>
      <c r="D205">
        <v>57997738900</v>
      </c>
      <c r="E205">
        <v>96</v>
      </c>
      <c r="F205" t="str">
        <f>_xlfn.XLOOKUP(C205, '75'!$C$2:$C$1142, '75'!$F$2:$F$1142)</f>
        <v>ok</v>
      </c>
    </row>
    <row r="206" spans="1:6" x14ac:dyDescent="0.45">
      <c r="A206" t="s">
        <v>900</v>
      </c>
      <c r="B206" t="s">
        <v>902</v>
      </c>
      <c r="C206">
        <v>23482649600</v>
      </c>
      <c r="D206">
        <v>59419227700</v>
      </c>
      <c r="E206">
        <v>83</v>
      </c>
      <c r="F206" t="str">
        <f>_xlfn.XLOOKUP(C206, '75'!$C$2:$C$1142, '75'!$F$2:$F$1142)</f>
        <v>no</v>
      </c>
    </row>
    <row r="207" spans="1:6" x14ac:dyDescent="0.45">
      <c r="A207" t="s">
        <v>911</v>
      </c>
      <c r="B207" t="s">
        <v>913</v>
      </c>
      <c r="C207">
        <v>59331322000</v>
      </c>
      <c r="D207">
        <v>58290657600</v>
      </c>
      <c r="E207">
        <v>90</v>
      </c>
      <c r="F207" t="str">
        <f>_xlfn.XLOOKUP(C207, '75'!$C$2:$C$1142, '75'!$F$2:$F$1142)</f>
        <v>no</v>
      </c>
    </row>
    <row r="208" spans="1:6" x14ac:dyDescent="0.45">
      <c r="A208" t="s">
        <v>849</v>
      </c>
      <c r="B208" t="s">
        <v>917</v>
      </c>
      <c r="C208">
        <v>57199073910</v>
      </c>
      <c r="D208">
        <v>59277392100</v>
      </c>
      <c r="E208">
        <v>82</v>
      </c>
      <c r="F208" t="str">
        <f>_xlfn.XLOOKUP(C208, '75'!$C$2:$C$1142, '75'!$F$2:$F$1142)</f>
        <v>no</v>
      </c>
    </row>
    <row r="209" spans="1:6" x14ac:dyDescent="0.45">
      <c r="A209" t="s">
        <v>886</v>
      </c>
      <c r="B209" t="s">
        <v>927</v>
      </c>
      <c r="C209">
        <v>58153782700</v>
      </c>
      <c r="D209">
        <v>56706695700</v>
      </c>
      <c r="E209">
        <v>87</v>
      </c>
      <c r="F209" t="str">
        <f>_xlfn.XLOOKUP(C209, '75'!$C$2:$C$1142, '75'!$F$2:$F$1142)</f>
        <v>no</v>
      </c>
    </row>
    <row r="210" spans="1:6" x14ac:dyDescent="0.45">
      <c r="A210" t="s">
        <v>928</v>
      </c>
      <c r="B210" t="s">
        <v>929</v>
      </c>
      <c r="C210">
        <v>57894855100</v>
      </c>
      <c r="D210">
        <v>58187878100</v>
      </c>
      <c r="E210">
        <v>98</v>
      </c>
      <c r="F210" t="str">
        <f>_xlfn.XLOOKUP(C210, '75'!$C$2:$C$1142, '75'!$F$2:$F$1142)</f>
        <v>ok</v>
      </c>
    </row>
    <row r="211" spans="1:6" x14ac:dyDescent="0.45">
      <c r="A211" t="s">
        <v>930</v>
      </c>
      <c r="B211" t="s">
        <v>876</v>
      </c>
      <c r="C211">
        <v>57955378400</v>
      </c>
      <c r="D211">
        <v>57223796303</v>
      </c>
      <c r="E211">
        <v>87</v>
      </c>
      <c r="F211" t="str">
        <f>_xlfn.XLOOKUP(C211, '75'!$C$2:$C$1142, '75'!$F$2:$F$1142)</f>
        <v>no</v>
      </c>
    </row>
    <row r="212" spans="1:6" x14ac:dyDescent="0.45">
      <c r="A212" t="s">
        <v>913</v>
      </c>
      <c r="B212" t="s">
        <v>914</v>
      </c>
      <c r="C212">
        <v>58290657600</v>
      </c>
      <c r="D212">
        <v>57788453900</v>
      </c>
      <c r="E212">
        <v>85</v>
      </c>
      <c r="F212" t="str">
        <f>_xlfn.XLOOKUP(C212, '75'!$C$2:$C$1142, '75'!$F$2:$F$1142)</f>
        <v>ok</v>
      </c>
    </row>
    <row r="213" spans="1:6" x14ac:dyDescent="0.45">
      <c r="A213" t="s">
        <v>940</v>
      </c>
      <c r="B213" t="s">
        <v>939</v>
      </c>
      <c r="C213">
        <v>55481796400</v>
      </c>
      <c r="D213">
        <v>57225884119</v>
      </c>
      <c r="E213">
        <v>87</v>
      </c>
      <c r="F213" t="str">
        <f>_xlfn.XLOOKUP(C213, '75'!$C$2:$C$1142, '75'!$F$2:$F$1142)</f>
        <v>no</v>
      </c>
    </row>
    <row r="214" spans="1:6" x14ac:dyDescent="0.45">
      <c r="A214" t="s">
        <v>944</v>
      </c>
      <c r="B214" t="s">
        <v>945</v>
      </c>
      <c r="C214">
        <v>17436214000</v>
      </c>
      <c r="D214">
        <v>57219942757</v>
      </c>
      <c r="E214">
        <v>84</v>
      </c>
      <c r="F214" t="str">
        <f>_xlfn.XLOOKUP(C214, '75'!$C$2:$C$1142, '75'!$F$2:$F$1142)</f>
        <v>ok</v>
      </c>
    </row>
    <row r="215" spans="1:6" x14ac:dyDescent="0.45">
      <c r="A215" t="s">
        <v>947</v>
      </c>
      <c r="B215" t="s">
        <v>948</v>
      </c>
      <c r="C215">
        <v>55727328700</v>
      </c>
      <c r="D215">
        <v>57966537000</v>
      </c>
      <c r="E215">
        <v>87</v>
      </c>
      <c r="F215" t="str">
        <f>_xlfn.XLOOKUP(C215, '75'!$C$2:$C$1142, '75'!$F$2:$F$1142)</f>
        <v>ok</v>
      </c>
    </row>
    <row r="216" spans="1:6" x14ac:dyDescent="0.45">
      <c r="A216" t="s">
        <v>945</v>
      </c>
      <c r="B216" t="s">
        <v>946</v>
      </c>
      <c r="C216">
        <v>57219942757</v>
      </c>
      <c r="D216">
        <v>58196547100</v>
      </c>
      <c r="E216">
        <v>94</v>
      </c>
      <c r="F216" t="str">
        <f>_xlfn.XLOOKUP(C216, '75'!$C$2:$C$1142, '75'!$F$2:$F$1142)</f>
        <v>ok</v>
      </c>
    </row>
    <row r="217" spans="1:6" x14ac:dyDescent="0.45">
      <c r="A217" t="s">
        <v>951</v>
      </c>
      <c r="B217" t="s">
        <v>953</v>
      </c>
      <c r="C217">
        <v>57192395903</v>
      </c>
      <c r="D217">
        <v>58968378700</v>
      </c>
      <c r="E217">
        <v>84</v>
      </c>
      <c r="F217" t="str">
        <f>_xlfn.XLOOKUP(C217, '75'!$C$2:$C$1142, '75'!$F$2:$F$1142)</f>
        <v>no</v>
      </c>
    </row>
    <row r="218" spans="1:6" x14ac:dyDescent="0.45">
      <c r="A218" t="s">
        <v>954</v>
      </c>
      <c r="B218" t="s">
        <v>955</v>
      </c>
      <c r="C218">
        <v>57208091149</v>
      </c>
      <c r="D218">
        <v>57221226659</v>
      </c>
      <c r="E218">
        <v>82</v>
      </c>
      <c r="F218" t="str">
        <f>_xlfn.XLOOKUP(C218, '75'!$C$2:$C$1142, '75'!$F$2:$F$1142)</f>
        <v>no</v>
      </c>
    </row>
    <row r="219" spans="1:6" x14ac:dyDescent="0.45">
      <c r="A219" t="s">
        <v>967</v>
      </c>
      <c r="B219" t="s">
        <v>968</v>
      </c>
      <c r="C219">
        <v>57219292286</v>
      </c>
      <c r="D219">
        <v>57214823165</v>
      </c>
      <c r="E219">
        <v>96</v>
      </c>
      <c r="F219" t="str">
        <f>_xlfn.XLOOKUP(C219, '75'!$C$2:$C$1142, '75'!$F$2:$F$1142)</f>
        <v>ok</v>
      </c>
    </row>
    <row r="220" spans="1:6" x14ac:dyDescent="0.45">
      <c r="A220" t="s">
        <v>969</v>
      </c>
      <c r="B220" t="s">
        <v>970</v>
      </c>
      <c r="C220">
        <v>57217129575</v>
      </c>
      <c r="D220">
        <v>57383215700</v>
      </c>
      <c r="E220">
        <v>96</v>
      </c>
      <c r="F220" t="str">
        <f>_xlfn.XLOOKUP(C220, '75'!$C$2:$C$1142, '75'!$F$2:$F$1142)</f>
        <v>no</v>
      </c>
    </row>
    <row r="221" spans="1:6" x14ac:dyDescent="0.45">
      <c r="A221" t="s">
        <v>962</v>
      </c>
      <c r="B221" t="s">
        <v>974</v>
      </c>
      <c r="C221">
        <v>58520690600</v>
      </c>
      <c r="D221">
        <v>55726699700</v>
      </c>
      <c r="E221">
        <v>82</v>
      </c>
      <c r="F221" t="str">
        <f>_xlfn.XLOOKUP(C221, '75'!$C$2:$C$1142, '75'!$F$2:$F$1142)</f>
        <v>no</v>
      </c>
    </row>
    <row r="222" spans="1:6" x14ac:dyDescent="0.45">
      <c r="A222" t="s">
        <v>977</v>
      </c>
      <c r="B222" t="s">
        <v>978</v>
      </c>
      <c r="C222">
        <v>57196029837</v>
      </c>
      <c r="D222">
        <v>57211444621</v>
      </c>
      <c r="E222">
        <v>98</v>
      </c>
      <c r="F222" t="str">
        <f>_xlfn.XLOOKUP(C222, '75'!$C$2:$C$1142, '75'!$F$2:$F$1142)</f>
        <v>ok</v>
      </c>
    </row>
    <row r="223" spans="1:6" x14ac:dyDescent="0.45">
      <c r="A223" t="s">
        <v>979</v>
      </c>
      <c r="B223" t="s">
        <v>980</v>
      </c>
      <c r="C223">
        <v>24178542700</v>
      </c>
      <c r="D223">
        <v>58917995400</v>
      </c>
      <c r="E223">
        <v>95</v>
      </c>
      <c r="F223" t="str">
        <f>_xlfn.XLOOKUP(C223, '75'!$C$2:$C$1142, '75'!$F$2:$F$1142)</f>
        <v>ok</v>
      </c>
    </row>
    <row r="224" spans="1:6" x14ac:dyDescent="0.45">
      <c r="A224" t="s">
        <v>981</v>
      </c>
      <c r="B224" t="s">
        <v>982</v>
      </c>
      <c r="C224">
        <v>55768611600</v>
      </c>
      <c r="D224">
        <v>55833173500</v>
      </c>
      <c r="E224">
        <v>86</v>
      </c>
      <c r="F224" t="str">
        <f>_xlfn.XLOOKUP(C224, '75'!$C$2:$C$1142, '75'!$F$2:$F$1142)</f>
        <v>no</v>
      </c>
    </row>
    <row r="225" spans="1:6" x14ac:dyDescent="0.45">
      <c r="A225" t="s">
        <v>988</v>
      </c>
      <c r="B225" t="s">
        <v>990</v>
      </c>
      <c r="C225">
        <v>52264998100</v>
      </c>
      <c r="D225">
        <v>57216315221</v>
      </c>
      <c r="E225">
        <v>87</v>
      </c>
      <c r="F225" t="str">
        <f>_xlfn.XLOOKUP(C225, '75'!$C$2:$C$1142, '75'!$F$2:$F$1142)</f>
        <v>no</v>
      </c>
    </row>
    <row r="226" spans="1:6" x14ac:dyDescent="0.45">
      <c r="A226" t="s">
        <v>989</v>
      </c>
      <c r="B226" t="s">
        <v>990</v>
      </c>
      <c r="C226">
        <v>57201917282</v>
      </c>
      <c r="D226">
        <v>57216315221</v>
      </c>
      <c r="E226">
        <v>86</v>
      </c>
      <c r="F226" t="str">
        <f>_xlfn.XLOOKUP(C226, '75'!$C$2:$C$1142, '75'!$F$2:$F$1142)</f>
        <v>no</v>
      </c>
    </row>
    <row r="227" spans="1:6" x14ac:dyDescent="0.45">
      <c r="A227" t="s">
        <v>999</v>
      </c>
      <c r="B227" t="s">
        <v>1000</v>
      </c>
      <c r="C227">
        <v>57200444598</v>
      </c>
      <c r="D227">
        <v>57651849600</v>
      </c>
      <c r="E227">
        <v>83</v>
      </c>
      <c r="F227" t="str">
        <f>_xlfn.XLOOKUP(C227, '75'!$C$2:$C$1142, '75'!$F$2:$F$1142)</f>
        <v>no</v>
      </c>
    </row>
    <row r="228" spans="1:6" x14ac:dyDescent="0.45">
      <c r="A228" t="s">
        <v>1006</v>
      </c>
      <c r="B228" t="s">
        <v>1008</v>
      </c>
      <c r="C228">
        <v>59619524600</v>
      </c>
      <c r="D228">
        <v>57218865182</v>
      </c>
      <c r="E228">
        <v>83</v>
      </c>
      <c r="F228" t="str">
        <f>_xlfn.XLOOKUP(C228, '75'!$C$2:$C$1142, '75'!$F$2:$F$1142)</f>
        <v>no</v>
      </c>
    </row>
    <row r="229" spans="1:6" x14ac:dyDescent="0.45">
      <c r="A229" t="s">
        <v>1015</v>
      </c>
      <c r="B229" t="s">
        <v>1016</v>
      </c>
      <c r="C229">
        <v>56178007800</v>
      </c>
      <c r="D229">
        <v>57221311967</v>
      </c>
      <c r="E229">
        <v>93</v>
      </c>
      <c r="F229" t="str">
        <f>_xlfn.XLOOKUP(C229, '75'!$C$2:$C$1142, '75'!$F$2:$F$1142)</f>
        <v>no</v>
      </c>
    </row>
    <row r="230" spans="1:6" x14ac:dyDescent="0.45">
      <c r="A230" t="s">
        <v>1023</v>
      </c>
      <c r="B230" t="s">
        <v>1028</v>
      </c>
      <c r="C230">
        <v>57202576436</v>
      </c>
      <c r="D230">
        <v>57215193390</v>
      </c>
      <c r="E230">
        <v>84</v>
      </c>
      <c r="F230" t="str">
        <f>_xlfn.XLOOKUP(C230, '75'!$C$2:$C$1142, '75'!$F$2:$F$1142)</f>
        <v>no</v>
      </c>
    </row>
    <row r="231" spans="1:6" x14ac:dyDescent="0.45">
      <c r="A231" t="s">
        <v>1031</v>
      </c>
      <c r="B231" t="s">
        <v>1032</v>
      </c>
      <c r="C231">
        <v>57202638979</v>
      </c>
      <c r="D231">
        <v>57198861619</v>
      </c>
      <c r="E231">
        <v>83</v>
      </c>
      <c r="F231" t="str">
        <f>_xlfn.XLOOKUP(C231, '75'!$C$2:$C$1142, '75'!$F$2:$F$1142)</f>
        <v>no</v>
      </c>
    </row>
    <row r="232" spans="1:6" x14ac:dyDescent="0.45">
      <c r="A232" t="s">
        <v>1024</v>
      </c>
      <c r="B232" t="s">
        <v>1035</v>
      </c>
      <c r="C232">
        <v>57225083226</v>
      </c>
      <c r="D232">
        <v>57200661953</v>
      </c>
      <c r="E232">
        <v>82</v>
      </c>
      <c r="F232" t="str">
        <f>_xlfn.XLOOKUP(C232, '75'!$C$2:$C$1142, '75'!$F$2:$F$1142)</f>
        <v>no</v>
      </c>
    </row>
    <row r="233" spans="1:6" x14ac:dyDescent="0.45">
      <c r="A233" t="s">
        <v>1024</v>
      </c>
      <c r="B233" t="s">
        <v>1029</v>
      </c>
      <c r="C233">
        <v>57225083226</v>
      </c>
      <c r="D233">
        <v>57222498131</v>
      </c>
      <c r="E233">
        <v>82</v>
      </c>
      <c r="F233" t="str">
        <f>_xlfn.XLOOKUP(C233, '75'!$C$2:$C$1142, '75'!$F$2:$F$1142)</f>
        <v>no</v>
      </c>
    </row>
    <row r="234" spans="1:6" x14ac:dyDescent="0.45">
      <c r="A234" t="s">
        <v>994</v>
      </c>
      <c r="B234" t="s">
        <v>995</v>
      </c>
      <c r="C234">
        <v>58653787300</v>
      </c>
      <c r="D234">
        <v>58097854500</v>
      </c>
      <c r="E234">
        <v>84</v>
      </c>
      <c r="F234" t="str">
        <f>_xlfn.XLOOKUP(C234, '75'!$C$2:$C$1142, '75'!$F$2:$F$1142)</f>
        <v>no</v>
      </c>
    </row>
    <row r="235" spans="1:6" x14ac:dyDescent="0.45">
      <c r="A235" t="s">
        <v>990</v>
      </c>
      <c r="B235" t="s">
        <v>991</v>
      </c>
      <c r="C235">
        <v>57216315221</v>
      </c>
      <c r="D235">
        <v>57206601221</v>
      </c>
      <c r="E235">
        <v>86</v>
      </c>
      <c r="F235" t="str">
        <f>_xlfn.XLOOKUP(C235, '75'!$C$2:$C$1142, '75'!$F$2:$F$1142)</f>
        <v>no</v>
      </c>
    </row>
    <row r="236" spans="1:6" x14ac:dyDescent="0.45">
      <c r="A236" t="s">
        <v>1052</v>
      </c>
      <c r="B236" t="s">
        <v>1053</v>
      </c>
      <c r="C236">
        <v>58864775700</v>
      </c>
      <c r="D236">
        <v>58118977100</v>
      </c>
      <c r="E236">
        <v>85</v>
      </c>
      <c r="F236" t="str">
        <f>_xlfn.XLOOKUP(C236, '75'!$C$2:$C$1142, '75'!$F$2:$F$1142)</f>
        <v>no</v>
      </c>
    </row>
    <row r="237" spans="1:6" x14ac:dyDescent="0.45">
      <c r="A237" t="s">
        <v>1053</v>
      </c>
      <c r="B237" t="s">
        <v>1025</v>
      </c>
      <c r="C237">
        <v>58118977100</v>
      </c>
      <c r="D237">
        <v>57212385020</v>
      </c>
      <c r="E237">
        <v>82</v>
      </c>
      <c r="F237" t="str">
        <f>_xlfn.XLOOKUP(C237, '75'!$C$2:$C$1142, '75'!$F$2:$F$1142)</f>
        <v>no</v>
      </c>
    </row>
    <row r="238" spans="1:6" x14ac:dyDescent="0.45">
      <c r="A238" t="s">
        <v>1053</v>
      </c>
      <c r="B238" t="s">
        <v>1037</v>
      </c>
      <c r="C238">
        <v>58118977100</v>
      </c>
      <c r="D238">
        <v>58867040100</v>
      </c>
      <c r="E238">
        <v>87</v>
      </c>
      <c r="F238" t="str">
        <f>_xlfn.XLOOKUP(C238, '75'!$C$2:$C$1142, '75'!$F$2:$F$1142)</f>
        <v>no</v>
      </c>
    </row>
    <row r="239" spans="1:6" x14ac:dyDescent="0.45">
      <c r="A239" t="s">
        <v>1025</v>
      </c>
      <c r="B239" t="s">
        <v>1011</v>
      </c>
      <c r="C239">
        <v>57212385020</v>
      </c>
      <c r="D239">
        <v>59815240100</v>
      </c>
      <c r="E239">
        <v>84</v>
      </c>
      <c r="F239" t="str">
        <f>_xlfn.XLOOKUP(C239, '75'!$C$2:$C$1142, '75'!$F$2:$F$1142)</f>
        <v>no</v>
      </c>
    </row>
    <row r="240" spans="1:6" x14ac:dyDescent="0.45">
      <c r="A240" t="s">
        <v>1041</v>
      </c>
      <c r="B240" t="s">
        <v>1055</v>
      </c>
      <c r="C240">
        <v>57219265536</v>
      </c>
      <c r="D240">
        <v>59474255400</v>
      </c>
      <c r="E240">
        <v>86</v>
      </c>
      <c r="F240" t="str">
        <f>_xlfn.XLOOKUP(C240, '75'!$C$2:$C$1142, '75'!$F$2:$F$1142)</f>
        <v>no</v>
      </c>
    </row>
    <row r="241" spans="1:6" x14ac:dyDescent="0.45">
      <c r="A241" t="s">
        <v>1047</v>
      </c>
      <c r="B241" t="s">
        <v>991</v>
      </c>
      <c r="C241">
        <v>57221799820</v>
      </c>
      <c r="D241">
        <v>57206601221</v>
      </c>
      <c r="E241">
        <v>85</v>
      </c>
      <c r="F241" t="str">
        <f>_xlfn.XLOOKUP(C241, '75'!$C$2:$C$1142, '75'!$F$2:$F$1142)</f>
        <v>no</v>
      </c>
    </row>
    <row r="242" spans="1:6" x14ac:dyDescent="0.45">
      <c r="A242" t="s">
        <v>985</v>
      </c>
      <c r="B242" t="s">
        <v>1026</v>
      </c>
      <c r="C242">
        <v>57226131863</v>
      </c>
      <c r="D242">
        <v>57218868125</v>
      </c>
      <c r="E242">
        <v>89</v>
      </c>
      <c r="F242" t="str">
        <f>_xlfn.XLOOKUP(C242, '75'!$C$2:$C$1142, '75'!$F$2:$F$1142)</f>
        <v>no</v>
      </c>
    </row>
    <row r="243" spans="1:6" x14ac:dyDescent="0.45">
      <c r="A243" t="s">
        <v>995</v>
      </c>
      <c r="B243" t="s">
        <v>993</v>
      </c>
      <c r="C243">
        <v>58097854500</v>
      </c>
      <c r="D243">
        <v>59537723600</v>
      </c>
      <c r="E243">
        <v>82</v>
      </c>
      <c r="F243" t="str">
        <f>_xlfn.XLOOKUP(C243, '75'!$C$2:$C$1142, '75'!$F$2:$F$1142)</f>
        <v>no</v>
      </c>
    </row>
    <row r="244" spans="1:6" x14ac:dyDescent="0.45">
      <c r="A244" t="s">
        <v>1026</v>
      </c>
      <c r="B244" t="s">
        <v>1054</v>
      </c>
      <c r="C244">
        <v>57218868125</v>
      </c>
      <c r="D244">
        <v>57220783660</v>
      </c>
      <c r="E244">
        <v>84</v>
      </c>
      <c r="F244" t="str">
        <f>_xlfn.XLOOKUP(C244, '75'!$C$2:$C$1142, '75'!$F$2:$F$1142)</f>
        <v>no</v>
      </c>
    </row>
    <row r="245" spans="1:6" x14ac:dyDescent="0.45">
      <c r="A245" t="s">
        <v>1010</v>
      </c>
      <c r="B245" t="s">
        <v>1029</v>
      </c>
      <c r="C245">
        <v>57216771994</v>
      </c>
      <c r="D245">
        <v>57222498131</v>
      </c>
      <c r="E245">
        <v>84</v>
      </c>
      <c r="F245" t="str">
        <f>_xlfn.XLOOKUP(C245, '75'!$C$2:$C$1142, '75'!$F$2:$F$1142)</f>
        <v>no</v>
      </c>
    </row>
    <row r="246" spans="1:6" x14ac:dyDescent="0.45">
      <c r="A246" t="s">
        <v>1010</v>
      </c>
      <c r="B246" t="s">
        <v>1013</v>
      </c>
      <c r="C246">
        <v>57216771994</v>
      </c>
      <c r="D246">
        <v>7601513640</v>
      </c>
      <c r="E246">
        <v>94</v>
      </c>
      <c r="F246" t="str">
        <f>_xlfn.XLOOKUP(C246, '75'!$C$2:$C$1142, '75'!$F$2:$F$1142)</f>
        <v>no</v>
      </c>
    </row>
    <row r="247" spans="1:6" x14ac:dyDescent="0.45">
      <c r="A247" t="s">
        <v>1029</v>
      </c>
      <c r="B247" t="s">
        <v>1013</v>
      </c>
      <c r="C247">
        <v>57222498131</v>
      </c>
      <c r="D247">
        <v>7601513640</v>
      </c>
      <c r="E247">
        <v>89</v>
      </c>
      <c r="F247" t="str">
        <f>_xlfn.XLOOKUP(C247, '75'!$C$2:$C$1142, '75'!$F$2:$F$1142)</f>
        <v>no</v>
      </c>
    </row>
    <row r="248" spans="1:6" x14ac:dyDescent="0.45">
      <c r="A248" t="s">
        <v>1073</v>
      </c>
      <c r="B248" t="s">
        <v>1074</v>
      </c>
      <c r="C248">
        <v>24443034100</v>
      </c>
      <c r="D248">
        <v>57248304100</v>
      </c>
      <c r="E248">
        <v>85</v>
      </c>
      <c r="F248" t="str">
        <f>_xlfn.XLOOKUP(C248, '75'!$C$2:$C$1142, '75'!$F$2:$F$1142)</f>
        <v>ok</v>
      </c>
    </row>
    <row r="249" spans="1:6" x14ac:dyDescent="0.45">
      <c r="A249" t="s">
        <v>1082</v>
      </c>
      <c r="B249" t="s">
        <v>1083</v>
      </c>
      <c r="C249">
        <v>57207812926</v>
      </c>
      <c r="D249">
        <v>57203390142</v>
      </c>
      <c r="E249">
        <v>86</v>
      </c>
      <c r="F249" t="str">
        <f>_xlfn.XLOOKUP(C249, '75'!$C$2:$C$1142, '75'!$F$2:$F$1142)</f>
        <v>no</v>
      </c>
    </row>
    <row r="250" spans="1:6" x14ac:dyDescent="0.45">
      <c r="A250" t="s">
        <v>1086</v>
      </c>
      <c r="B250" t="s">
        <v>1087</v>
      </c>
      <c r="C250">
        <v>35147042400</v>
      </c>
      <c r="D250">
        <v>57219498582</v>
      </c>
      <c r="E250">
        <v>95</v>
      </c>
      <c r="F250" t="str">
        <f>_xlfn.XLOOKUP(C250, '75'!$C$2:$C$1142, '75'!$F$2:$F$1142)</f>
        <v>no</v>
      </c>
    </row>
    <row r="251" spans="1:6" x14ac:dyDescent="0.45">
      <c r="A251" t="s">
        <v>1093</v>
      </c>
      <c r="B251" t="s">
        <v>1094</v>
      </c>
      <c r="C251">
        <v>57197518788</v>
      </c>
      <c r="D251">
        <v>57581006200</v>
      </c>
      <c r="E251">
        <v>86</v>
      </c>
      <c r="F251" t="str">
        <f>_xlfn.XLOOKUP(C251, '75'!$C$2:$C$1142, '75'!$F$2:$F$1142)</f>
        <v>no</v>
      </c>
    </row>
    <row r="252" spans="1:6" x14ac:dyDescent="0.45">
      <c r="A252" t="s">
        <v>1096</v>
      </c>
      <c r="B252" t="s">
        <v>1097</v>
      </c>
      <c r="C252">
        <v>57221630135</v>
      </c>
      <c r="D252">
        <v>57718687400</v>
      </c>
      <c r="E252">
        <v>82</v>
      </c>
      <c r="F252" t="str">
        <f>_xlfn.XLOOKUP(C252, '75'!$C$2:$C$1142, '75'!$F$2:$F$1142)</f>
        <v>no</v>
      </c>
    </row>
    <row r="253" spans="1:6" x14ac:dyDescent="0.45">
      <c r="A253" t="s">
        <v>1092</v>
      </c>
      <c r="B253" t="s">
        <v>1098</v>
      </c>
      <c r="C253">
        <v>59705724000</v>
      </c>
      <c r="D253">
        <v>57956141800</v>
      </c>
      <c r="E253">
        <v>82</v>
      </c>
      <c r="F253" t="str">
        <f>_xlfn.XLOOKUP(C253, '75'!$C$2:$C$1142, '75'!$F$2:$F$1142)</f>
        <v>no</v>
      </c>
    </row>
    <row r="254" spans="1:6" x14ac:dyDescent="0.45">
      <c r="A254" t="s">
        <v>1100</v>
      </c>
      <c r="B254" t="s">
        <v>1101</v>
      </c>
      <c r="C254">
        <v>55685656900</v>
      </c>
      <c r="D254">
        <v>57219838274</v>
      </c>
      <c r="E254">
        <v>87</v>
      </c>
      <c r="F254" t="str">
        <f>_xlfn.XLOOKUP(C254, '75'!$C$2:$C$1142, '75'!$F$2:$F$1142)</f>
        <v>ok</v>
      </c>
    </row>
    <row r="255" spans="1:6" x14ac:dyDescent="0.45">
      <c r="A255" t="s">
        <v>1103</v>
      </c>
      <c r="B255" t="s">
        <v>1104</v>
      </c>
      <c r="C255">
        <v>59130540100</v>
      </c>
      <c r="D255">
        <v>57193678960</v>
      </c>
      <c r="E255">
        <v>84</v>
      </c>
      <c r="F255" t="str">
        <f>_xlfn.XLOOKUP(C255, '75'!$C$2:$C$1142, '75'!$F$2:$F$1142)</f>
        <v>no</v>
      </c>
    </row>
    <row r="256" spans="1:6" x14ac:dyDescent="0.45">
      <c r="A256" t="s">
        <v>1103</v>
      </c>
      <c r="B256" t="s">
        <v>1106</v>
      </c>
      <c r="C256">
        <v>59130540100</v>
      </c>
      <c r="D256">
        <v>56675471800</v>
      </c>
      <c r="E256">
        <v>89</v>
      </c>
      <c r="F256" t="str">
        <f>_xlfn.XLOOKUP(C256, '75'!$C$2:$C$1142, '75'!$F$2:$F$1142)</f>
        <v>no</v>
      </c>
    </row>
    <row r="257" spans="1:6" x14ac:dyDescent="0.45">
      <c r="A257" t="s">
        <v>1103</v>
      </c>
      <c r="B257" t="s">
        <v>1108</v>
      </c>
      <c r="C257">
        <v>59130540100</v>
      </c>
      <c r="D257">
        <v>55330996300</v>
      </c>
      <c r="E257">
        <v>84</v>
      </c>
      <c r="F257" t="str">
        <f>_xlfn.XLOOKUP(C257, '75'!$C$2:$C$1142, '75'!$F$2:$F$1142)</f>
        <v>no</v>
      </c>
    </row>
    <row r="258" spans="1:6" x14ac:dyDescent="0.45">
      <c r="A258" t="s">
        <v>1113</v>
      </c>
      <c r="B258" t="s">
        <v>1116</v>
      </c>
      <c r="C258">
        <v>57192375762</v>
      </c>
      <c r="D258">
        <v>57490488200</v>
      </c>
      <c r="E258">
        <v>82</v>
      </c>
      <c r="F258" t="str">
        <f>_xlfn.XLOOKUP(C258, '75'!$C$2:$C$1142, '75'!$F$2:$F$1142)</f>
        <v>no</v>
      </c>
    </row>
    <row r="259" spans="1:6" x14ac:dyDescent="0.45">
      <c r="A259" t="s">
        <v>1113</v>
      </c>
      <c r="B259" t="s">
        <v>1118</v>
      </c>
      <c r="C259">
        <v>57192375762</v>
      </c>
      <c r="D259">
        <v>57928856000</v>
      </c>
      <c r="E259">
        <v>82</v>
      </c>
      <c r="F259" t="str">
        <f>_xlfn.XLOOKUP(C259, '75'!$C$2:$C$1142, '75'!$F$2:$F$1142)</f>
        <v>no</v>
      </c>
    </row>
    <row r="260" spans="1:6" x14ac:dyDescent="0.45">
      <c r="A260" t="s">
        <v>1120</v>
      </c>
      <c r="B260" t="s">
        <v>1121</v>
      </c>
      <c r="C260">
        <v>57191637431</v>
      </c>
      <c r="D260">
        <v>56149865900</v>
      </c>
      <c r="E260">
        <v>84</v>
      </c>
      <c r="F260" t="str">
        <f>_xlfn.XLOOKUP(C260, '75'!$C$2:$C$1142, '75'!$F$2:$F$1142)</f>
        <v>no</v>
      </c>
    </row>
    <row r="261" spans="1:6" x14ac:dyDescent="0.45">
      <c r="A261" t="s">
        <v>1120</v>
      </c>
      <c r="B261" t="s">
        <v>1122</v>
      </c>
      <c r="C261">
        <v>57191637431</v>
      </c>
      <c r="D261">
        <v>57216204512</v>
      </c>
      <c r="E261">
        <v>82</v>
      </c>
      <c r="F261" t="str">
        <f>_xlfn.XLOOKUP(C261, '75'!$C$2:$C$1142, '75'!$F$2:$F$1142)</f>
        <v>no</v>
      </c>
    </row>
    <row r="262" spans="1:6" x14ac:dyDescent="0.45">
      <c r="A262" t="s">
        <v>1104</v>
      </c>
      <c r="B262" t="s">
        <v>1105</v>
      </c>
      <c r="C262">
        <v>57193678960</v>
      </c>
      <c r="D262">
        <v>57192159108</v>
      </c>
      <c r="E262">
        <v>84</v>
      </c>
      <c r="F262" t="str">
        <f>_xlfn.XLOOKUP(C262, '75'!$C$2:$C$1142, '75'!$F$2:$F$1142)</f>
        <v>no</v>
      </c>
    </row>
    <row r="263" spans="1:6" x14ac:dyDescent="0.45">
      <c r="A263" t="s">
        <v>1104</v>
      </c>
      <c r="B263" t="s">
        <v>1108</v>
      </c>
      <c r="C263">
        <v>57193678960</v>
      </c>
      <c r="D263">
        <v>55330996300</v>
      </c>
      <c r="E263">
        <v>90</v>
      </c>
      <c r="F263" t="str">
        <f>_xlfn.XLOOKUP(C263, '75'!$C$2:$C$1142, '75'!$F$2:$F$1142)</f>
        <v>no</v>
      </c>
    </row>
    <row r="264" spans="1:6" x14ac:dyDescent="0.45">
      <c r="A264" t="s">
        <v>1104</v>
      </c>
      <c r="B264" t="s">
        <v>1112</v>
      </c>
      <c r="C264">
        <v>57193678960</v>
      </c>
      <c r="D264">
        <v>57220902381</v>
      </c>
      <c r="E264">
        <v>82</v>
      </c>
      <c r="F264" t="str">
        <f>_xlfn.XLOOKUP(C264, '75'!$C$2:$C$1142, '75'!$F$2:$F$1142)</f>
        <v>no</v>
      </c>
    </row>
    <row r="265" spans="1:6" x14ac:dyDescent="0.45">
      <c r="A265" t="s">
        <v>1134</v>
      </c>
      <c r="B265" t="s">
        <v>1137</v>
      </c>
      <c r="C265">
        <v>57202010045</v>
      </c>
      <c r="D265">
        <v>58659062200</v>
      </c>
      <c r="E265">
        <v>96</v>
      </c>
      <c r="F265" t="str">
        <f>_xlfn.XLOOKUP(C265, '75'!$C$2:$C$1142, '75'!$F$2:$F$1142)</f>
        <v>no</v>
      </c>
    </row>
    <row r="266" spans="1:6" x14ac:dyDescent="0.45">
      <c r="A266" t="s">
        <v>1105</v>
      </c>
      <c r="B266" t="s">
        <v>1108</v>
      </c>
      <c r="C266">
        <v>57192159108</v>
      </c>
      <c r="D266">
        <v>55330996300</v>
      </c>
      <c r="E266">
        <v>95</v>
      </c>
      <c r="F266" t="str">
        <f>_xlfn.XLOOKUP(C266, '75'!$C$2:$C$1142, '75'!$F$2:$F$1142)</f>
        <v>no</v>
      </c>
    </row>
    <row r="267" spans="1:6" x14ac:dyDescent="0.45">
      <c r="A267" t="s">
        <v>1105</v>
      </c>
      <c r="B267" t="s">
        <v>1127</v>
      </c>
      <c r="C267">
        <v>57192159108</v>
      </c>
      <c r="D267">
        <v>58511137000</v>
      </c>
      <c r="E267">
        <v>82</v>
      </c>
      <c r="F267" t="str">
        <f>_xlfn.XLOOKUP(C267, '75'!$C$2:$C$1142, '75'!$F$2:$F$1142)</f>
        <v>no</v>
      </c>
    </row>
    <row r="268" spans="1:6" x14ac:dyDescent="0.45">
      <c r="A268" t="s">
        <v>1105</v>
      </c>
      <c r="B268" t="s">
        <v>1112</v>
      </c>
      <c r="C268">
        <v>57192159108</v>
      </c>
      <c r="D268">
        <v>57220902381</v>
      </c>
      <c r="E268">
        <v>86</v>
      </c>
      <c r="F268" t="str">
        <f>_xlfn.XLOOKUP(C268, '75'!$C$2:$C$1142, '75'!$F$2:$F$1142)</f>
        <v>no</v>
      </c>
    </row>
    <row r="269" spans="1:6" x14ac:dyDescent="0.45">
      <c r="A269" t="s">
        <v>1106</v>
      </c>
      <c r="B269" t="s">
        <v>1143</v>
      </c>
      <c r="C269">
        <v>56675471800</v>
      </c>
      <c r="D269">
        <v>58148929600</v>
      </c>
      <c r="E269">
        <v>82</v>
      </c>
      <c r="F269" t="str">
        <f>_xlfn.XLOOKUP(C269, '75'!$C$2:$C$1142, '75'!$F$2:$F$1142)</f>
        <v>no</v>
      </c>
    </row>
    <row r="270" spans="1:6" x14ac:dyDescent="0.45">
      <c r="A270" t="s">
        <v>1150</v>
      </c>
      <c r="B270" t="s">
        <v>1151</v>
      </c>
      <c r="C270">
        <v>57195335713</v>
      </c>
      <c r="D270">
        <v>57210362788</v>
      </c>
      <c r="E270">
        <v>88</v>
      </c>
      <c r="F270" t="str">
        <f>_xlfn.XLOOKUP(C270, '75'!$C$2:$C$1142, '75'!$F$2:$F$1142)</f>
        <v>no</v>
      </c>
    </row>
    <row r="271" spans="1:6" x14ac:dyDescent="0.45">
      <c r="A271" t="s">
        <v>1150</v>
      </c>
      <c r="B271" t="s">
        <v>1155</v>
      </c>
      <c r="C271">
        <v>57195335713</v>
      </c>
      <c r="D271">
        <v>57216635351</v>
      </c>
      <c r="E271">
        <v>83</v>
      </c>
      <c r="F271" t="str">
        <f>_xlfn.XLOOKUP(C271, '75'!$C$2:$C$1142, '75'!$F$2:$F$1142)</f>
        <v>no</v>
      </c>
    </row>
    <row r="272" spans="1:6" x14ac:dyDescent="0.45">
      <c r="A272" t="s">
        <v>1150</v>
      </c>
      <c r="B272" t="s">
        <v>1159</v>
      </c>
      <c r="C272">
        <v>57195335713</v>
      </c>
      <c r="D272">
        <v>59814155200</v>
      </c>
      <c r="E272">
        <v>86</v>
      </c>
      <c r="F272" t="str">
        <f>_xlfn.XLOOKUP(C272, '75'!$C$2:$C$1142, '75'!$F$2:$F$1142)</f>
        <v>no</v>
      </c>
    </row>
    <row r="273" spans="1:6" x14ac:dyDescent="0.45">
      <c r="A273" t="s">
        <v>1160</v>
      </c>
      <c r="B273" t="s">
        <v>1161</v>
      </c>
      <c r="C273">
        <v>56963027800</v>
      </c>
      <c r="D273">
        <v>57214091117</v>
      </c>
      <c r="E273">
        <v>83</v>
      </c>
      <c r="F273" t="str">
        <f>_xlfn.XLOOKUP(C273, '75'!$C$2:$C$1142, '75'!$F$2:$F$1142)</f>
        <v>ok</v>
      </c>
    </row>
    <row r="274" spans="1:6" x14ac:dyDescent="0.45">
      <c r="A274" t="s">
        <v>1168</v>
      </c>
      <c r="B274" t="s">
        <v>1117</v>
      </c>
      <c r="C274">
        <v>57565427400</v>
      </c>
      <c r="D274">
        <v>58809508500</v>
      </c>
      <c r="E274">
        <v>83</v>
      </c>
      <c r="F274" t="str">
        <f>_xlfn.XLOOKUP(C274, '75'!$C$2:$C$1142, '75'!$F$2:$F$1142)</f>
        <v>no</v>
      </c>
    </row>
    <row r="275" spans="1:6" x14ac:dyDescent="0.45">
      <c r="A275" t="s">
        <v>1143</v>
      </c>
      <c r="B275" t="s">
        <v>1146</v>
      </c>
      <c r="C275">
        <v>58148929600</v>
      </c>
      <c r="D275">
        <v>57732522100</v>
      </c>
      <c r="E275">
        <v>88</v>
      </c>
      <c r="F275" t="str">
        <f>_xlfn.XLOOKUP(C275, '75'!$C$2:$C$1142, '75'!$F$2:$F$1142)</f>
        <v>no</v>
      </c>
    </row>
    <row r="276" spans="1:6" x14ac:dyDescent="0.45">
      <c r="A276" t="s">
        <v>1152</v>
      </c>
      <c r="B276" t="s">
        <v>1162</v>
      </c>
      <c r="C276">
        <v>57197774098</v>
      </c>
      <c r="D276">
        <v>57221753163</v>
      </c>
      <c r="E276">
        <v>88</v>
      </c>
      <c r="F276" t="str">
        <f>_xlfn.XLOOKUP(C276, '75'!$C$2:$C$1142, '75'!$F$2:$F$1142)</f>
        <v>no</v>
      </c>
    </row>
    <row r="277" spans="1:6" x14ac:dyDescent="0.45">
      <c r="A277" t="s">
        <v>1152</v>
      </c>
      <c r="B277" t="s">
        <v>1159</v>
      </c>
      <c r="C277">
        <v>57197774098</v>
      </c>
      <c r="D277">
        <v>59814155200</v>
      </c>
      <c r="E277">
        <v>86</v>
      </c>
      <c r="F277" t="str">
        <f>_xlfn.XLOOKUP(C277, '75'!$C$2:$C$1142, '75'!$F$2:$F$1142)</f>
        <v>no</v>
      </c>
    </row>
    <row r="278" spans="1:6" x14ac:dyDescent="0.45">
      <c r="A278" t="s">
        <v>1175</v>
      </c>
      <c r="B278" t="s">
        <v>1123</v>
      </c>
      <c r="C278">
        <v>57215871469</v>
      </c>
      <c r="D278">
        <v>57388977900</v>
      </c>
      <c r="E278">
        <v>84</v>
      </c>
      <c r="F278" t="str">
        <f>_xlfn.XLOOKUP(C278, '75'!$C$2:$C$1142, '75'!$F$2:$F$1142)</f>
        <v>ok</v>
      </c>
    </row>
    <row r="279" spans="1:6" x14ac:dyDescent="0.45">
      <c r="A279" t="s">
        <v>1175</v>
      </c>
      <c r="B279" t="s">
        <v>1176</v>
      </c>
      <c r="C279">
        <v>57215871469</v>
      </c>
      <c r="D279">
        <v>59469547500</v>
      </c>
      <c r="E279">
        <v>91</v>
      </c>
      <c r="F279" t="str">
        <f>_xlfn.XLOOKUP(C279, '75'!$C$2:$C$1142, '75'!$F$2:$F$1142)</f>
        <v>ok</v>
      </c>
    </row>
    <row r="280" spans="1:6" x14ac:dyDescent="0.45">
      <c r="A280" t="s">
        <v>1153</v>
      </c>
      <c r="B280" t="s">
        <v>1135</v>
      </c>
      <c r="C280">
        <v>56652361000</v>
      </c>
      <c r="D280">
        <v>57234148200</v>
      </c>
      <c r="E280">
        <v>82</v>
      </c>
      <c r="F280" t="str">
        <f>_xlfn.XLOOKUP(C280, '75'!$C$2:$C$1142, '75'!$F$2:$F$1142)</f>
        <v>no</v>
      </c>
    </row>
    <row r="281" spans="1:6" x14ac:dyDescent="0.45">
      <c r="A281" t="s">
        <v>1153</v>
      </c>
      <c r="B281" t="s">
        <v>1138</v>
      </c>
      <c r="C281">
        <v>56652361000</v>
      </c>
      <c r="D281">
        <v>56420749300</v>
      </c>
      <c r="E281">
        <v>89</v>
      </c>
      <c r="F281" t="str">
        <f>_xlfn.XLOOKUP(C281, '75'!$C$2:$C$1142, '75'!$F$2:$F$1142)</f>
        <v>no</v>
      </c>
    </row>
    <row r="282" spans="1:6" x14ac:dyDescent="0.45">
      <c r="A282" t="s">
        <v>1153</v>
      </c>
      <c r="B282" t="s">
        <v>1142</v>
      </c>
      <c r="C282">
        <v>56652361000</v>
      </c>
      <c r="D282">
        <v>56591076800</v>
      </c>
      <c r="E282">
        <v>89</v>
      </c>
      <c r="F282" t="str">
        <f>_xlfn.XLOOKUP(C282, '75'!$C$2:$C$1142, '75'!$F$2:$F$1142)</f>
        <v>no</v>
      </c>
    </row>
    <row r="283" spans="1:6" x14ac:dyDescent="0.45">
      <c r="A283" t="s">
        <v>1153</v>
      </c>
      <c r="B283" t="s">
        <v>1159</v>
      </c>
      <c r="C283">
        <v>56652361000</v>
      </c>
      <c r="D283">
        <v>59814155200</v>
      </c>
      <c r="E283">
        <v>89</v>
      </c>
      <c r="F283" t="str">
        <f>_xlfn.XLOOKUP(C283, '75'!$C$2:$C$1142, '75'!$F$2:$F$1142)</f>
        <v>no</v>
      </c>
    </row>
    <row r="284" spans="1:6" x14ac:dyDescent="0.45">
      <c r="A284" t="s">
        <v>1171</v>
      </c>
      <c r="B284" t="s">
        <v>1111</v>
      </c>
      <c r="C284">
        <v>58669484300</v>
      </c>
      <c r="D284">
        <v>26023886900</v>
      </c>
      <c r="E284">
        <v>86</v>
      </c>
      <c r="F284" t="str">
        <f>_xlfn.XLOOKUP(C284, '75'!$C$2:$C$1142, '75'!$F$2:$F$1142)</f>
        <v>no</v>
      </c>
    </row>
    <row r="285" spans="1:6" x14ac:dyDescent="0.45">
      <c r="A285" t="s">
        <v>1145</v>
      </c>
      <c r="B285" t="s">
        <v>1146</v>
      </c>
      <c r="C285">
        <v>56066618800</v>
      </c>
      <c r="D285">
        <v>57732522100</v>
      </c>
      <c r="E285">
        <v>83</v>
      </c>
      <c r="F285" t="str">
        <f>_xlfn.XLOOKUP(C285, '75'!$C$2:$C$1142, '75'!$F$2:$F$1142)</f>
        <v>no</v>
      </c>
    </row>
    <row r="286" spans="1:6" x14ac:dyDescent="0.45">
      <c r="A286" t="s">
        <v>1145</v>
      </c>
      <c r="B286" t="s">
        <v>1148</v>
      </c>
      <c r="C286">
        <v>56066618800</v>
      </c>
      <c r="D286">
        <v>57215863345</v>
      </c>
      <c r="E286">
        <v>83</v>
      </c>
      <c r="F286" t="str">
        <f>_xlfn.XLOOKUP(C286, '75'!$C$2:$C$1142, '75'!$F$2:$F$1142)</f>
        <v>no</v>
      </c>
    </row>
    <row r="287" spans="1:6" x14ac:dyDescent="0.45">
      <c r="A287" t="s">
        <v>1126</v>
      </c>
      <c r="B287" t="s">
        <v>1108</v>
      </c>
      <c r="C287">
        <v>57202358222</v>
      </c>
      <c r="D287">
        <v>55330996300</v>
      </c>
      <c r="E287">
        <v>83</v>
      </c>
      <c r="F287" t="str">
        <f>_xlfn.XLOOKUP(C287, '75'!$C$2:$C$1142, '75'!$F$2:$F$1142)</f>
        <v>no</v>
      </c>
    </row>
    <row r="288" spans="1:6" x14ac:dyDescent="0.45">
      <c r="A288" t="s">
        <v>1126</v>
      </c>
      <c r="B288" t="s">
        <v>1128</v>
      </c>
      <c r="C288">
        <v>57202358222</v>
      </c>
      <c r="D288">
        <v>57222133578</v>
      </c>
      <c r="E288">
        <v>86</v>
      </c>
      <c r="F288" t="str">
        <f>_xlfn.XLOOKUP(C288, '75'!$C$2:$C$1142, '75'!$F$2:$F$1142)</f>
        <v>no</v>
      </c>
    </row>
    <row r="289" spans="1:6" x14ac:dyDescent="0.45">
      <c r="A289" t="s">
        <v>1108</v>
      </c>
      <c r="B289" t="s">
        <v>1127</v>
      </c>
      <c r="C289">
        <v>55330996300</v>
      </c>
      <c r="D289">
        <v>58511137000</v>
      </c>
      <c r="E289">
        <v>87</v>
      </c>
      <c r="F289" t="str">
        <f>_xlfn.XLOOKUP(C289, '75'!$C$2:$C$1142, '75'!$F$2:$F$1142)</f>
        <v>no</v>
      </c>
    </row>
    <row r="290" spans="1:6" x14ac:dyDescent="0.45">
      <c r="A290" t="s">
        <v>1108</v>
      </c>
      <c r="B290" t="s">
        <v>1112</v>
      </c>
      <c r="C290">
        <v>55330996300</v>
      </c>
      <c r="D290">
        <v>57220902381</v>
      </c>
      <c r="E290">
        <v>91</v>
      </c>
      <c r="F290" t="str">
        <f>_xlfn.XLOOKUP(C290, '75'!$C$2:$C$1142, '75'!$F$2:$F$1142)</f>
        <v>no</v>
      </c>
    </row>
    <row r="291" spans="1:6" x14ac:dyDescent="0.45">
      <c r="A291" t="s">
        <v>1108</v>
      </c>
      <c r="B291" t="s">
        <v>1128</v>
      </c>
      <c r="C291">
        <v>55330996300</v>
      </c>
      <c r="D291">
        <v>57222133578</v>
      </c>
      <c r="E291">
        <v>83</v>
      </c>
      <c r="F291" t="str">
        <f>_xlfn.XLOOKUP(C291, '75'!$C$2:$C$1142, '75'!$F$2:$F$1142)</f>
        <v>no</v>
      </c>
    </row>
    <row r="292" spans="1:6" x14ac:dyDescent="0.45">
      <c r="A292" t="s">
        <v>1108</v>
      </c>
      <c r="B292" t="s">
        <v>1142</v>
      </c>
      <c r="C292">
        <v>55330996300</v>
      </c>
      <c r="D292">
        <v>56591076800</v>
      </c>
      <c r="E292">
        <v>84</v>
      </c>
      <c r="F292" t="str">
        <f>_xlfn.XLOOKUP(C292, '75'!$C$2:$C$1142, '75'!$F$2:$F$1142)</f>
        <v>no</v>
      </c>
    </row>
    <row r="293" spans="1:6" x14ac:dyDescent="0.45">
      <c r="A293" t="s">
        <v>1146</v>
      </c>
      <c r="B293" t="s">
        <v>1148</v>
      </c>
      <c r="C293">
        <v>57732522100</v>
      </c>
      <c r="D293">
        <v>57215863345</v>
      </c>
      <c r="E293">
        <v>83</v>
      </c>
      <c r="F293" t="str">
        <f>_xlfn.XLOOKUP(C293, '75'!$C$2:$C$1142, '75'!$F$2:$F$1142)</f>
        <v>no</v>
      </c>
    </row>
    <row r="294" spans="1:6" x14ac:dyDescent="0.45">
      <c r="A294" t="s">
        <v>1130</v>
      </c>
      <c r="B294" t="s">
        <v>1131</v>
      </c>
      <c r="C294">
        <v>58250313900</v>
      </c>
      <c r="D294">
        <v>57195715824</v>
      </c>
      <c r="E294">
        <v>85</v>
      </c>
      <c r="F294" t="str">
        <f>_xlfn.XLOOKUP(C294, '75'!$C$2:$C$1142, '75'!$F$2:$F$1142)</f>
        <v>no</v>
      </c>
    </row>
    <row r="295" spans="1:6" x14ac:dyDescent="0.45">
      <c r="A295" t="s">
        <v>1184</v>
      </c>
      <c r="B295" t="s">
        <v>1131</v>
      </c>
      <c r="C295">
        <v>59305816100</v>
      </c>
      <c r="D295">
        <v>57195715824</v>
      </c>
      <c r="E295">
        <v>88</v>
      </c>
      <c r="F295" t="str">
        <f>_xlfn.XLOOKUP(C295, '75'!$C$2:$C$1142, '75'!$F$2:$F$1142)</f>
        <v>no</v>
      </c>
    </row>
    <row r="296" spans="1:6" x14ac:dyDescent="0.45">
      <c r="A296" t="s">
        <v>1162</v>
      </c>
      <c r="B296" t="s">
        <v>1159</v>
      </c>
      <c r="C296">
        <v>57221753163</v>
      </c>
      <c r="D296">
        <v>59814155200</v>
      </c>
      <c r="E296">
        <v>82</v>
      </c>
      <c r="F296" t="str">
        <f>_xlfn.XLOOKUP(C296, '75'!$C$2:$C$1142, '75'!$F$2:$F$1142)</f>
        <v>no</v>
      </c>
    </row>
    <row r="297" spans="1:6" x14ac:dyDescent="0.45">
      <c r="A297" t="s">
        <v>1123</v>
      </c>
      <c r="B297" t="s">
        <v>1188</v>
      </c>
      <c r="C297">
        <v>57388977900</v>
      </c>
      <c r="D297">
        <v>57215719895</v>
      </c>
      <c r="E297">
        <v>82</v>
      </c>
      <c r="F297" t="str">
        <f>_xlfn.XLOOKUP(C297, '75'!$C$2:$C$1142, '75'!$F$2:$F$1142)</f>
        <v>no</v>
      </c>
    </row>
    <row r="298" spans="1:6" x14ac:dyDescent="0.45">
      <c r="A298" t="s">
        <v>1123</v>
      </c>
      <c r="B298" t="s">
        <v>1176</v>
      </c>
      <c r="C298">
        <v>57388977900</v>
      </c>
      <c r="D298">
        <v>59469547500</v>
      </c>
      <c r="E298">
        <v>84</v>
      </c>
      <c r="F298" t="str">
        <f>_xlfn.XLOOKUP(C298, '75'!$C$2:$C$1142, '75'!$F$2:$F$1142)</f>
        <v>no</v>
      </c>
    </row>
    <row r="299" spans="1:6" x14ac:dyDescent="0.45">
      <c r="A299" t="s">
        <v>1155</v>
      </c>
      <c r="B299" t="s">
        <v>1149</v>
      </c>
      <c r="C299">
        <v>57216635351</v>
      </c>
      <c r="D299">
        <v>57445736500</v>
      </c>
      <c r="E299">
        <v>86</v>
      </c>
      <c r="F299" t="str">
        <f>_xlfn.XLOOKUP(C299, '75'!$C$2:$C$1142, '75'!$F$2:$F$1142)</f>
        <v>no</v>
      </c>
    </row>
    <row r="300" spans="1:6" x14ac:dyDescent="0.45">
      <c r="A300" t="s">
        <v>1155</v>
      </c>
      <c r="B300" t="s">
        <v>1159</v>
      </c>
      <c r="C300">
        <v>57216635351</v>
      </c>
      <c r="D300">
        <v>59814155200</v>
      </c>
      <c r="E300">
        <v>86</v>
      </c>
      <c r="F300" t="str">
        <f>_xlfn.XLOOKUP(C300, '75'!$C$2:$C$1142, '75'!$F$2:$F$1142)</f>
        <v>no</v>
      </c>
    </row>
    <row r="301" spans="1:6" x14ac:dyDescent="0.45">
      <c r="A301" t="s">
        <v>1190</v>
      </c>
      <c r="B301" t="s">
        <v>1191</v>
      </c>
      <c r="C301">
        <v>57203870410</v>
      </c>
      <c r="D301">
        <v>56565802200</v>
      </c>
      <c r="E301">
        <v>84</v>
      </c>
      <c r="F301" t="str">
        <f>_xlfn.XLOOKUP(C301, '75'!$C$2:$C$1142, '75'!$F$2:$F$1142)</f>
        <v>no</v>
      </c>
    </row>
    <row r="302" spans="1:6" x14ac:dyDescent="0.45">
      <c r="A302" t="s">
        <v>1163</v>
      </c>
      <c r="B302" t="s">
        <v>1142</v>
      </c>
      <c r="C302">
        <v>59315530000</v>
      </c>
      <c r="D302">
        <v>56591076800</v>
      </c>
      <c r="E302">
        <v>82</v>
      </c>
      <c r="F302" t="str">
        <f>_xlfn.XLOOKUP(C302, '75'!$C$2:$C$1142, '75'!$F$2:$F$1142)</f>
        <v>no</v>
      </c>
    </row>
    <row r="303" spans="1:6" x14ac:dyDescent="0.45">
      <c r="A303" t="s">
        <v>1188</v>
      </c>
      <c r="B303" t="s">
        <v>1124</v>
      </c>
      <c r="C303">
        <v>57215719895</v>
      </c>
      <c r="D303">
        <v>57770966500</v>
      </c>
      <c r="E303">
        <v>82</v>
      </c>
      <c r="F303" t="str">
        <f>_xlfn.XLOOKUP(C303, '75'!$C$2:$C$1142, '75'!$F$2:$F$1142)</f>
        <v>no</v>
      </c>
    </row>
    <row r="304" spans="1:6" x14ac:dyDescent="0.45">
      <c r="A304" t="s">
        <v>1136</v>
      </c>
      <c r="B304" t="s">
        <v>1137</v>
      </c>
      <c r="C304">
        <v>58484470900</v>
      </c>
      <c r="D304">
        <v>58659062200</v>
      </c>
      <c r="E304">
        <v>83</v>
      </c>
      <c r="F304" t="str">
        <f>_xlfn.XLOOKUP(C304, '75'!$C$2:$C$1142, '75'!$F$2:$F$1142)</f>
        <v>no</v>
      </c>
    </row>
    <row r="305" spans="1:6" x14ac:dyDescent="0.45">
      <c r="A305" t="s">
        <v>1136</v>
      </c>
      <c r="B305" t="s">
        <v>1149</v>
      </c>
      <c r="C305">
        <v>58484470900</v>
      </c>
      <c r="D305">
        <v>57445736500</v>
      </c>
      <c r="E305">
        <v>86</v>
      </c>
      <c r="F305" t="str">
        <f>_xlfn.XLOOKUP(C305, '75'!$C$2:$C$1142, '75'!$F$2:$F$1142)</f>
        <v>no</v>
      </c>
    </row>
    <row r="306" spans="1:6" x14ac:dyDescent="0.45">
      <c r="A306" t="s">
        <v>1137</v>
      </c>
      <c r="B306" t="s">
        <v>1138</v>
      </c>
      <c r="C306">
        <v>58659062200</v>
      </c>
      <c r="D306">
        <v>56420749300</v>
      </c>
      <c r="E306">
        <v>86</v>
      </c>
      <c r="F306" t="str">
        <f>_xlfn.XLOOKUP(C306, '75'!$C$2:$C$1142, '75'!$F$2:$F$1142)</f>
        <v>no</v>
      </c>
    </row>
    <row r="307" spans="1:6" x14ac:dyDescent="0.45">
      <c r="A307" t="s">
        <v>1124</v>
      </c>
      <c r="B307" t="s">
        <v>1180</v>
      </c>
      <c r="C307">
        <v>57770966500</v>
      </c>
      <c r="D307">
        <v>58438192400</v>
      </c>
      <c r="E307">
        <v>89</v>
      </c>
      <c r="F307" t="str">
        <f>_xlfn.XLOOKUP(C307, '75'!$C$2:$C$1142, '75'!$F$2:$F$1142)</f>
        <v>no</v>
      </c>
    </row>
    <row r="308" spans="1:6" x14ac:dyDescent="0.45">
      <c r="A308" t="s">
        <v>1124</v>
      </c>
      <c r="B308" t="s">
        <v>1142</v>
      </c>
      <c r="C308">
        <v>57770966500</v>
      </c>
      <c r="D308">
        <v>56591076800</v>
      </c>
      <c r="E308">
        <v>82</v>
      </c>
      <c r="F308" t="str">
        <f>_xlfn.XLOOKUP(C308, '75'!$C$2:$C$1142, '75'!$F$2:$F$1142)</f>
        <v>no</v>
      </c>
    </row>
    <row r="309" spans="1:6" x14ac:dyDescent="0.45">
      <c r="A309" t="s">
        <v>1156</v>
      </c>
      <c r="B309" t="s">
        <v>1142</v>
      </c>
      <c r="C309">
        <v>57545971500</v>
      </c>
      <c r="D309">
        <v>56591076800</v>
      </c>
      <c r="E309">
        <v>90</v>
      </c>
      <c r="F309" t="str">
        <f>_xlfn.XLOOKUP(C309, '75'!$C$2:$C$1142, '75'!$F$2:$F$1142)</f>
        <v>no</v>
      </c>
    </row>
    <row r="310" spans="1:6" x14ac:dyDescent="0.45">
      <c r="A310" t="s">
        <v>1182</v>
      </c>
      <c r="B310" t="s">
        <v>1142</v>
      </c>
      <c r="C310">
        <v>57609969300</v>
      </c>
      <c r="D310">
        <v>56591076800</v>
      </c>
      <c r="E310">
        <v>82</v>
      </c>
      <c r="F310" t="str">
        <f>_xlfn.XLOOKUP(C310, '75'!$C$2:$C$1142, '75'!$F$2:$F$1142)</f>
        <v>no</v>
      </c>
    </row>
    <row r="311" spans="1:6" x14ac:dyDescent="0.45">
      <c r="A311" t="s">
        <v>1127</v>
      </c>
      <c r="B311" t="s">
        <v>1142</v>
      </c>
      <c r="C311">
        <v>58511137000</v>
      </c>
      <c r="D311">
        <v>56591076800</v>
      </c>
      <c r="E311">
        <v>82</v>
      </c>
      <c r="F311" t="str">
        <f>_xlfn.XLOOKUP(C311, '75'!$C$2:$C$1142, '75'!$F$2:$F$1142)</f>
        <v>no</v>
      </c>
    </row>
    <row r="312" spans="1:6" x14ac:dyDescent="0.45">
      <c r="A312" t="s">
        <v>1158</v>
      </c>
      <c r="B312" t="s">
        <v>1193</v>
      </c>
      <c r="C312">
        <v>54390643800</v>
      </c>
      <c r="D312">
        <v>37084737400</v>
      </c>
      <c r="E312">
        <v>82</v>
      </c>
      <c r="F312" t="str">
        <f>_xlfn.XLOOKUP(C312, '75'!$C$2:$C$1142, '75'!$F$2:$F$1142)</f>
        <v>no</v>
      </c>
    </row>
    <row r="313" spans="1:6" x14ac:dyDescent="0.45">
      <c r="A313" t="s">
        <v>1138</v>
      </c>
      <c r="B313" t="s">
        <v>1133</v>
      </c>
      <c r="C313">
        <v>56420749300</v>
      </c>
      <c r="D313">
        <v>58835262000</v>
      </c>
      <c r="E313">
        <v>82</v>
      </c>
      <c r="F313" t="str">
        <f>_xlfn.XLOOKUP(C313, '75'!$C$2:$C$1142, '75'!$F$2:$F$1142)</f>
        <v>no</v>
      </c>
    </row>
    <row r="314" spans="1:6" x14ac:dyDescent="0.45">
      <c r="A314" t="s">
        <v>1194</v>
      </c>
      <c r="B314" t="s">
        <v>1187</v>
      </c>
      <c r="C314">
        <v>57218401531</v>
      </c>
      <c r="D314">
        <v>58746456100</v>
      </c>
      <c r="E314">
        <v>84</v>
      </c>
      <c r="F314" t="str">
        <f>_xlfn.XLOOKUP(C314, '75'!$C$2:$C$1142, '75'!$F$2:$F$1142)</f>
        <v>no</v>
      </c>
    </row>
    <row r="315" spans="1:6" x14ac:dyDescent="0.45">
      <c r="A315" t="s">
        <v>1119</v>
      </c>
      <c r="B315" t="s">
        <v>1191</v>
      </c>
      <c r="C315">
        <v>57225984973</v>
      </c>
      <c r="D315">
        <v>56565802200</v>
      </c>
      <c r="E315">
        <v>82</v>
      </c>
      <c r="F315" t="str">
        <f>_xlfn.XLOOKUP(C315, '75'!$C$2:$C$1142, '75'!$F$2:$F$1142)</f>
        <v>no</v>
      </c>
    </row>
    <row r="316" spans="1:6" x14ac:dyDescent="0.45">
      <c r="A316" t="s">
        <v>1142</v>
      </c>
      <c r="B316" t="s">
        <v>1159</v>
      </c>
      <c r="C316">
        <v>56591076800</v>
      </c>
      <c r="D316">
        <v>59814155200</v>
      </c>
      <c r="E316">
        <v>89</v>
      </c>
      <c r="F316" t="str">
        <f>_xlfn.XLOOKUP(C316, '75'!$C$2:$C$1142, '75'!$F$2:$F$1142)</f>
        <v>no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D154-1463-486B-9D6E-D337836D7F87}">
  <dimension ref="A1:J202"/>
  <sheetViews>
    <sheetView workbookViewId="0">
      <selection activeCell="F3" sqref="F3"/>
    </sheetView>
  </sheetViews>
  <sheetFormatPr defaultRowHeight="14.25" x14ac:dyDescent="0.45"/>
  <cols>
    <col min="1" max="1" width="21.46484375" bestFit="1" customWidth="1"/>
    <col min="2" max="2" width="23.6640625" bestFit="1" customWidth="1"/>
    <col min="3" max="4" width="11.73046875" bestFit="1" customWidth="1"/>
    <col min="5" max="5" width="13.464843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1200</v>
      </c>
    </row>
    <row r="2" spans="1:10" x14ac:dyDescent="0.45">
      <c r="A2" t="s">
        <v>21</v>
      </c>
      <c r="B2" t="s">
        <v>22</v>
      </c>
      <c r="C2">
        <v>55105815400</v>
      </c>
      <c r="D2">
        <v>57216688017</v>
      </c>
      <c r="E2">
        <v>90</v>
      </c>
      <c r="F2" t="str">
        <f>_xlfn.XLOOKUP(C2, '75'!$C$2:$C$1142, '75'!$F$2:$F$1142)</f>
        <v>ok</v>
      </c>
      <c r="H2" t="s">
        <v>1198</v>
      </c>
      <c r="I2">
        <f>COUNTIF(F2:F202, "ok")/201</f>
        <v>0.43781094527363185</v>
      </c>
      <c r="J2">
        <f>I2*201</f>
        <v>88</v>
      </c>
    </row>
    <row r="3" spans="1:10" x14ac:dyDescent="0.45">
      <c r="A3" t="s">
        <v>25</v>
      </c>
      <c r="B3" t="s">
        <v>26</v>
      </c>
      <c r="C3">
        <v>57218423351</v>
      </c>
      <c r="D3">
        <v>56965067200</v>
      </c>
      <c r="E3">
        <v>95</v>
      </c>
      <c r="F3" t="str">
        <f>_xlfn.XLOOKUP(C3, '75'!$C$2:$C$1142, '75'!$F$2:$F$1142)</f>
        <v>ok</v>
      </c>
      <c r="I3">
        <f>COUNTIF(F2:F202, "no")/201</f>
        <v>0.56218905472636815</v>
      </c>
      <c r="J3">
        <f>I3*201</f>
        <v>113</v>
      </c>
    </row>
    <row r="4" spans="1:10" x14ac:dyDescent="0.45">
      <c r="A4" t="s">
        <v>35</v>
      </c>
      <c r="B4" t="s">
        <v>36</v>
      </c>
      <c r="C4">
        <v>56654006700</v>
      </c>
      <c r="D4">
        <v>7102310616</v>
      </c>
      <c r="E4">
        <v>93</v>
      </c>
      <c r="F4" t="str">
        <f>_xlfn.XLOOKUP(C4, '75'!$C$2:$C$1142, '75'!$F$2:$F$1142)</f>
        <v>ok</v>
      </c>
    </row>
    <row r="5" spans="1:10" x14ac:dyDescent="0.45">
      <c r="A5" t="s">
        <v>40</v>
      </c>
      <c r="B5" t="s">
        <v>41</v>
      </c>
      <c r="C5">
        <v>17344924200</v>
      </c>
      <c r="D5">
        <v>59806848700</v>
      </c>
      <c r="E5">
        <v>85</v>
      </c>
      <c r="F5" t="str">
        <f>_xlfn.XLOOKUP(C5, '75'!$C$2:$C$1142, '75'!$F$2:$F$1142)</f>
        <v>ok</v>
      </c>
    </row>
    <row r="6" spans="1:10" x14ac:dyDescent="0.45">
      <c r="A6" t="s">
        <v>42</v>
      </c>
      <c r="B6" t="s">
        <v>43</v>
      </c>
      <c r="C6">
        <v>6602479101</v>
      </c>
      <c r="D6">
        <v>59465106300</v>
      </c>
      <c r="E6">
        <v>92</v>
      </c>
      <c r="F6" t="str">
        <f>_xlfn.XLOOKUP(C6, '75'!$C$2:$C$1142, '75'!$F$2:$F$1142)</f>
        <v>ok</v>
      </c>
    </row>
    <row r="7" spans="1:10" x14ac:dyDescent="0.45">
      <c r="A7" t="s">
        <v>42</v>
      </c>
      <c r="B7" t="s">
        <v>44</v>
      </c>
      <c r="C7">
        <v>6602479101</v>
      </c>
      <c r="D7">
        <v>59119893600</v>
      </c>
      <c r="E7">
        <v>92</v>
      </c>
      <c r="F7" t="str">
        <f>_xlfn.XLOOKUP(C7, '75'!$C$2:$C$1142, '75'!$F$2:$F$1142)</f>
        <v>ok</v>
      </c>
    </row>
    <row r="8" spans="1:10" x14ac:dyDescent="0.45">
      <c r="A8" t="s">
        <v>49</v>
      </c>
      <c r="B8" t="s">
        <v>50</v>
      </c>
      <c r="C8">
        <v>42760951000</v>
      </c>
      <c r="D8">
        <v>57937968100</v>
      </c>
      <c r="E8">
        <v>91</v>
      </c>
      <c r="F8" t="str">
        <f>_xlfn.XLOOKUP(C8, '75'!$C$2:$C$1142, '75'!$F$2:$F$1142)</f>
        <v>ok</v>
      </c>
    </row>
    <row r="9" spans="1:10" x14ac:dyDescent="0.45">
      <c r="A9" t="s">
        <v>51</v>
      </c>
      <c r="B9" t="s">
        <v>52</v>
      </c>
      <c r="C9">
        <v>57204216471</v>
      </c>
      <c r="D9">
        <v>7004856179</v>
      </c>
      <c r="E9">
        <v>93</v>
      </c>
      <c r="F9" t="str">
        <f>_xlfn.XLOOKUP(C9, '75'!$C$2:$C$1142, '75'!$F$2:$F$1142)</f>
        <v>ok</v>
      </c>
    </row>
    <row r="10" spans="1:10" x14ac:dyDescent="0.45">
      <c r="A10" t="s">
        <v>59</v>
      </c>
      <c r="B10" t="s">
        <v>60</v>
      </c>
      <c r="C10">
        <v>7004232335</v>
      </c>
      <c r="D10">
        <v>57218515194</v>
      </c>
      <c r="E10">
        <v>96</v>
      </c>
      <c r="F10" t="str">
        <f>_xlfn.XLOOKUP(C10, '75'!$C$2:$C$1142, '75'!$F$2:$F$1142)</f>
        <v>ok</v>
      </c>
    </row>
    <row r="11" spans="1:10" x14ac:dyDescent="0.45">
      <c r="A11" t="s">
        <v>71</v>
      </c>
      <c r="B11" t="s">
        <v>72</v>
      </c>
      <c r="C11">
        <v>24433859000</v>
      </c>
      <c r="D11">
        <v>57225808826</v>
      </c>
      <c r="E11">
        <v>90</v>
      </c>
      <c r="F11" t="str">
        <f>_xlfn.XLOOKUP(C11, '75'!$C$2:$C$1142, '75'!$F$2:$F$1142)</f>
        <v>ok</v>
      </c>
    </row>
    <row r="12" spans="1:10" x14ac:dyDescent="0.45">
      <c r="A12" t="s">
        <v>64</v>
      </c>
      <c r="B12" t="s">
        <v>77</v>
      </c>
      <c r="C12">
        <v>59467571400</v>
      </c>
      <c r="D12">
        <v>57543086500</v>
      </c>
      <c r="E12">
        <v>86</v>
      </c>
      <c r="F12" t="str">
        <f>_xlfn.XLOOKUP(C12, '75'!$C$2:$C$1142, '75'!$F$2:$F$1142)</f>
        <v>no</v>
      </c>
    </row>
    <row r="13" spans="1:10" x14ac:dyDescent="0.45">
      <c r="A13" t="s">
        <v>80</v>
      </c>
      <c r="B13" t="s">
        <v>81</v>
      </c>
      <c r="C13">
        <v>58480796700</v>
      </c>
      <c r="D13">
        <v>59482580700</v>
      </c>
      <c r="E13">
        <v>92</v>
      </c>
      <c r="F13" t="str">
        <f>_xlfn.XLOOKUP(C13, '75'!$C$2:$C$1142, '75'!$F$2:$F$1142)</f>
        <v>ok</v>
      </c>
    </row>
    <row r="14" spans="1:10" x14ac:dyDescent="0.45">
      <c r="A14" t="s">
        <v>82</v>
      </c>
      <c r="B14" t="s">
        <v>83</v>
      </c>
      <c r="C14">
        <v>57195104543</v>
      </c>
      <c r="D14">
        <v>59812475700</v>
      </c>
      <c r="E14">
        <v>96</v>
      </c>
      <c r="F14" t="str">
        <f>_xlfn.XLOOKUP(C14, '75'!$C$2:$C$1142, '75'!$F$2:$F$1142)</f>
        <v>ok</v>
      </c>
    </row>
    <row r="15" spans="1:10" x14ac:dyDescent="0.45">
      <c r="A15" t="s">
        <v>84</v>
      </c>
      <c r="B15" t="s">
        <v>85</v>
      </c>
      <c r="C15">
        <v>7005488549</v>
      </c>
      <c r="D15">
        <v>58680470600</v>
      </c>
      <c r="E15">
        <v>93</v>
      </c>
      <c r="F15" t="str">
        <f>_xlfn.XLOOKUP(C15, '75'!$C$2:$C$1142, '75'!$F$2:$F$1142)</f>
        <v>ok</v>
      </c>
    </row>
    <row r="16" spans="1:10" x14ac:dyDescent="0.45">
      <c r="A16" t="s">
        <v>86</v>
      </c>
      <c r="B16" t="s">
        <v>87</v>
      </c>
      <c r="C16">
        <v>16416871500</v>
      </c>
      <c r="D16">
        <v>57221322504</v>
      </c>
      <c r="E16">
        <v>93</v>
      </c>
      <c r="F16" t="str">
        <f>_xlfn.XLOOKUP(C16, '75'!$C$2:$C$1142, '75'!$F$2:$F$1142)</f>
        <v>ok</v>
      </c>
    </row>
    <row r="17" spans="1:6" x14ac:dyDescent="0.45">
      <c r="A17" t="s">
        <v>101</v>
      </c>
      <c r="B17" t="s">
        <v>102</v>
      </c>
      <c r="C17">
        <v>12645477200</v>
      </c>
      <c r="D17">
        <v>58313184000</v>
      </c>
      <c r="E17">
        <v>89</v>
      </c>
      <c r="F17" t="str">
        <f>_xlfn.XLOOKUP(C17, '75'!$C$2:$C$1142, '75'!$F$2:$F$1142)</f>
        <v>no</v>
      </c>
    </row>
    <row r="18" spans="1:6" x14ac:dyDescent="0.45">
      <c r="A18" t="s">
        <v>110</v>
      </c>
      <c r="B18" t="s">
        <v>111</v>
      </c>
      <c r="C18">
        <v>57202919677</v>
      </c>
      <c r="D18">
        <v>57209555584</v>
      </c>
      <c r="E18">
        <v>85</v>
      </c>
      <c r="F18" t="str">
        <f>_xlfn.XLOOKUP(C18, '75'!$C$2:$C$1142, '75'!$F$2:$F$1142)</f>
        <v>no</v>
      </c>
    </row>
    <row r="19" spans="1:6" x14ac:dyDescent="0.45">
      <c r="A19" t="s">
        <v>113</v>
      </c>
      <c r="B19" t="s">
        <v>120</v>
      </c>
      <c r="C19">
        <v>57200504717</v>
      </c>
      <c r="D19">
        <v>57464181400</v>
      </c>
      <c r="E19">
        <v>86</v>
      </c>
      <c r="F19" t="str">
        <f>_xlfn.XLOOKUP(C19, '75'!$C$2:$C$1142, '75'!$F$2:$F$1142)</f>
        <v>no</v>
      </c>
    </row>
    <row r="20" spans="1:6" x14ac:dyDescent="0.45">
      <c r="A20" t="s">
        <v>114</v>
      </c>
      <c r="B20" t="s">
        <v>119</v>
      </c>
      <c r="C20">
        <v>56040387500</v>
      </c>
      <c r="D20">
        <v>55049017000</v>
      </c>
      <c r="E20">
        <v>89</v>
      </c>
      <c r="F20" t="str">
        <f>_xlfn.XLOOKUP(C20, '75'!$C$2:$C$1142, '75'!$F$2:$F$1142)</f>
        <v>no</v>
      </c>
    </row>
    <row r="21" spans="1:6" x14ac:dyDescent="0.45">
      <c r="A21" t="s">
        <v>114</v>
      </c>
      <c r="B21" t="s">
        <v>127</v>
      </c>
      <c r="C21">
        <v>56040387500</v>
      </c>
      <c r="D21">
        <v>59353414700</v>
      </c>
      <c r="E21">
        <v>90</v>
      </c>
      <c r="F21" t="str">
        <f>_xlfn.XLOOKUP(C21, '75'!$C$2:$C$1142, '75'!$F$2:$F$1142)</f>
        <v>no</v>
      </c>
    </row>
    <row r="22" spans="1:6" x14ac:dyDescent="0.45">
      <c r="A22" t="s">
        <v>95</v>
      </c>
      <c r="B22" t="s">
        <v>129</v>
      </c>
      <c r="C22">
        <v>35306560600</v>
      </c>
      <c r="D22">
        <v>57382754500</v>
      </c>
      <c r="E22">
        <v>95</v>
      </c>
      <c r="F22" t="str">
        <f>_xlfn.XLOOKUP(C22, '75'!$C$2:$C$1142, '75'!$F$2:$F$1142)</f>
        <v>no</v>
      </c>
    </row>
    <row r="23" spans="1:6" x14ac:dyDescent="0.45">
      <c r="A23" t="s">
        <v>95</v>
      </c>
      <c r="B23" t="s">
        <v>130</v>
      </c>
      <c r="C23">
        <v>35306560600</v>
      </c>
      <c r="D23">
        <v>55447267000</v>
      </c>
      <c r="E23">
        <v>95</v>
      </c>
      <c r="F23" t="str">
        <f>_xlfn.XLOOKUP(C23, '75'!$C$2:$C$1142, '75'!$F$2:$F$1142)</f>
        <v>no</v>
      </c>
    </row>
    <row r="24" spans="1:6" x14ac:dyDescent="0.45">
      <c r="A24" t="s">
        <v>96</v>
      </c>
      <c r="B24" t="s">
        <v>99</v>
      </c>
      <c r="C24">
        <v>57202349101</v>
      </c>
      <c r="D24">
        <v>57221774756</v>
      </c>
      <c r="E24">
        <v>89</v>
      </c>
      <c r="F24" t="str">
        <f>_xlfn.XLOOKUP(C24, '75'!$C$2:$C$1142, '75'!$F$2:$F$1142)</f>
        <v>no</v>
      </c>
    </row>
    <row r="25" spans="1:6" x14ac:dyDescent="0.45">
      <c r="A25" t="s">
        <v>139</v>
      </c>
      <c r="B25" t="s">
        <v>140</v>
      </c>
      <c r="C25">
        <v>57211297356</v>
      </c>
      <c r="D25">
        <v>58042961200</v>
      </c>
      <c r="E25">
        <v>89</v>
      </c>
      <c r="F25" t="str">
        <f>_xlfn.XLOOKUP(C25, '75'!$C$2:$C$1142, '75'!$F$2:$F$1142)</f>
        <v>no</v>
      </c>
    </row>
    <row r="26" spans="1:6" x14ac:dyDescent="0.45">
      <c r="A26" t="s">
        <v>154</v>
      </c>
      <c r="B26" t="s">
        <v>155</v>
      </c>
      <c r="C26">
        <v>56085514500</v>
      </c>
      <c r="D26">
        <v>59501786900</v>
      </c>
      <c r="E26">
        <v>92</v>
      </c>
      <c r="F26" t="str">
        <f>_xlfn.XLOOKUP(C26, '75'!$C$2:$C$1142, '75'!$F$2:$F$1142)</f>
        <v>ok</v>
      </c>
    </row>
    <row r="27" spans="1:6" x14ac:dyDescent="0.45">
      <c r="A27" t="s">
        <v>129</v>
      </c>
      <c r="B27" t="s">
        <v>130</v>
      </c>
      <c r="C27">
        <v>57382754500</v>
      </c>
      <c r="D27">
        <v>55447267000</v>
      </c>
      <c r="E27">
        <v>90</v>
      </c>
      <c r="F27" t="str">
        <f>_xlfn.XLOOKUP(C27, '75'!$C$2:$C$1142, '75'!$F$2:$F$1142)</f>
        <v>no</v>
      </c>
    </row>
    <row r="28" spans="1:6" x14ac:dyDescent="0.45">
      <c r="A28" t="s">
        <v>169</v>
      </c>
      <c r="B28" t="s">
        <v>170</v>
      </c>
      <c r="C28">
        <v>58827810200</v>
      </c>
      <c r="D28">
        <v>56719213100</v>
      </c>
      <c r="E28">
        <v>92</v>
      </c>
      <c r="F28" t="str">
        <f>_xlfn.XLOOKUP(C28, '75'!$C$2:$C$1142, '75'!$F$2:$F$1142)</f>
        <v>ok</v>
      </c>
    </row>
    <row r="29" spans="1:6" x14ac:dyDescent="0.45">
      <c r="A29" t="s">
        <v>116</v>
      </c>
      <c r="B29" t="s">
        <v>172</v>
      </c>
      <c r="C29">
        <v>57220043419</v>
      </c>
      <c r="D29">
        <v>59352990300</v>
      </c>
      <c r="E29">
        <v>90</v>
      </c>
      <c r="F29" t="str">
        <f>_xlfn.XLOOKUP(C29, '75'!$C$2:$C$1142, '75'!$F$2:$F$1142)</f>
        <v>no</v>
      </c>
    </row>
    <row r="30" spans="1:6" x14ac:dyDescent="0.45">
      <c r="A30" t="s">
        <v>173</v>
      </c>
      <c r="B30" t="s">
        <v>117</v>
      </c>
      <c r="C30">
        <v>58830295700</v>
      </c>
      <c r="D30">
        <v>57219394662</v>
      </c>
      <c r="E30">
        <v>90</v>
      </c>
      <c r="F30" t="str">
        <f>_xlfn.XLOOKUP(C30, '75'!$C$2:$C$1142, '75'!$F$2:$F$1142)</f>
        <v>ok</v>
      </c>
    </row>
    <row r="31" spans="1:6" x14ac:dyDescent="0.45">
      <c r="A31" t="s">
        <v>177</v>
      </c>
      <c r="B31" t="s">
        <v>178</v>
      </c>
      <c r="C31">
        <v>57974985600</v>
      </c>
      <c r="D31">
        <v>57222103241</v>
      </c>
      <c r="E31">
        <v>86</v>
      </c>
      <c r="F31" t="str">
        <f>_xlfn.XLOOKUP(C31, '75'!$C$2:$C$1142, '75'!$F$2:$F$1142)</f>
        <v>no</v>
      </c>
    </row>
    <row r="32" spans="1:6" x14ac:dyDescent="0.45">
      <c r="A32" t="s">
        <v>111</v>
      </c>
      <c r="B32" t="s">
        <v>112</v>
      </c>
      <c r="C32">
        <v>57209555584</v>
      </c>
      <c r="D32">
        <v>59135252300</v>
      </c>
      <c r="E32">
        <v>89</v>
      </c>
      <c r="F32" t="str">
        <f>_xlfn.XLOOKUP(C32, '75'!$C$2:$C$1142, '75'!$F$2:$F$1142)</f>
        <v>no</v>
      </c>
    </row>
    <row r="33" spans="1:6" x14ac:dyDescent="0.45">
      <c r="A33" t="s">
        <v>190</v>
      </c>
      <c r="B33" t="s">
        <v>191</v>
      </c>
      <c r="C33">
        <v>57821779900</v>
      </c>
      <c r="D33">
        <v>59415748800</v>
      </c>
      <c r="E33">
        <v>94</v>
      </c>
      <c r="F33" t="str">
        <f>_xlfn.XLOOKUP(C33, '75'!$C$2:$C$1142, '75'!$F$2:$F$1142)</f>
        <v>ok</v>
      </c>
    </row>
    <row r="34" spans="1:6" x14ac:dyDescent="0.45">
      <c r="A34" t="s">
        <v>200</v>
      </c>
      <c r="B34" t="s">
        <v>201</v>
      </c>
      <c r="C34">
        <v>59807760700</v>
      </c>
      <c r="D34">
        <v>7402666341</v>
      </c>
      <c r="E34">
        <v>92</v>
      </c>
      <c r="F34" t="str">
        <f>_xlfn.XLOOKUP(C34, '75'!$C$2:$C$1142, '75'!$F$2:$F$1142)</f>
        <v>ok</v>
      </c>
    </row>
    <row r="35" spans="1:6" x14ac:dyDescent="0.45">
      <c r="A35" t="s">
        <v>207</v>
      </c>
      <c r="B35" t="s">
        <v>208</v>
      </c>
      <c r="C35">
        <v>58287914600</v>
      </c>
      <c r="D35">
        <v>58061917200</v>
      </c>
      <c r="E35">
        <v>95</v>
      </c>
      <c r="F35" t="str">
        <f>_xlfn.XLOOKUP(C35, '75'!$C$2:$C$1142, '75'!$F$2:$F$1142)</f>
        <v>ok</v>
      </c>
    </row>
    <row r="36" spans="1:6" x14ac:dyDescent="0.45">
      <c r="A36" t="s">
        <v>118</v>
      </c>
      <c r="B36" t="s">
        <v>120</v>
      </c>
      <c r="C36">
        <v>59549734700</v>
      </c>
      <c r="D36">
        <v>57464181400</v>
      </c>
      <c r="E36">
        <v>88</v>
      </c>
      <c r="F36" t="str">
        <f>_xlfn.XLOOKUP(C36, '75'!$C$2:$C$1142, '75'!$F$2:$F$1142)</f>
        <v>no</v>
      </c>
    </row>
    <row r="37" spans="1:6" x14ac:dyDescent="0.45">
      <c r="A37" t="s">
        <v>218</v>
      </c>
      <c r="B37" t="s">
        <v>219</v>
      </c>
      <c r="C37">
        <v>57201730337</v>
      </c>
      <c r="D37">
        <v>57202912172</v>
      </c>
      <c r="E37">
        <v>93</v>
      </c>
      <c r="F37" t="str">
        <f>_xlfn.XLOOKUP(C37, '75'!$C$2:$C$1142, '75'!$F$2:$F$1142)</f>
        <v>ok</v>
      </c>
    </row>
    <row r="38" spans="1:6" x14ac:dyDescent="0.45">
      <c r="A38" t="s">
        <v>222</v>
      </c>
      <c r="B38" t="s">
        <v>223</v>
      </c>
      <c r="C38">
        <v>7004268181</v>
      </c>
      <c r="D38">
        <v>56840385400</v>
      </c>
      <c r="E38">
        <v>93</v>
      </c>
      <c r="F38" t="str">
        <f>_xlfn.XLOOKUP(C38, '75'!$C$2:$C$1142, '75'!$F$2:$F$1142)</f>
        <v>ok</v>
      </c>
    </row>
    <row r="39" spans="1:6" x14ac:dyDescent="0.45">
      <c r="A39" t="s">
        <v>230</v>
      </c>
      <c r="B39" t="s">
        <v>231</v>
      </c>
      <c r="C39">
        <v>59157783100</v>
      </c>
      <c r="D39">
        <v>59814698200</v>
      </c>
      <c r="E39">
        <v>92</v>
      </c>
      <c r="F39" t="str">
        <f>_xlfn.XLOOKUP(C39, '75'!$C$2:$C$1142, '75'!$F$2:$F$1142)</f>
        <v>ok</v>
      </c>
    </row>
    <row r="40" spans="1:6" x14ac:dyDescent="0.45">
      <c r="A40" t="s">
        <v>232</v>
      </c>
      <c r="B40" t="s">
        <v>233</v>
      </c>
      <c r="C40">
        <v>57287468800</v>
      </c>
      <c r="D40">
        <v>57575566400</v>
      </c>
      <c r="E40">
        <v>92</v>
      </c>
      <c r="F40" t="str">
        <f>_xlfn.XLOOKUP(C40, '75'!$C$2:$C$1142, '75'!$F$2:$F$1142)</f>
        <v>ok</v>
      </c>
    </row>
    <row r="41" spans="1:6" x14ac:dyDescent="0.45">
      <c r="A41" t="s">
        <v>242</v>
      </c>
      <c r="B41" t="s">
        <v>243</v>
      </c>
      <c r="C41">
        <v>57792002700</v>
      </c>
      <c r="D41">
        <v>59373208900</v>
      </c>
      <c r="E41">
        <v>97</v>
      </c>
      <c r="F41" t="str">
        <f>_xlfn.XLOOKUP(C41, '75'!$C$2:$C$1142, '75'!$F$2:$F$1142)</f>
        <v>ok</v>
      </c>
    </row>
    <row r="42" spans="1:6" x14ac:dyDescent="0.45">
      <c r="A42" t="s">
        <v>244</v>
      </c>
      <c r="B42" t="s">
        <v>245</v>
      </c>
      <c r="C42">
        <v>57212346127</v>
      </c>
      <c r="D42">
        <v>57203331764</v>
      </c>
      <c r="E42">
        <v>90</v>
      </c>
      <c r="F42" t="str">
        <f>_xlfn.XLOOKUP(C42, '75'!$C$2:$C$1142, '75'!$F$2:$F$1142)</f>
        <v>no</v>
      </c>
    </row>
    <row r="43" spans="1:6" x14ac:dyDescent="0.45">
      <c r="A43" t="s">
        <v>248</v>
      </c>
      <c r="B43" t="s">
        <v>249</v>
      </c>
      <c r="C43">
        <v>57215934820</v>
      </c>
      <c r="D43">
        <v>57214111535</v>
      </c>
      <c r="E43">
        <v>97</v>
      </c>
      <c r="F43" t="str">
        <f>_xlfn.XLOOKUP(C43, '75'!$C$2:$C$1142, '75'!$F$2:$F$1142)</f>
        <v>ok</v>
      </c>
    </row>
    <row r="44" spans="1:6" x14ac:dyDescent="0.45">
      <c r="A44" t="s">
        <v>250</v>
      </c>
      <c r="B44" t="s">
        <v>251</v>
      </c>
      <c r="C44">
        <v>59647175000</v>
      </c>
      <c r="D44">
        <v>57216222262</v>
      </c>
      <c r="E44">
        <v>93</v>
      </c>
      <c r="F44" t="str">
        <f>_xlfn.XLOOKUP(C44, '75'!$C$2:$C$1142, '75'!$F$2:$F$1142)</f>
        <v>ok</v>
      </c>
    </row>
    <row r="45" spans="1:6" x14ac:dyDescent="0.45">
      <c r="A45" t="s">
        <v>254</v>
      </c>
      <c r="B45" t="s">
        <v>255</v>
      </c>
      <c r="C45">
        <v>55620693600</v>
      </c>
      <c r="D45">
        <v>57998385200</v>
      </c>
      <c r="E45">
        <v>96</v>
      </c>
      <c r="F45" t="str">
        <f>_xlfn.XLOOKUP(C45, '75'!$C$2:$C$1142, '75'!$F$2:$F$1142)</f>
        <v>ok</v>
      </c>
    </row>
    <row r="46" spans="1:6" x14ac:dyDescent="0.45">
      <c r="A46" t="s">
        <v>261</v>
      </c>
      <c r="B46" t="s">
        <v>262</v>
      </c>
      <c r="C46">
        <v>56856315600</v>
      </c>
      <c r="D46">
        <v>56268773600</v>
      </c>
      <c r="E46">
        <v>92</v>
      </c>
      <c r="F46" t="str">
        <f>_xlfn.XLOOKUP(C46, '75'!$C$2:$C$1142, '75'!$F$2:$F$1142)</f>
        <v>no</v>
      </c>
    </row>
    <row r="47" spans="1:6" x14ac:dyDescent="0.45">
      <c r="A47" t="s">
        <v>267</v>
      </c>
      <c r="B47" t="s">
        <v>268</v>
      </c>
      <c r="C47">
        <v>57220106603</v>
      </c>
      <c r="D47">
        <v>57217134072</v>
      </c>
      <c r="E47">
        <v>92</v>
      </c>
      <c r="F47" t="str">
        <f>_xlfn.XLOOKUP(C47, '75'!$C$2:$C$1142, '75'!$F$2:$F$1142)</f>
        <v>no</v>
      </c>
    </row>
    <row r="48" spans="1:6" x14ac:dyDescent="0.45">
      <c r="A48" t="s">
        <v>276</v>
      </c>
      <c r="B48" t="s">
        <v>277</v>
      </c>
      <c r="C48">
        <v>58558920700</v>
      </c>
      <c r="D48">
        <v>57218855997</v>
      </c>
      <c r="E48">
        <v>87</v>
      </c>
      <c r="F48" t="str">
        <f>_xlfn.XLOOKUP(C48, '75'!$C$2:$C$1142, '75'!$F$2:$F$1142)</f>
        <v>ok</v>
      </c>
    </row>
    <row r="49" spans="1:6" x14ac:dyDescent="0.45">
      <c r="A49" t="s">
        <v>275</v>
      </c>
      <c r="B49" t="s">
        <v>264</v>
      </c>
      <c r="C49">
        <v>57998535800</v>
      </c>
      <c r="D49">
        <v>57211241158</v>
      </c>
      <c r="E49">
        <v>86</v>
      </c>
      <c r="F49" t="str">
        <f>_xlfn.XLOOKUP(C49, '75'!$C$2:$C$1142, '75'!$F$2:$F$1142)</f>
        <v>no</v>
      </c>
    </row>
    <row r="50" spans="1:6" x14ac:dyDescent="0.45">
      <c r="A50" t="s">
        <v>281</v>
      </c>
      <c r="B50" t="s">
        <v>282</v>
      </c>
      <c r="C50">
        <v>57200176320</v>
      </c>
      <c r="D50">
        <v>58689678000</v>
      </c>
      <c r="E50">
        <v>92</v>
      </c>
      <c r="F50" t="str">
        <f>_xlfn.XLOOKUP(C50, '75'!$C$2:$C$1142, '75'!$F$2:$F$1142)</f>
        <v>ok</v>
      </c>
    </row>
    <row r="51" spans="1:6" x14ac:dyDescent="0.45">
      <c r="A51" t="s">
        <v>285</v>
      </c>
      <c r="B51" t="s">
        <v>286</v>
      </c>
      <c r="C51">
        <v>57723250300</v>
      </c>
      <c r="D51">
        <v>59173501800</v>
      </c>
      <c r="E51">
        <v>93</v>
      </c>
      <c r="F51" t="str">
        <f>_xlfn.XLOOKUP(C51, '75'!$C$2:$C$1142, '75'!$F$2:$F$1142)</f>
        <v>ok</v>
      </c>
    </row>
    <row r="52" spans="1:6" x14ac:dyDescent="0.45">
      <c r="A52" t="s">
        <v>292</v>
      </c>
      <c r="B52" t="s">
        <v>293</v>
      </c>
      <c r="C52">
        <v>24359010500</v>
      </c>
      <c r="D52">
        <v>57223164224</v>
      </c>
      <c r="E52">
        <v>90</v>
      </c>
      <c r="F52" t="str">
        <f>_xlfn.XLOOKUP(C52, '75'!$C$2:$C$1142, '75'!$F$2:$F$1142)</f>
        <v>ok</v>
      </c>
    </row>
    <row r="53" spans="1:6" x14ac:dyDescent="0.45">
      <c r="A53" t="s">
        <v>298</v>
      </c>
      <c r="B53" t="s">
        <v>299</v>
      </c>
      <c r="C53">
        <v>6507645629</v>
      </c>
      <c r="D53">
        <v>58990528300</v>
      </c>
      <c r="E53">
        <v>91</v>
      </c>
      <c r="F53" t="str">
        <f>_xlfn.XLOOKUP(C53, '75'!$C$2:$C$1142, '75'!$F$2:$F$1142)</f>
        <v>ok</v>
      </c>
    </row>
    <row r="54" spans="1:6" x14ac:dyDescent="0.45">
      <c r="A54" t="s">
        <v>309</v>
      </c>
      <c r="B54" t="s">
        <v>295</v>
      </c>
      <c r="C54">
        <v>57210636353</v>
      </c>
      <c r="D54">
        <v>57392372000</v>
      </c>
      <c r="E54">
        <v>86</v>
      </c>
      <c r="F54" t="str">
        <f>_xlfn.XLOOKUP(C54, '75'!$C$2:$C$1142, '75'!$F$2:$F$1142)</f>
        <v>no</v>
      </c>
    </row>
    <row r="55" spans="1:6" x14ac:dyDescent="0.45">
      <c r="A55" t="s">
        <v>316</v>
      </c>
      <c r="B55" t="s">
        <v>317</v>
      </c>
      <c r="C55">
        <v>56582435700</v>
      </c>
      <c r="D55">
        <v>57948030800</v>
      </c>
      <c r="E55">
        <v>90</v>
      </c>
      <c r="F55" t="str">
        <f>_xlfn.XLOOKUP(C55, '75'!$C$2:$C$1142, '75'!$F$2:$F$1142)</f>
        <v>ok</v>
      </c>
    </row>
    <row r="56" spans="1:6" x14ac:dyDescent="0.45">
      <c r="A56" t="s">
        <v>318</v>
      </c>
      <c r="B56" t="s">
        <v>319</v>
      </c>
      <c r="C56">
        <v>58676962100</v>
      </c>
      <c r="D56">
        <v>57997869400</v>
      </c>
      <c r="E56">
        <v>97</v>
      </c>
      <c r="F56" t="str">
        <f>_xlfn.XLOOKUP(C56, '75'!$C$2:$C$1142, '75'!$F$2:$F$1142)</f>
        <v>ok</v>
      </c>
    </row>
    <row r="57" spans="1:6" x14ac:dyDescent="0.45">
      <c r="A57" t="s">
        <v>334</v>
      </c>
      <c r="B57" t="s">
        <v>335</v>
      </c>
      <c r="C57">
        <v>57220890035</v>
      </c>
      <c r="D57">
        <v>59029455600</v>
      </c>
      <c r="E57">
        <v>92</v>
      </c>
      <c r="F57" t="str">
        <f>_xlfn.XLOOKUP(C57, '75'!$C$2:$C$1142, '75'!$F$2:$F$1142)</f>
        <v>ok</v>
      </c>
    </row>
    <row r="58" spans="1:6" x14ac:dyDescent="0.45">
      <c r="A58" t="s">
        <v>343</v>
      </c>
      <c r="B58" t="s">
        <v>344</v>
      </c>
      <c r="C58">
        <v>57201225750</v>
      </c>
      <c r="D58">
        <v>55332947200</v>
      </c>
      <c r="E58">
        <v>92</v>
      </c>
      <c r="F58" t="str">
        <f>_xlfn.XLOOKUP(C58, '75'!$C$2:$C$1142, '75'!$F$2:$F$1142)</f>
        <v>ok</v>
      </c>
    </row>
    <row r="59" spans="1:6" x14ac:dyDescent="0.45">
      <c r="A59" t="s">
        <v>345</v>
      </c>
      <c r="B59" t="s">
        <v>346</v>
      </c>
      <c r="C59">
        <v>20433459500</v>
      </c>
      <c r="D59">
        <v>57204281290</v>
      </c>
      <c r="E59">
        <v>94</v>
      </c>
      <c r="F59" t="str">
        <f>_xlfn.XLOOKUP(C59, '75'!$C$2:$C$1142, '75'!$F$2:$F$1142)</f>
        <v>ok</v>
      </c>
    </row>
    <row r="60" spans="1:6" x14ac:dyDescent="0.45">
      <c r="A60" t="s">
        <v>352</v>
      </c>
      <c r="B60" t="s">
        <v>354</v>
      </c>
      <c r="C60">
        <v>57233901800</v>
      </c>
      <c r="D60">
        <v>57192586510</v>
      </c>
      <c r="E60">
        <v>85</v>
      </c>
      <c r="F60" t="str">
        <f>_xlfn.XLOOKUP(C60, '75'!$C$2:$C$1142, '75'!$F$2:$F$1142)</f>
        <v>no</v>
      </c>
    </row>
    <row r="61" spans="1:6" x14ac:dyDescent="0.45">
      <c r="A61" t="s">
        <v>375</v>
      </c>
      <c r="B61" t="s">
        <v>376</v>
      </c>
      <c r="C61">
        <v>57217693682</v>
      </c>
      <c r="D61">
        <v>57217055832</v>
      </c>
      <c r="E61">
        <v>92</v>
      </c>
      <c r="F61" t="str">
        <f>_xlfn.XLOOKUP(C61, '75'!$C$2:$C$1142, '75'!$F$2:$F$1142)</f>
        <v>ok</v>
      </c>
    </row>
    <row r="62" spans="1:6" x14ac:dyDescent="0.45">
      <c r="A62" t="s">
        <v>385</v>
      </c>
      <c r="B62" t="s">
        <v>386</v>
      </c>
      <c r="C62">
        <v>57206426930</v>
      </c>
      <c r="D62">
        <v>57212408054</v>
      </c>
      <c r="E62">
        <v>86</v>
      </c>
      <c r="F62" t="str">
        <f>_xlfn.XLOOKUP(C62, '75'!$C$2:$C$1142, '75'!$F$2:$F$1142)</f>
        <v>no</v>
      </c>
    </row>
    <row r="63" spans="1:6" x14ac:dyDescent="0.45">
      <c r="A63" t="s">
        <v>385</v>
      </c>
      <c r="B63" t="s">
        <v>387</v>
      </c>
      <c r="C63">
        <v>57206426930</v>
      </c>
      <c r="D63">
        <v>57218667819</v>
      </c>
      <c r="E63">
        <v>85</v>
      </c>
      <c r="F63" t="str">
        <f>_xlfn.XLOOKUP(C63, '75'!$C$2:$C$1142, '75'!$F$2:$F$1142)</f>
        <v>no</v>
      </c>
    </row>
    <row r="64" spans="1:6" x14ac:dyDescent="0.45">
      <c r="A64" t="s">
        <v>389</v>
      </c>
      <c r="B64" t="s">
        <v>391</v>
      </c>
      <c r="C64">
        <v>59161285900</v>
      </c>
      <c r="D64">
        <v>34979903200</v>
      </c>
      <c r="E64">
        <v>90</v>
      </c>
      <c r="F64" t="str">
        <f>_xlfn.XLOOKUP(C64, '75'!$C$2:$C$1142, '75'!$F$2:$F$1142)</f>
        <v>no</v>
      </c>
    </row>
    <row r="65" spans="1:6" x14ac:dyDescent="0.45">
      <c r="A65" t="s">
        <v>390</v>
      </c>
      <c r="B65" t="s">
        <v>391</v>
      </c>
      <c r="C65">
        <v>59207795900</v>
      </c>
      <c r="D65">
        <v>34979903200</v>
      </c>
      <c r="E65">
        <v>90</v>
      </c>
      <c r="F65" t="str">
        <f>_xlfn.XLOOKUP(C65, '75'!$C$2:$C$1142, '75'!$F$2:$F$1142)</f>
        <v>ok</v>
      </c>
    </row>
    <row r="66" spans="1:6" x14ac:dyDescent="0.45">
      <c r="A66" t="s">
        <v>399</v>
      </c>
      <c r="B66" t="s">
        <v>400</v>
      </c>
      <c r="C66">
        <v>57208184515</v>
      </c>
      <c r="D66">
        <v>59803235800</v>
      </c>
      <c r="E66">
        <v>90</v>
      </c>
      <c r="F66" t="str">
        <f>_xlfn.XLOOKUP(C66, '75'!$C$2:$C$1142, '75'!$F$2:$F$1142)</f>
        <v>no</v>
      </c>
    </row>
    <row r="67" spans="1:6" x14ac:dyDescent="0.45">
      <c r="A67" t="s">
        <v>401</v>
      </c>
      <c r="B67" t="s">
        <v>402</v>
      </c>
      <c r="C67">
        <v>7201973561</v>
      </c>
      <c r="D67">
        <v>59794341400</v>
      </c>
      <c r="E67">
        <v>96</v>
      </c>
      <c r="F67" t="str">
        <f>_xlfn.XLOOKUP(C67, '75'!$C$2:$C$1142, '75'!$F$2:$F$1142)</f>
        <v>ok</v>
      </c>
    </row>
    <row r="68" spans="1:6" x14ac:dyDescent="0.45">
      <c r="A68" t="s">
        <v>410</v>
      </c>
      <c r="B68" t="s">
        <v>411</v>
      </c>
      <c r="C68">
        <v>57211405320</v>
      </c>
      <c r="D68">
        <v>57220933225</v>
      </c>
      <c r="E68">
        <v>94</v>
      </c>
      <c r="F68" t="str">
        <f>_xlfn.XLOOKUP(C68, '75'!$C$2:$C$1142, '75'!$F$2:$F$1142)</f>
        <v>ok</v>
      </c>
    </row>
    <row r="69" spans="1:6" x14ac:dyDescent="0.45">
      <c r="A69" t="s">
        <v>419</v>
      </c>
      <c r="B69" t="s">
        <v>420</v>
      </c>
      <c r="C69">
        <v>6701569164</v>
      </c>
      <c r="D69">
        <v>59475179000</v>
      </c>
      <c r="E69">
        <v>94</v>
      </c>
      <c r="F69" t="str">
        <f>_xlfn.XLOOKUP(C69, '75'!$C$2:$C$1142, '75'!$F$2:$F$1142)</f>
        <v>ok</v>
      </c>
    </row>
    <row r="70" spans="1:6" x14ac:dyDescent="0.45">
      <c r="A70" t="s">
        <v>421</v>
      </c>
      <c r="B70" t="s">
        <v>422</v>
      </c>
      <c r="C70">
        <v>57203870786</v>
      </c>
      <c r="D70">
        <v>58078867300</v>
      </c>
      <c r="E70">
        <v>86</v>
      </c>
      <c r="F70" t="str">
        <f>_xlfn.XLOOKUP(C70, '75'!$C$2:$C$1142, '75'!$F$2:$F$1142)</f>
        <v>no</v>
      </c>
    </row>
    <row r="71" spans="1:6" x14ac:dyDescent="0.45">
      <c r="A71" t="s">
        <v>431</v>
      </c>
      <c r="B71" t="s">
        <v>432</v>
      </c>
      <c r="C71">
        <v>55202285800</v>
      </c>
      <c r="D71">
        <v>55603882200</v>
      </c>
      <c r="E71">
        <v>85</v>
      </c>
      <c r="F71" t="str">
        <f>_xlfn.XLOOKUP(C71, '75'!$C$2:$C$1142, '75'!$F$2:$F$1142)</f>
        <v>no</v>
      </c>
    </row>
    <row r="72" spans="1:6" x14ac:dyDescent="0.45">
      <c r="A72" t="s">
        <v>446</v>
      </c>
      <c r="B72" t="s">
        <v>447</v>
      </c>
      <c r="C72">
        <v>57205207510</v>
      </c>
      <c r="D72">
        <v>57214770459</v>
      </c>
      <c r="E72">
        <v>86</v>
      </c>
      <c r="F72" t="str">
        <f>_xlfn.XLOOKUP(C72, '75'!$C$2:$C$1142, '75'!$F$2:$F$1142)</f>
        <v>no</v>
      </c>
    </row>
    <row r="73" spans="1:6" x14ac:dyDescent="0.45">
      <c r="A73" t="s">
        <v>438</v>
      </c>
      <c r="B73" t="s">
        <v>448</v>
      </c>
      <c r="C73">
        <v>58588589500</v>
      </c>
      <c r="D73">
        <v>56448087600</v>
      </c>
      <c r="E73">
        <v>85</v>
      </c>
      <c r="F73" t="str">
        <f>_xlfn.XLOOKUP(C73, '75'!$C$2:$C$1142, '75'!$F$2:$F$1142)</f>
        <v>no</v>
      </c>
    </row>
    <row r="74" spans="1:6" x14ac:dyDescent="0.45">
      <c r="A74" t="s">
        <v>441</v>
      </c>
      <c r="B74" t="s">
        <v>452</v>
      </c>
      <c r="C74">
        <v>57211871654</v>
      </c>
      <c r="D74">
        <v>57221141737</v>
      </c>
      <c r="E74">
        <v>86</v>
      </c>
      <c r="F74" t="str">
        <f>_xlfn.XLOOKUP(C74, '75'!$C$2:$C$1142, '75'!$F$2:$F$1142)</f>
        <v>no</v>
      </c>
    </row>
    <row r="75" spans="1:6" x14ac:dyDescent="0.45">
      <c r="A75" t="s">
        <v>466</v>
      </c>
      <c r="B75" t="s">
        <v>467</v>
      </c>
      <c r="C75">
        <v>57202588460</v>
      </c>
      <c r="D75">
        <v>59315845200</v>
      </c>
      <c r="E75">
        <v>92</v>
      </c>
      <c r="F75" t="str">
        <f>_xlfn.XLOOKUP(C75, '75'!$C$2:$C$1142, '75'!$F$2:$F$1142)</f>
        <v>no</v>
      </c>
    </row>
    <row r="76" spans="1:6" x14ac:dyDescent="0.45">
      <c r="A76" t="s">
        <v>473</v>
      </c>
      <c r="B76" t="s">
        <v>474</v>
      </c>
      <c r="C76">
        <v>57212571216</v>
      </c>
      <c r="D76">
        <v>57197841951</v>
      </c>
      <c r="E76">
        <v>95</v>
      </c>
      <c r="F76" t="str">
        <f>_xlfn.XLOOKUP(C76, '75'!$C$2:$C$1142, '75'!$F$2:$F$1142)</f>
        <v>ok</v>
      </c>
    </row>
    <row r="77" spans="1:6" x14ac:dyDescent="0.45">
      <c r="A77" t="s">
        <v>475</v>
      </c>
      <c r="B77" t="s">
        <v>476</v>
      </c>
      <c r="C77">
        <v>59185018600</v>
      </c>
      <c r="D77">
        <v>57352587200</v>
      </c>
      <c r="E77">
        <v>85</v>
      </c>
      <c r="F77" t="str">
        <f>_xlfn.XLOOKUP(C77, '75'!$C$2:$C$1142, '75'!$F$2:$F$1142)</f>
        <v>no</v>
      </c>
    </row>
    <row r="78" spans="1:6" x14ac:dyDescent="0.45">
      <c r="A78" t="s">
        <v>477</v>
      </c>
      <c r="B78" t="s">
        <v>478</v>
      </c>
      <c r="C78">
        <v>57203603824</v>
      </c>
      <c r="D78">
        <v>57209116896</v>
      </c>
      <c r="E78">
        <v>85</v>
      </c>
      <c r="F78" t="str">
        <f>_xlfn.XLOOKUP(C78, '75'!$C$2:$C$1142, '75'!$F$2:$F$1142)</f>
        <v>no</v>
      </c>
    </row>
    <row r="79" spans="1:6" x14ac:dyDescent="0.45">
      <c r="A79" t="s">
        <v>487</v>
      </c>
      <c r="B79" t="s">
        <v>451</v>
      </c>
      <c r="C79">
        <v>57555413300</v>
      </c>
      <c r="D79">
        <v>59305897300</v>
      </c>
      <c r="E79">
        <v>87</v>
      </c>
      <c r="F79" t="str">
        <f>_xlfn.XLOOKUP(C79, '75'!$C$2:$C$1142, '75'!$F$2:$F$1142)</f>
        <v>ok</v>
      </c>
    </row>
    <row r="80" spans="1:6" x14ac:dyDescent="0.45">
      <c r="A80" t="s">
        <v>488</v>
      </c>
      <c r="B80" t="s">
        <v>489</v>
      </c>
      <c r="C80">
        <v>57214883229</v>
      </c>
      <c r="D80">
        <v>56575966800</v>
      </c>
      <c r="E80">
        <v>92</v>
      </c>
      <c r="F80" t="str">
        <f>_xlfn.XLOOKUP(C80, '75'!$C$2:$C$1142, '75'!$F$2:$F$1142)</f>
        <v>ok</v>
      </c>
    </row>
    <row r="81" spans="1:6" x14ac:dyDescent="0.45">
      <c r="A81" t="s">
        <v>490</v>
      </c>
      <c r="B81" t="s">
        <v>493</v>
      </c>
      <c r="C81">
        <v>58603818900</v>
      </c>
      <c r="D81">
        <v>59487044600</v>
      </c>
      <c r="E81">
        <v>87</v>
      </c>
      <c r="F81" t="str">
        <f>_xlfn.XLOOKUP(C81, '75'!$C$2:$C$1142, '75'!$F$2:$F$1142)</f>
        <v>no</v>
      </c>
    </row>
    <row r="82" spans="1:6" x14ac:dyDescent="0.45">
      <c r="A82" t="s">
        <v>495</v>
      </c>
      <c r="B82" t="s">
        <v>496</v>
      </c>
      <c r="C82">
        <v>8969748600</v>
      </c>
      <c r="D82">
        <v>59732151800</v>
      </c>
      <c r="E82">
        <v>86</v>
      </c>
      <c r="F82" t="str">
        <f>_xlfn.XLOOKUP(C82, '75'!$C$2:$C$1142, '75'!$F$2:$F$1142)</f>
        <v>ok</v>
      </c>
    </row>
    <row r="83" spans="1:6" x14ac:dyDescent="0.45">
      <c r="A83" t="s">
        <v>497</v>
      </c>
      <c r="B83" t="s">
        <v>498</v>
      </c>
      <c r="C83">
        <v>58100818300</v>
      </c>
      <c r="D83">
        <v>44461638200</v>
      </c>
      <c r="E83">
        <v>97</v>
      </c>
      <c r="F83" t="str">
        <f>_xlfn.XLOOKUP(C83, '75'!$C$2:$C$1142, '75'!$F$2:$F$1142)</f>
        <v>ok</v>
      </c>
    </row>
    <row r="84" spans="1:6" x14ac:dyDescent="0.45">
      <c r="A84" t="s">
        <v>501</v>
      </c>
      <c r="B84" t="s">
        <v>503</v>
      </c>
      <c r="C84">
        <v>55540777300</v>
      </c>
      <c r="D84">
        <v>58669083900</v>
      </c>
      <c r="E84">
        <v>90</v>
      </c>
      <c r="F84" t="str">
        <f>_xlfn.XLOOKUP(C84, '75'!$C$2:$C$1142, '75'!$F$2:$F$1142)</f>
        <v>no</v>
      </c>
    </row>
    <row r="85" spans="1:6" x14ac:dyDescent="0.45">
      <c r="A85" t="s">
        <v>504</v>
      </c>
      <c r="B85" t="s">
        <v>506</v>
      </c>
      <c r="C85">
        <v>57208500706</v>
      </c>
      <c r="D85">
        <v>57419438300</v>
      </c>
      <c r="E85">
        <v>93</v>
      </c>
      <c r="F85" t="str">
        <f>_xlfn.XLOOKUP(C85, '75'!$C$2:$C$1142, '75'!$F$2:$F$1142)</f>
        <v>no</v>
      </c>
    </row>
    <row r="86" spans="1:6" x14ac:dyDescent="0.45">
      <c r="A86" t="s">
        <v>504</v>
      </c>
      <c r="B86" t="s">
        <v>507</v>
      </c>
      <c r="C86">
        <v>57208500706</v>
      </c>
      <c r="D86">
        <v>58930944200</v>
      </c>
      <c r="E86">
        <v>94</v>
      </c>
      <c r="F86" t="str">
        <f>_xlfn.XLOOKUP(C86, '75'!$C$2:$C$1142, '75'!$F$2:$F$1142)</f>
        <v>no</v>
      </c>
    </row>
    <row r="87" spans="1:6" x14ac:dyDescent="0.45">
      <c r="A87" t="s">
        <v>512</v>
      </c>
      <c r="B87" t="s">
        <v>513</v>
      </c>
      <c r="C87">
        <v>55477263200</v>
      </c>
      <c r="D87">
        <v>59661104900</v>
      </c>
      <c r="E87">
        <v>93</v>
      </c>
      <c r="F87" t="str">
        <f>_xlfn.XLOOKUP(C87, '75'!$C$2:$C$1142, '75'!$F$2:$F$1142)</f>
        <v>ok</v>
      </c>
    </row>
    <row r="88" spans="1:6" x14ac:dyDescent="0.45">
      <c r="A88" t="s">
        <v>502</v>
      </c>
      <c r="B88" t="s">
        <v>503</v>
      </c>
      <c r="C88">
        <v>57207257893</v>
      </c>
      <c r="D88">
        <v>58669083900</v>
      </c>
      <c r="E88">
        <v>86</v>
      </c>
      <c r="F88" t="str">
        <f>_xlfn.XLOOKUP(C88, '75'!$C$2:$C$1142, '75'!$F$2:$F$1142)</f>
        <v>no</v>
      </c>
    </row>
    <row r="89" spans="1:6" x14ac:dyDescent="0.45">
      <c r="A89" t="s">
        <v>532</v>
      </c>
      <c r="B89" t="s">
        <v>533</v>
      </c>
      <c r="C89">
        <v>55904182200</v>
      </c>
      <c r="D89">
        <v>59516564600</v>
      </c>
      <c r="E89">
        <v>94</v>
      </c>
      <c r="F89" t="str">
        <f>_xlfn.XLOOKUP(C89, '75'!$C$2:$C$1142, '75'!$F$2:$F$1142)</f>
        <v>ok</v>
      </c>
    </row>
    <row r="90" spans="1:6" x14ac:dyDescent="0.45">
      <c r="A90" t="s">
        <v>505</v>
      </c>
      <c r="B90" t="s">
        <v>543</v>
      </c>
      <c r="C90">
        <v>57191371558</v>
      </c>
      <c r="D90">
        <v>57212311896</v>
      </c>
      <c r="E90">
        <v>89</v>
      </c>
      <c r="F90" t="str">
        <f>_xlfn.XLOOKUP(C90, '75'!$C$2:$C$1142, '75'!$F$2:$F$1142)</f>
        <v>no</v>
      </c>
    </row>
    <row r="91" spans="1:6" x14ac:dyDescent="0.45">
      <c r="A91" t="s">
        <v>505</v>
      </c>
      <c r="B91" t="s">
        <v>508</v>
      </c>
      <c r="C91">
        <v>57191371558</v>
      </c>
      <c r="D91">
        <v>57192301448</v>
      </c>
      <c r="E91">
        <v>88</v>
      </c>
      <c r="F91" t="str">
        <f>_xlfn.XLOOKUP(C91, '75'!$C$2:$C$1142, '75'!$F$2:$F$1142)</f>
        <v>no</v>
      </c>
    </row>
    <row r="92" spans="1:6" x14ac:dyDescent="0.45">
      <c r="A92" t="s">
        <v>541</v>
      </c>
      <c r="B92" t="s">
        <v>559</v>
      </c>
      <c r="C92">
        <v>57189987947</v>
      </c>
      <c r="D92">
        <v>57218939828</v>
      </c>
      <c r="E92">
        <v>86</v>
      </c>
      <c r="F92" t="str">
        <f>_xlfn.XLOOKUP(C92, '75'!$C$2:$C$1142, '75'!$F$2:$F$1142)</f>
        <v>no</v>
      </c>
    </row>
    <row r="93" spans="1:6" x14ac:dyDescent="0.45">
      <c r="A93" t="s">
        <v>560</v>
      </c>
      <c r="B93" t="s">
        <v>561</v>
      </c>
      <c r="C93">
        <v>57217039511</v>
      </c>
      <c r="D93">
        <v>57364393000</v>
      </c>
      <c r="E93">
        <v>86</v>
      </c>
      <c r="F93" t="str">
        <f>_xlfn.XLOOKUP(C93, '75'!$C$2:$C$1142, '75'!$F$2:$F$1142)</f>
        <v>no</v>
      </c>
    </row>
    <row r="94" spans="1:6" x14ac:dyDescent="0.45">
      <c r="A94" t="s">
        <v>492</v>
      </c>
      <c r="B94" t="s">
        <v>496</v>
      </c>
      <c r="C94">
        <v>59061428700</v>
      </c>
      <c r="D94">
        <v>59732151800</v>
      </c>
      <c r="E94">
        <v>90</v>
      </c>
      <c r="F94" t="str">
        <f>_xlfn.XLOOKUP(C94, '75'!$C$2:$C$1142, '75'!$F$2:$F$1142)</f>
        <v>no</v>
      </c>
    </row>
    <row r="95" spans="1:6" x14ac:dyDescent="0.45">
      <c r="A95" t="s">
        <v>581</v>
      </c>
      <c r="B95" t="s">
        <v>583</v>
      </c>
      <c r="C95">
        <v>57211756552</v>
      </c>
      <c r="D95">
        <v>57323476000</v>
      </c>
      <c r="E95">
        <v>88</v>
      </c>
      <c r="F95" t="str">
        <f>_xlfn.XLOOKUP(C95, '75'!$C$2:$C$1142, '75'!$F$2:$F$1142)</f>
        <v>no</v>
      </c>
    </row>
    <row r="96" spans="1:6" x14ac:dyDescent="0.45">
      <c r="A96" t="s">
        <v>506</v>
      </c>
      <c r="B96" t="s">
        <v>507</v>
      </c>
      <c r="C96">
        <v>57419438300</v>
      </c>
      <c r="D96">
        <v>58930944200</v>
      </c>
      <c r="E96">
        <v>88</v>
      </c>
      <c r="F96" t="str">
        <f>_xlfn.XLOOKUP(C96, '75'!$C$2:$C$1142, '75'!$F$2:$F$1142)</f>
        <v>no</v>
      </c>
    </row>
    <row r="97" spans="1:6" x14ac:dyDescent="0.45">
      <c r="A97" t="s">
        <v>584</v>
      </c>
      <c r="B97" t="s">
        <v>531</v>
      </c>
      <c r="C97">
        <v>57218566585</v>
      </c>
      <c r="D97">
        <v>58436524800</v>
      </c>
      <c r="E97">
        <v>88</v>
      </c>
      <c r="F97" t="str">
        <f>_xlfn.XLOOKUP(C97, '75'!$C$2:$C$1142, '75'!$F$2:$F$1142)</f>
        <v>no</v>
      </c>
    </row>
    <row r="98" spans="1:6" x14ac:dyDescent="0.45">
      <c r="A98" t="s">
        <v>602</v>
      </c>
      <c r="B98" t="s">
        <v>603</v>
      </c>
      <c r="C98">
        <v>6603359570</v>
      </c>
      <c r="D98">
        <v>56529642000</v>
      </c>
      <c r="E98">
        <v>90</v>
      </c>
      <c r="F98" t="str">
        <f>_xlfn.XLOOKUP(C98, '75'!$C$2:$C$1142, '75'!$F$2:$F$1142)</f>
        <v>ok</v>
      </c>
    </row>
    <row r="99" spans="1:6" x14ac:dyDescent="0.45">
      <c r="A99" t="s">
        <v>573</v>
      </c>
      <c r="B99" t="s">
        <v>574</v>
      </c>
      <c r="C99">
        <v>57980252100</v>
      </c>
      <c r="D99">
        <v>57216867749</v>
      </c>
      <c r="E99">
        <v>86</v>
      </c>
      <c r="F99" t="str">
        <f>_xlfn.XLOOKUP(C99, '75'!$C$2:$C$1142, '75'!$F$2:$F$1142)</f>
        <v>no</v>
      </c>
    </row>
    <row r="100" spans="1:6" x14ac:dyDescent="0.45">
      <c r="A100" t="s">
        <v>623</v>
      </c>
      <c r="B100" t="s">
        <v>624</v>
      </c>
      <c r="C100">
        <v>57197841332</v>
      </c>
      <c r="D100">
        <v>58701988800</v>
      </c>
      <c r="E100">
        <v>86</v>
      </c>
      <c r="F100" t="str">
        <f>_xlfn.XLOOKUP(C100, '75'!$C$2:$C$1142, '75'!$F$2:$F$1142)</f>
        <v>no</v>
      </c>
    </row>
    <row r="101" spans="1:6" x14ac:dyDescent="0.45">
      <c r="A101" t="s">
        <v>627</v>
      </c>
      <c r="B101" t="s">
        <v>598</v>
      </c>
      <c r="C101">
        <v>57213395060</v>
      </c>
      <c r="D101">
        <v>57219825843</v>
      </c>
      <c r="E101">
        <v>89</v>
      </c>
      <c r="F101" t="str">
        <f>_xlfn.XLOOKUP(C101, '75'!$C$2:$C$1142, '75'!$F$2:$F$1142)</f>
        <v>no</v>
      </c>
    </row>
    <row r="102" spans="1:6" x14ac:dyDescent="0.45">
      <c r="A102" t="s">
        <v>585</v>
      </c>
      <c r="B102" t="s">
        <v>531</v>
      </c>
      <c r="C102">
        <v>57226157890</v>
      </c>
      <c r="D102">
        <v>58436524800</v>
      </c>
      <c r="E102">
        <v>88</v>
      </c>
      <c r="F102" t="str">
        <f>_xlfn.XLOOKUP(C102, '75'!$C$2:$C$1142, '75'!$F$2:$F$1142)</f>
        <v>no</v>
      </c>
    </row>
    <row r="103" spans="1:6" x14ac:dyDescent="0.45">
      <c r="A103" t="s">
        <v>632</v>
      </c>
      <c r="B103" t="s">
        <v>527</v>
      </c>
      <c r="C103">
        <v>57221698253</v>
      </c>
      <c r="D103">
        <v>57207946091</v>
      </c>
      <c r="E103">
        <v>86</v>
      </c>
      <c r="F103" t="str">
        <f>_xlfn.XLOOKUP(C103, '75'!$C$2:$C$1142, '75'!$F$2:$F$1142)</f>
        <v>no</v>
      </c>
    </row>
    <row r="104" spans="1:6" x14ac:dyDescent="0.45">
      <c r="A104" t="s">
        <v>531</v>
      </c>
      <c r="B104" t="s">
        <v>538</v>
      </c>
      <c r="C104">
        <v>58436524800</v>
      </c>
      <c r="D104">
        <v>57216939987</v>
      </c>
      <c r="E104">
        <v>86</v>
      </c>
      <c r="F104" t="str">
        <f>_xlfn.XLOOKUP(C104, '75'!$C$2:$C$1142, '75'!$F$2:$F$1142)</f>
        <v>no</v>
      </c>
    </row>
    <row r="105" spans="1:6" x14ac:dyDescent="0.45">
      <c r="A105" t="s">
        <v>526</v>
      </c>
      <c r="B105" t="s">
        <v>527</v>
      </c>
      <c r="C105">
        <v>59357212900</v>
      </c>
      <c r="D105">
        <v>57207946091</v>
      </c>
      <c r="E105">
        <v>88</v>
      </c>
      <c r="F105" t="str">
        <f>_xlfn.XLOOKUP(C105, '75'!$C$2:$C$1142, '75'!$F$2:$F$1142)</f>
        <v>no</v>
      </c>
    </row>
    <row r="106" spans="1:6" x14ac:dyDescent="0.45">
      <c r="A106" t="s">
        <v>635</v>
      </c>
      <c r="B106" t="s">
        <v>636</v>
      </c>
      <c r="C106">
        <v>55992234300</v>
      </c>
      <c r="D106">
        <v>59203928900</v>
      </c>
      <c r="E106">
        <v>89</v>
      </c>
      <c r="F106" t="str">
        <f>_xlfn.XLOOKUP(C106, '75'!$C$2:$C$1142, '75'!$F$2:$F$1142)</f>
        <v>ok</v>
      </c>
    </row>
    <row r="107" spans="1:6" x14ac:dyDescent="0.45">
      <c r="A107" t="s">
        <v>641</v>
      </c>
      <c r="B107" t="s">
        <v>642</v>
      </c>
      <c r="C107">
        <v>15750967800</v>
      </c>
      <c r="D107">
        <v>56659815100</v>
      </c>
      <c r="E107">
        <v>97</v>
      </c>
      <c r="F107" t="str">
        <f>_xlfn.XLOOKUP(C107, '75'!$C$2:$C$1142, '75'!$F$2:$F$1142)</f>
        <v>ok</v>
      </c>
    </row>
    <row r="108" spans="1:6" x14ac:dyDescent="0.45">
      <c r="A108" t="s">
        <v>666</v>
      </c>
      <c r="B108" t="s">
        <v>667</v>
      </c>
      <c r="C108">
        <v>35173508900</v>
      </c>
      <c r="D108">
        <v>59393740200</v>
      </c>
      <c r="E108">
        <v>94</v>
      </c>
      <c r="F108" t="str">
        <f>_xlfn.XLOOKUP(C108, '75'!$C$2:$C$1142, '75'!$F$2:$F$1142)</f>
        <v>ok</v>
      </c>
    </row>
    <row r="109" spans="1:6" x14ac:dyDescent="0.45">
      <c r="A109" t="s">
        <v>638</v>
      </c>
      <c r="B109" t="s">
        <v>694</v>
      </c>
      <c r="C109">
        <v>56697869300</v>
      </c>
      <c r="D109">
        <v>59710417000</v>
      </c>
      <c r="E109">
        <v>85</v>
      </c>
      <c r="F109" t="str">
        <f>_xlfn.XLOOKUP(C109, '75'!$C$2:$C$1142, '75'!$F$2:$F$1142)</f>
        <v>no</v>
      </c>
    </row>
    <row r="110" spans="1:6" x14ac:dyDescent="0.45">
      <c r="A110" t="s">
        <v>698</v>
      </c>
      <c r="B110" t="s">
        <v>699</v>
      </c>
      <c r="C110">
        <v>57219499119</v>
      </c>
      <c r="D110">
        <v>57229919200</v>
      </c>
      <c r="E110">
        <v>89</v>
      </c>
      <c r="F110" t="str">
        <f>_xlfn.XLOOKUP(C110, '75'!$C$2:$C$1142, '75'!$F$2:$F$1142)</f>
        <v>no</v>
      </c>
    </row>
    <row r="111" spans="1:6" x14ac:dyDescent="0.45">
      <c r="A111" t="s">
        <v>693</v>
      </c>
      <c r="B111" t="s">
        <v>694</v>
      </c>
      <c r="C111">
        <v>57204080026</v>
      </c>
      <c r="D111">
        <v>59710417000</v>
      </c>
      <c r="E111">
        <v>85</v>
      </c>
      <c r="F111" t="str">
        <f>_xlfn.XLOOKUP(C111, '75'!$C$2:$C$1142, '75'!$F$2:$F$1142)</f>
        <v>no</v>
      </c>
    </row>
    <row r="112" spans="1:6" x14ac:dyDescent="0.45">
      <c r="A112" t="s">
        <v>658</v>
      </c>
      <c r="B112" t="s">
        <v>659</v>
      </c>
      <c r="C112">
        <v>58958691400</v>
      </c>
      <c r="D112">
        <v>59126397000</v>
      </c>
      <c r="E112">
        <v>87</v>
      </c>
      <c r="F112" t="str">
        <f>_xlfn.XLOOKUP(C112, '75'!$C$2:$C$1142, '75'!$F$2:$F$1142)</f>
        <v>no</v>
      </c>
    </row>
    <row r="113" spans="1:6" x14ac:dyDescent="0.45">
      <c r="A113" t="s">
        <v>707</v>
      </c>
      <c r="B113" t="s">
        <v>709</v>
      </c>
      <c r="C113">
        <v>59332737300</v>
      </c>
      <c r="D113">
        <v>58481391200</v>
      </c>
      <c r="E113">
        <v>94</v>
      </c>
      <c r="F113" t="str">
        <f>_xlfn.XLOOKUP(C113, '75'!$C$2:$C$1142, '75'!$F$2:$F$1142)</f>
        <v>no</v>
      </c>
    </row>
    <row r="114" spans="1:6" x14ac:dyDescent="0.45">
      <c r="A114" t="s">
        <v>713</v>
      </c>
      <c r="B114" t="s">
        <v>714</v>
      </c>
      <c r="C114">
        <v>57219449940</v>
      </c>
      <c r="D114">
        <v>57210807569</v>
      </c>
      <c r="E114">
        <v>92</v>
      </c>
      <c r="F114" t="str">
        <f>_xlfn.XLOOKUP(C114, '75'!$C$2:$C$1142, '75'!$F$2:$F$1142)</f>
        <v>no</v>
      </c>
    </row>
    <row r="115" spans="1:6" x14ac:dyDescent="0.45">
      <c r="A115" t="s">
        <v>725</v>
      </c>
      <c r="B115" t="s">
        <v>726</v>
      </c>
      <c r="C115">
        <v>56647738300</v>
      </c>
      <c r="D115">
        <v>58070953400</v>
      </c>
      <c r="E115">
        <v>97</v>
      </c>
      <c r="F115" t="str">
        <f>_xlfn.XLOOKUP(C115, '75'!$C$2:$C$1142, '75'!$F$2:$F$1142)</f>
        <v>ok</v>
      </c>
    </row>
    <row r="116" spans="1:6" x14ac:dyDescent="0.45">
      <c r="A116" t="s">
        <v>730</v>
      </c>
      <c r="B116" t="s">
        <v>731</v>
      </c>
      <c r="C116">
        <v>57202558154</v>
      </c>
      <c r="D116">
        <v>57202570602</v>
      </c>
      <c r="E116">
        <v>95</v>
      </c>
      <c r="F116" t="str">
        <f>_xlfn.XLOOKUP(C116, '75'!$C$2:$C$1142, '75'!$F$2:$F$1142)</f>
        <v>ok</v>
      </c>
    </row>
    <row r="117" spans="1:6" x14ac:dyDescent="0.45">
      <c r="A117" t="s">
        <v>734</v>
      </c>
      <c r="B117" t="s">
        <v>735</v>
      </c>
      <c r="C117">
        <v>57219467977</v>
      </c>
      <c r="D117">
        <v>43461611700</v>
      </c>
      <c r="E117">
        <v>97</v>
      </c>
      <c r="F117" t="str">
        <f>_xlfn.XLOOKUP(C117, '75'!$C$2:$C$1142, '75'!$F$2:$F$1142)</f>
        <v>ok</v>
      </c>
    </row>
    <row r="118" spans="1:6" x14ac:dyDescent="0.45">
      <c r="A118" t="s">
        <v>736</v>
      </c>
      <c r="B118" t="s">
        <v>733</v>
      </c>
      <c r="C118">
        <v>57213737060</v>
      </c>
      <c r="D118">
        <v>57647220300</v>
      </c>
      <c r="E118">
        <v>96</v>
      </c>
      <c r="F118" t="str">
        <f>_xlfn.XLOOKUP(C118, '75'!$C$2:$C$1142, '75'!$F$2:$F$1142)</f>
        <v>ok</v>
      </c>
    </row>
    <row r="119" spans="1:6" x14ac:dyDescent="0.45">
      <c r="A119" t="s">
        <v>737</v>
      </c>
      <c r="B119" t="s">
        <v>738</v>
      </c>
      <c r="C119">
        <v>57198433638</v>
      </c>
      <c r="D119">
        <v>57221371161</v>
      </c>
      <c r="E119">
        <v>97</v>
      </c>
      <c r="F119" t="str">
        <f>_xlfn.XLOOKUP(C119, '75'!$C$2:$C$1142, '75'!$F$2:$F$1142)</f>
        <v>ok</v>
      </c>
    </row>
    <row r="120" spans="1:6" x14ac:dyDescent="0.45">
      <c r="A120" t="s">
        <v>739</v>
      </c>
      <c r="B120" t="s">
        <v>740</v>
      </c>
      <c r="C120">
        <v>59124444900</v>
      </c>
      <c r="D120">
        <v>58862940500</v>
      </c>
      <c r="E120">
        <v>94</v>
      </c>
      <c r="F120" t="str">
        <f>_xlfn.XLOOKUP(C120, '75'!$C$2:$C$1142, '75'!$F$2:$F$1142)</f>
        <v>ok</v>
      </c>
    </row>
    <row r="121" spans="1:6" x14ac:dyDescent="0.45">
      <c r="A121" t="s">
        <v>741</v>
      </c>
      <c r="B121" t="s">
        <v>742</v>
      </c>
      <c r="C121">
        <v>24466885300</v>
      </c>
      <c r="D121">
        <v>57209368500</v>
      </c>
      <c r="E121">
        <v>98</v>
      </c>
      <c r="F121" t="str">
        <f>_xlfn.XLOOKUP(C121, '75'!$C$2:$C$1142, '75'!$F$2:$F$1142)</f>
        <v>ok</v>
      </c>
    </row>
    <row r="122" spans="1:6" x14ac:dyDescent="0.45">
      <c r="A122" t="s">
        <v>743</v>
      </c>
      <c r="B122" t="s">
        <v>744</v>
      </c>
      <c r="C122">
        <v>57214225625</v>
      </c>
      <c r="D122">
        <v>57222108764</v>
      </c>
      <c r="E122">
        <v>98</v>
      </c>
      <c r="F122" t="str">
        <f>_xlfn.XLOOKUP(C122, '75'!$C$2:$C$1142, '75'!$F$2:$F$1142)</f>
        <v>ok</v>
      </c>
    </row>
    <row r="123" spans="1:6" x14ac:dyDescent="0.45">
      <c r="A123" t="s">
        <v>743</v>
      </c>
      <c r="B123" t="s">
        <v>745</v>
      </c>
      <c r="C123">
        <v>57214225625</v>
      </c>
      <c r="D123">
        <v>57221995059</v>
      </c>
      <c r="E123">
        <v>98</v>
      </c>
      <c r="F123" t="str">
        <f>_xlfn.XLOOKUP(C123, '75'!$C$2:$C$1142, '75'!$F$2:$F$1142)</f>
        <v>ok</v>
      </c>
    </row>
    <row r="124" spans="1:6" x14ac:dyDescent="0.45">
      <c r="A124" t="s">
        <v>744</v>
      </c>
      <c r="B124" t="s">
        <v>745</v>
      </c>
      <c r="C124">
        <v>57222108764</v>
      </c>
      <c r="D124">
        <v>57221995059</v>
      </c>
      <c r="E124">
        <v>96</v>
      </c>
      <c r="F124" t="str">
        <f>_xlfn.XLOOKUP(C124, '75'!$C$2:$C$1142, '75'!$F$2:$F$1142)</f>
        <v>ok</v>
      </c>
    </row>
    <row r="125" spans="1:6" x14ac:dyDescent="0.45">
      <c r="A125" t="s">
        <v>746</v>
      </c>
      <c r="B125" t="s">
        <v>747</v>
      </c>
      <c r="C125">
        <v>58504367700</v>
      </c>
      <c r="D125">
        <v>58749655300</v>
      </c>
      <c r="E125">
        <v>97</v>
      </c>
      <c r="F125" t="str">
        <f>_xlfn.XLOOKUP(C125, '75'!$C$2:$C$1142, '75'!$F$2:$F$1142)</f>
        <v>ok</v>
      </c>
    </row>
    <row r="126" spans="1:6" x14ac:dyDescent="0.45">
      <c r="A126" t="s">
        <v>752</v>
      </c>
      <c r="B126" t="s">
        <v>753</v>
      </c>
      <c r="C126">
        <v>57189261670</v>
      </c>
      <c r="D126">
        <v>57670607700</v>
      </c>
      <c r="E126">
        <v>97</v>
      </c>
      <c r="F126" t="str">
        <f>_xlfn.XLOOKUP(C126, '75'!$C$2:$C$1142, '75'!$F$2:$F$1142)</f>
        <v>ok</v>
      </c>
    </row>
    <row r="127" spans="1:6" x14ac:dyDescent="0.45">
      <c r="A127" t="s">
        <v>754</v>
      </c>
      <c r="B127" t="s">
        <v>755</v>
      </c>
      <c r="C127">
        <v>58494532600</v>
      </c>
      <c r="D127">
        <v>58555668700</v>
      </c>
      <c r="E127">
        <v>94</v>
      </c>
      <c r="F127" t="str">
        <f>_xlfn.XLOOKUP(C127, '75'!$C$2:$C$1142, '75'!$F$2:$F$1142)</f>
        <v>ok</v>
      </c>
    </row>
    <row r="128" spans="1:6" x14ac:dyDescent="0.45">
      <c r="A128" t="s">
        <v>756</v>
      </c>
      <c r="B128" t="s">
        <v>758</v>
      </c>
      <c r="C128">
        <v>57208216498</v>
      </c>
      <c r="D128">
        <v>57703123400</v>
      </c>
      <c r="E128">
        <v>96</v>
      </c>
      <c r="F128" t="str">
        <f>_xlfn.XLOOKUP(C128, '75'!$C$2:$C$1142, '75'!$F$2:$F$1142)</f>
        <v>no</v>
      </c>
    </row>
    <row r="129" spans="1:6" x14ac:dyDescent="0.45">
      <c r="A129" t="s">
        <v>766</v>
      </c>
      <c r="B129" t="s">
        <v>767</v>
      </c>
      <c r="C129">
        <v>6602329029</v>
      </c>
      <c r="D129">
        <v>57226822784</v>
      </c>
      <c r="E129">
        <v>93</v>
      </c>
      <c r="F129" t="str">
        <f>_xlfn.XLOOKUP(C129, '75'!$C$2:$C$1142, '75'!$F$2:$F$1142)</f>
        <v>ok</v>
      </c>
    </row>
    <row r="130" spans="1:6" x14ac:dyDescent="0.45">
      <c r="A130" t="s">
        <v>762</v>
      </c>
      <c r="B130" t="s">
        <v>763</v>
      </c>
      <c r="C130">
        <v>57205682246</v>
      </c>
      <c r="D130">
        <v>58740176100</v>
      </c>
      <c r="E130">
        <v>92</v>
      </c>
      <c r="F130" t="str">
        <f>_xlfn.XLOOKUP(C130, '75'!$C$2:$C$1142, '75'!$F$2:$F$1142)</f>
        <v>no</v>
      </c>
    </row>
    <row r="131" spans="1:6" x14ac:dyDescent="0.45">
      <c r="A131" t="s">
        <v>786</v>
      </c>
      <c r="B131" t="s">
        <v>774</v>
      </c>
      <c r="C131">
        <v>57210949071</v>
      </c>
      <c r="D131">
        <v>35332915800</v>
      </c>
      <c r="E131">
        <v>92</v>
      </c>
      <c r="F131" t="str">
        <f>_xlfn.XLOOKUP(C131, '75'!$C$2:$C$1142, '75'!$F$2:$F$1142)</f>
        <v>no</v>
      </c>
    </row>
    <row r="132" spans="1:6" x14ac:dyDescent="0.45">
      <c r="A132" t="s">
        <v>793</v>
      </c>
      <c r="B132" t="s">
        <v>794</v>
      </c>
      <c r="C132">
        <v>7003880452</v>
      </c>
      <c r="D132">
        <v>57271323300</v>
      </c>
      <c r="E132">
        <v>91</v>
      </c>
      <c r="F132" t="str">
        <f>_xlfn.XLOOKUP(C132, '75'!$C$2:$C$1142, '75'!$F$2:$F$1142)</f>
        <v>ok</v>
      </c>
    </row>
    <row r="133" spans="1:6" x14ac:dyDescent="0.45">
      <c r="A133" t="s">
        <v>795</v>
      </c>
      <c r="B133" t="s">
        <v>796</v>
      </c>
      <c r="C133">
        <v>6701849102</v>
      </c>
      <c r="D133">
        <v>59624866300</v>
      </c>
      <c r="E133">
        <v>93</v>
      </c>
      <c r="F133" t="str">
        <f>_xlfn.XLOOKUP(C133, '75'!$C$2:$C$1142, '75'!$F$2:$F$1142)</f>
        <v>ok</v>
      </c>
    </row>
    <row r="134" spans="1:6" x14ac:dyDescent="0.45">
      <c r="A134" t="s">
        <v>795</v>
      </c>
      <c r="B134" t="s">
        <v>797</v>
      </c>
      <c r="C134">
        <v>6701849102</v>
      </c>
      <c r="D134">
        <v>57998650100</v>
      </c>
      <c r="E134">
        <v>90</v>
      </c>
      <c r="F134" t="str">
        <f>_xlfn.XLOOKUP(C134, '75'!$C$2:$C$1142, '75'!$F$2:$F$1142)</f>
        <v>ok</v>
      </c>
    </row>
    <row r="135" spans="1:6" x14ac:dyDescent="0.45">
      <c r="A135" t="s">
        <v>802</v>
      </c>
      <c r="B135" t="s">
        <v>803</v>
      </c>
      <c r="C135">
        <v>57501924000</v>
      </c>
      <c r="D135">
        <v>26035289600</v>
      </c>
      <c r="E135">
        <v>87</v>
      </c>
      <c r="F135" t="str">
        <f>_xlfn.XLOOKUP(C135, '75'!$C$2:$C$1142, '75'!$F$2:$F$1142)</f>
        <v>no</v>
      </c>
    </row>
    <row r="136" spans="1:6" x14ac:dyDescent="0.45">
      <c r="A136" t="s">
        <v>796</v>
      </c>
      <c r="B136" t="s">
        <v>797</v>
      </c>
      <c r="C136">
        <v>59624866300</v>
      </c>
      <c r="D136">
        <v>57998650100</v>
      </c>
      <c r="E136">
        <v>97</v>
      </c>
      <c r="F136" t="str">
        <f>_xlfn.XLOOKUP(C136, '75'!$C$2:$C$1142, '75'!$F$2:$F$1142)</f>
        <v>ok</v>
      </c>
    </row>
    <row r="137" spans="1:6" x14ac:dyDescent="0.45">
      <c r="A137" t="s">
        <v>806</v>
      </c>
      <c r="B137" t="s">
        <v>807</v>
      </c>
      <c r="C137">
        <v>6603622358</v>
      </c>
      <c r="D137">
        <v>58554273300</v>
      </c>
      <c r="E137">
        <v>94</v>
      </c>
      <c r="F137" t="str">
        <f>_xlfn.XLOOKUP(C137, '75'!$C$2:$C$1142, '75'!$F$2:$F$1142)</f>
        <v>ok</v>
      </c>
    </row>
    <row r="138" spans="1:6" x14ac:dyDescent="0.45">
      <c r="A138" t="s">
        <v>810</v>
      </c>
      <c r="B138" t="s">
        <v>811</v>
      </c>
      <c r="C138">
        <v>57222201980</v>
      </c>
      <c r="D138">
        <v>56372705700</v>
      </c>
      <c r="E138">
        <v>87</v>
      </c>
      <c r="F138" t="str">
        <f>_xlfn.XLOOKUP(C138, '75'!$C$2:$C$1142, '75'!$F$2:$F$1142)</f>
        <v>no</v>
      </c>
    </row>
    <row r="139" spans="1:6" x14ac:dyDescent="0.45">
      <c r="A139" t="s">
        <v>816</v>
      </c>
      <c r="B139" t="s">
        <v>817</v>
      </c>
      <c r="C139">
        <v>55902405400</v>
      </c>
      <c r="D139">
        <v>59245189400</v>
      </c>
      <c r="E139">
        <v>93</v>
      </c>
      <c r="F139" t="str">
        <f>_xlfn.XLOOKUP(C139, '75'!$C$2:$C$1142, '75'!$F$2:$F$1142)</f>
        <v>ok</v>
      </c>
    </row>
    <row r="140" spans="1:6" x14ac:dyDescent="0.45">
      <c r="A140" t="s">
        <v>820</v>
      </c>
      <c r="B140" t="s">
        <v>821</v>
      </c>
      <c r="C140">
        <v>6602954500</v>
      </c>
      <c r="D140">
        <v>58222269900</v>
      </c>
      <c r="E140">
        <v>91</v>
      </c>
      <c r="F140" t="str">
        <f>_xlfn.XLOOKUP(C140, '75'!$C$2:$C$1142, '75'!$F$2:$F$1142)</f>
        <v>ok</v>
      </c>
    </row>
    <row r="141" spans="1:6" x14ac:dyDescent="0.45">
      <c r="A141" t="s">
        <v>822</v>
      </c>
      <c r="B141" t="s">
        <v>823</v>
      </c>
      <c r="C141">
        <v>32868158100</v>
      </c>
      <c r="D141">
        <v>57996986400</v>
      </c>
      <c r="E141">
        <v>96</v>
      </c>
      <c r="F141" t="str">
        <f>_xlfn.XLOOKUP(C141, '75'!$C$2:$C$1142, '75'!$F$2:$F$1142)</f>
        <v>ok</v>
      </c>
    </row>
    <row r="142" spans="1:6" x14ac:dyDescent="0.45">
      <c r="A142" t="s">
        <v>837</v>
      </c>
      <c r="B142" t="s">
        <v>838</v>
      </c>
      <c r="C142">
        <v>41862484700</v>
      </c>
      <c r="D142">
        <v>59225858600</v>
      </c>
      <c r="E142">
        <v>86</v>
      </c>
      <c r="F142" t="str">
        <f>_xlfn.XLOOKUP(C142, '75'!$C$2:$C$1142, '75'!$F$2:$F$1142)</f>
        <v>no</v>
      </c>
    </row>
    <row r="143" spans="1:6" x14ac:dyDescent="0.45">
      <c r="A143" t="s">
        <v>850</v>
      </c>
      <c r="B143" t="s">
        <v>851</v>
      </c>
      <c r="C143">
        <v>7101617400</v>
      </c>
      <c r="D143">
        <v>57419543300</v>
      </c>
      <c r="E143">
        <v>87</v>
      </c>
      <c r="F143" t="str">
        <f>_xlfn.XLOOKUP(C143, '75'!$C$2:$C$1142, '75'!$F$2:$F$1142)</f>
        <v>ok</v>
      </c>
    </row>
    <row r="144" spans="1:6" x14ac:dyDescent="0.45">
      <c r="A144" t="s">
        <v>854</v>
      </c>
      <c r="B144" t="s">
        <v>855</v>
      </c>
      <c r="C144">
        <v>58668997300</v>
      </c>
      <c r="D144">
        <v>57218305410</v>
      </c>
      <c r="E144">
        <v>85</v>
      </c>
      <c r="F144" t="str">
        <f>_xlfn.XLOOKUP(C144, '75'!$C$2:$C$1142, '75'!$F$2:$F$1142)</f>
        <v>no</v>
      </c>
    </row>
    <row r="145" spans="1:6" x14ac:dyDescent="0.45">
      <c r="A145" t="s">
        <v>882</v>
      </c>
      <c r="B145" t="s">
        <v>883</v>
      </c>
      <c r="C145">
        <v>57209473457</v>
      </c>
      <c r="D145">
        <v>58076956700</v>
      </c>
      <c r="E145">
        <v>90</v>
      </c>
      <c r="F145" t="str">
        <f>_xlfn.XLOOKUP(C145, '75'!$C$2:$C$1142, '75'!$F$2:$F$1142)</f>
        <v>no</v>
      </c>
    </row>
    <row r="146" spans="1:6" x14ac:dyDescent="0.45">
      <c r="A146" t="s">
        <v>896</v>
      </c>
      <c r="B146" t="s">
        <v>897</v>
      </c>
      <c r="C146">
        <v>58677312100</v>
      </c>
      <c r="D146">
        <v>57997738900</v>
      </c>
      <c r="E146">
        <v>96</v>
      </c>
      <c r="F146" t="str">
        <f>_xlfn.XLOOKUP(C146, '75'!$C$2:$C$1142, '75'!$F$2:$F$1142)</f>
        <v>ok</v>
      </c>
    </row>
    <row r="147" spans="1:6" x14ac:dyDescent="0.45">
      <c r="A147" t="s">
        <v>911</v>
      </c>
      <c r="B147" t="s">
        <v>913</v>
      </c>
      <c r="C147">
        <v>59331322000</v>
      </c>
      <c r="D147">
        <v>58290657600</v>
      </c>
      <c r="E147">
        <v>90</v>
      </c>
      <c r="F147" t="str">
        <f>_xlfn.XLOOKUP(C147, '75'!$C$2:$C$1142, '75'!$F$2:$F$1142)</f>
        <v>no</v>
      </c>
    </row>
    <row r="148" spans="1:6" x14ac:dyDescent="0.45">
      <c r="A148" t="s">
        <v>886</v>
      </c>
      <c r="B148" t="s">
        <v>927</v>
      </c>
      <c r="C148">
        <v>58153782700</v>
      </c>
      <c r="D148">
        <v>56706695700</v>
      </c>
      <c r="E148">
        <v>87</v>
      </c>
      <c r="F148" t="str">
        <f>_xlfn.XLOOKUP(C148, '75'!$C$2:$C$1142, '75'!$F$2:$F$1142)</f>
        <v>no</v>
      </c>
    </row>
    <row r="149" spans="1:6" x14ac:dyDescent="0.45">
      <c r="A149" t="s">
        <v>928</v>
      </c>
      <c r="B149" t="s">
        <v>929</v>
      </c>
      <c r="C149">
        <v>57894855100</v>
      </c>
      <c r="D149">
        <v>58187878100</v>
      </c>
      <c r="E149">
        <v>98</v>
      </c>
      <c r="F149" t="str">
        <f>_xlfn.XLOOKUP(C149, '75'!$C$2:$C$1142, '75'!$F$2:$F$1142)</f>
        <v>ok</v>
      </c>
    </row>
    <row r="150" spans="1:6" x14ac:dyDescent="0.45">
      <c r="A150" t="s">
        <v>930</v>
      </c>
      <c r="B150" t="s">
        <v>876</v>
      </c>
      <c r="C150">
        <v>57955378400</v>
      </c>
      <c r="D150">
        <v>57223796303</v>
      </c>
      <c r="E150">
        <v>87</v>
      </c>
      <c r="F150" t="str">
        <f>_xlfn.XLOOKUP(C150, '75'!$C$2:$C$1142, '75'!$F$2:$F$1142)</f>
        <v>no</v>
      </c>
    </row>
    <row r="151" spans="1:6" x14ac:dyDescent="0.45">
      <c r="A151" t="s">
        <v>913</v>
      </c>
      <c r="B151" t="s">
        <v>914</v>
      </c>
      <c r="C151">
        <v>58290657600</v>
      </c>
      <c r="D151">
        <v>57788453900</v>
      </c>
      <c r="E151">
        <v>85</v>
      </c>
      <c r="F151" t="str">
        <f>_xlfn.XLOOKUP(C151, '75'!$C$2:$C$1142, '75'!$F$2:$F$1142)</f>
        <v>ok</v>
      </c>
    </row>
    <row r="152" spans="1:6" x14ac:dyDescent="0.45">
      <c r="A152" t="s">
        <v>940</v>
      </c>
      <c r="B152" t="s">
        <v>939</v>
      </c>
      <c r="C152">
        <v>55481796400</v>
      </c>
      <c r="D152">
        <v>57225884119</v>
      </c>
      <c r="E152">
        <v>87</v>
      </c>
      <c r="F152" t="str">
        <f>_xlfn.XLOOKUP(C152, '75'!$C$2:$C$1142, '75'!$F$2:$F$1142)</f>
        <v>no</v>
      </c>
    </row>
    <row r="153" spans="1:6" x14ac:dyDescent="0.45">
      <c r="A153" t="s">
        <v>947</v>
      </c>
      <c r="B153" t="s">
        <v>948</v>
      </c>
      <c r="C153">
        <v>55727328700</v>
      </c>
      <c r="D153">
        <v>57966537000</v>
      </c>
      <c r="E153">
        <v>87</v>
      </c>
      <c r="F153" t="str">
        <f>_xlfn.XLOOKUP(C153, '75'!$C$2:$C$1142, '75'!$F$2:$F$1142)</f>
        <v>ok</v>
      </c>
    </row>
    <row r="154" spans="1:6" x14ac:dyDescent="0.45">
      <c r="A154" t="s">
        <v>945</v>
      </c>
      <c r="B154" t="s">
        <v>946</v>
      </c>
      <c r="C154">
        <v>57219942757</v>
      </c>
      <c r="D154">
        <v>58196547100</v>
      </c>
      <c r="E154">
        <v>94</v>
      </c>
      <c r="F154" t="str">
        <f>_xlfn.XLOOKUP(C154, '75'!$C$2:$C$1142, '75'!$F$2:$F$1142)</f>
        <v>ok</v>
      </c>
    </row>
    <row r="155" spans="1:6" x14ac:dyDescent="0.45">
      <c r="A155" t="s">
        <v>967</v>
      </c>
      <c r="B155" t="s">
        <v>968</v>
      </c>
      <c r="C155">
        <v>57219292286</v>
      </c>
      <c r="D155">
        <v>57214823165</v>
      </c>
      <c r="E155">
        <v>96</v>
      </c>
      <c r="F155" t="str">
        <f>_xlfn.XLOOKUP(C155, '75'!$C$2:$C$1142, '75'!$F$2:$F$1142)</f>
        <v>ok</v>
      </c>
    </row>
    <row r="156" spans="1:6" x14ac:dyDescent="0.45">
      <c r="A156" t="s">
        <v>969</v>
      </c>
      <c r="B156" t="s">
        <v>970</v>
      </c>
      <c r="C156">
        <v>57217129575</v>
      </c>
      <c r="D156">
        <v>57383215700</v>
      </c>
      <c r="E156">
        <v>96</v>
      </c>
      <c r="F156" t="str">
        <f>_xlfn.XLOOKUP(C156, '75'!$C$2:$C$1142, '75'!$F$2:$F$1142)</f>
        <v>no</v>
      </c>
    </row>
    <row r="157" spans="1:6" x14ac:dyDescent="0.45">
      <c r="A157" t="s">
        <v>977</v>
      </c>
      <c r="B157" t="s">
        <v>978</v>
      </c>
      <c r="C157">
        <v>57196029837</v>
      </c>
      <c r="D157">
        <v>57211444621</v>
      </c>
      <c r="E157">
        <v>98</v>
      </c>
      <c r="F157" t="str">
        <f>_xlfn.XLOOKUP(C157, '75'!$C$2:$C$1142, '75'!$F$2:$F$1142)</f>
        <v>ok</v>
      </c>
    </row>
    <row r="158" spans="1:6" x14ac:dyDescent="0.45">
      <c r="A158" t="s">
        <v>979</v>
      </c>
      <c r="B158" t="s">
        <v>980</v>
      </c>
      <c r="C158">
        <v>24178542700</v>
      </c>
      <c r="D158">
        <v>58917995400</v>
      </c>
      <c r="E158">
        <v>95</v>
      </c>
      <c r="F158" t="str">
        <f>_xlfn.XLOOKUP(C158, '75'!$C$2:$C$1142, '75'!$F$2:$F$1142)</f>
        <v>ok</v>
      </c>
    </row>
    <row r="159" spans="1:6" x14ac:dyDescent="0.45">
      <c r="A159" t="s">
        <v>981</v>
      </c>
      <c r="B159" t="s">
        <v>982</v>
      </c>
      <c r="C159">
        <v>55768611600</v>
      </c>
      <c r="D159">
        <v>55833173500</v>
      </c>
      <c r="E159">
        <v>86</v>
      </c>
      <c r="F159" t="str">
        <f>_xlfn.XLOOKUP(C159, '75'!$C$2:$C$1142, '75'!$F$2:$F$1142)</f>
        <v>no</v>
      </c>
    </row>
    <row r="160" spans="1:6" x14ac:dyDescent="0.45">
      <c r="A160" t="s">
        <v>988</v>
      </c>
      <c r="B160" t="s">
        <v>990</v>
      </c>
      <c r="C160">
        <v>52264998100</v>
      </c>
      <c r="D160">
        <v>57216315221</v>
      </c>
      <c r="E160">
        <v>87</v>
      </c>
      <c r="F160" t="str">
        <f>_xlfn.XLOOKUP(C160, '75'!$C$2:$C$1142, '75'!$F$2:$F$1142)</f>
        <v>no</v>
      </c>
    </row>
    <row r="161" spans="1:6" x14ac:dyDescent="0.45">
      <c r="A161" t="s">
        <v>989</v>
      </c>
      <c r="B161" t="s">
        <v>990</v>
      </c>
      <c r="C161">
        <v>57201917282</v>
      </c>
      <c r="D161">
        <v>57216315221</v>
      </c>
      <c r="E161">
        <v>86</v>
      </c>
      <c r="F161" t="str">
        <f>_xlfn.XLOOKUP(C161, '75'!$C$2:$C$1142, '75'!$F$2:$F$1142)</f>
        <v>no</v>
      </c>
    </row>
    <row r="162" spans="1:6" x14ac:dyDescent="0.45">
      <c r="A162" t="s">
        <v>1015</v>
      </c>
      <c r="B162" t="s">
        <v>1016</v>
      </c>
      <c r="C162">
        <v>56178007800</v>
      </c>
      <c r="D162">
        <v>57221311967</v>
      </c>
      <c r="E162">
        <v>93</v>
      </c>
      <c r="F162" t="str">
        <f>_xlfn.XLOOKUP(C162, '75'!$C$2:$C$1142, '75'!$F$2:$F$1142)</f>
        <v>no</v>
      </c>
    </row>
    <row r="163" spans="1:6" x14ac:dyDescent="0.45">
      <c r="A163" t="s">
        <v>990</v>
      </c>
      <c r="B163" t="s">
        <v>991</v>
      </c>
      <c r="C163">
        <v>57216315221</v>
      </c>
      <c r="D163">
        <v>57206601221</v>
      </c>
      <c r="E163">
        <v>86</v>
      </c>
      <c r="F163" t="str">
        <f>_xlfn.XLOOKUP(C163, '75'!$C$2:$C$1142, '75'!$F$2:$F$1142)</f>
        <v>no</v>
      </c>
    </row>
    <row r="164" spans="1:6" x14ac:dyDescent="0.45">
      <c r="A164" t="s">
        <v>1052</v>
      </c>
      <c r="B164" t="s">
        <v>1053</v>
      </c>
      <c r="C164">
        <v>58864775700</v>
      </c>
      <c r="D164">
        <v>58118977100</v>
      </c>
      <c r="E164">
        <v>85</v>
      </c>
      <c r="F164" t="str">
        <f>_xlfn.XLOOKUP(C164, '75'!$C$2:$C$1142, '75'!$F$2:$F$1142)</f>
        <v>no</v>
      </c>
    </row>
    <row r="165" spans="1:6" x14ac:dyDescent="0.45">
      <c r="A165" t="s">
        <v>1053</v>
      </c>
      <c r="B165" t="s">
        <v>1037</v>
      </c>
      <c r="C165">
        <v>58118977100</v>
      </c>
      <c r="D165">
        <v>58867040100</v>
      </c>
      <c r="E165">
        <v>87</v>
      </c>
      <c r="F165" t="str">
        <f>_xlfn.XLOOKUP(C165, '75'!$C$2:$C$1142, '75'!$F$2:$F$1142)</f>
        <v>no</v>
      </c>
    </row>
    <row r="166" spans="1:6" x14ac:dyDescent="0.45">
      <c r="A166" t="s">
        <v>1041</v>
      </c>
      <c r="B166" t="s">
        <v>1055</v>
      </c>
      <c r="C166">
        <v>57219265536</v>
      </c>
      <c r="D166">
        <v>59474255400</v>
      </c>
      <c r="E166">
        <v>86</v>
      </c>
      <c r="F166" t="str">
        <f>_xlfn.XLOOKUP(C166, '75'!$C$2:$C$1142, '75'!$F$2:$F$1142)</f>
        <v>no</v>
      </c>
    </row>
    <row r="167" spans="1:6" x14ac:dyDescent="0.45">
      <c r="A167" t="s">
        <v>1047</v>
      </c>
      <c r="B167" t="s">
        <v>991</v>
      </c>
      <c r="C167">
        <v>57221799820</v>
      </c>
      <c r="D167">
        <v>57206601221</v>
      </c>
      <c r="E167">
        <v>85</v>
      </c>
      <c r="F167" t="str">
        <f>_xlfn.XLOOKUP(C167, '75'!$C$2:$C$1142, '75'!$F$2:$F$1142)</f>
        <v>no</v>
      </c>
    </row>
    <row r="168" spans="1:6" x14ac:dyDescent="0.45">
      <c r="A168" t="s">
        <v>985</v>
      </c>
      <c r="B168" t="s">
        <v>1026</v>
      </c>
      <c r="C168">
        <v>57226131863</v>
      </c>
      <c r="D168">
        <v>57218868125</v>
      </c>
      <c r="E168">
        <v>89</v>
      </c>
      <c r="F168" t="str">
        <f>_xlfn.XLOOKUP(C168, '75'!$C$2:$C$1142, '75'!$F$2:$F$1142)</f>
        <v>no</v>
      </c>
    </row>
    <row r="169" spans="1:6" x14ac:dyDescent="0.45">
      <c r="A169" t="s">
        <v>1010</v>
      </c>
      <c r="B169" t="s">
        <v>1013</v>
      </c>
      <c r="C169">
        <v>57216771994</v>
      </c>
      <c r="D169">
        <v>7601513640</v>
      </c>
      <c r="E169">
        <v>94</v>
      </c>
      <c r="F169" t="str">
        <f>_xlfn.XLOOKUP(C169, '75'!$C$2:$C$1142, '75'!$F$2:$F$1142)</f>
        <v>no</v>
      </c>
    </row>
    <row r="170" spans="1:6" x14ac:dyDescent="0.45">
      <c r="A170" t="s">
        <v>1029</v>
      </c>
      <c r="B170" t="s">
        <v>1013</v>
      </c>
      <c r="C170">
        <v>57222498131</v>
      </c>
      <c r="D170">
        <v>7601513640</v>
      </c>
      <c r="E170">
        <v>89</v>
      </c>
      <c r="F170" t="str">
        <f>_xlfn.XLOOKUP(C170, '75'!$C$2:$C$1142, '75'!$F$2:$F$1142)</f>
        <v>no</v>
      </c>
    </row>
    <row r="171" spans="1:6" x14ac:dyDescent="0.45">
      <c r="A171" t="s">
        <v>1073</v>
      </c>
      <c r="B171" t="s">
        <v>1074</v>
      </c>
      <c r="C171">
        <v>24443034100</v>
      </c>
      <c r="D171">
        <v>57248304100</v>
      </c>
      <c r="E171">
        <v>85</v>
      </c>
      <c r="F171" t="str">
        <f>_xlfn.XLOOKUP(C171, '75'!$C$2:$C$1142, '75'!$F$2:$F$1142)</f>
        <v>ok</v>
      </c>
    </row>
    <row r="172" spans="1:6" x14ac:dyDescent="0.45">
      <c r="A172" t="s">
        <v>1082</v>
      </c>
      <c r="B172" t="s">
        <v>1083</v>
      </c>
      <c r="C172">
        <v>57207812926</v>
      </c>
      <c r="D172">
        <v>57203390142</v>
      </c>
      <c r="E172">
        <v>86</v>
      </c>
      <c r="F172" t="str">
        <f>_xlfn.XLOOKUP(C172, '75'!$C$2:$C$1142, '75'!$F$2:$F$1142)</f>
        <v>no</v>
      </c>
    </row>
    <row r="173" spans="1:6" x14ac:dyDescent="0.45">
      <c r="A173" t="s">
        <v>1086</v>
      </c>
      <c r="B173" t="s">
        <v>1087</v>
      </c>
      <c r="C173">
        <v>35147042400</v>
      </c>
      <c r="D173">
        <v>57219498582</v>
      </c>
      <c r="E173">
        <v>95</v>
      </c>
      <c r="F173" t="str">
        <f>_xlfn.XLOOKUP(C173, '75'!$C$2:$C$1142, '75'!$F$2:$F$1142)</f>
        <v>no</v>
      </c>
    </row>
    <row r="174" spans="1:6" x14ac:dyDescent="0.45">
      <c r="A174" t="s">
        <v>1093</v>
      </c>
      <c r="B174" t="s">
        <v>1094</v>
      </c>
      <c r="C174">
        <v>57197518788</v>
      </c>
      <c r="D174">
        <v>57581006200</v>
      </c>
      <c r="E174">
        <v>86</v>
      </c>
      <c r="F174" t="str">
        <f>_xlfn.XLOOKUP(C174, '75'!$C$2:$C$1142, '75'!$F$2:$F$1142)</f>
        <v>no</v>
      </c>
    </row>
    <row r="175" spans="1:6" x14ac:dyDescent="0.45">
      <c r="A175" t="s">
        <v>1100</v>
      </c>
      <c r="B175" t="s">
        <v>1101</v>
      </c>
      <c r="C175">
        <v>55685656900</v>
      </c>
      <c r="D175">
        <v>57219838274</v>
      </c>
      <c r="E175">
        <v>87</v>
      </c>
      <c r="F175" t="str">
        <f>_xlfn.XLOOKUP(C175, '75'!$C$2:$C$1142, '75'!$F$2:$F$1142)</f>
        <v>ok</v>
      </c>
    </row>
    <row r="176" spans="1:6" x14ac:dyDescent="0.45">
      <c r="A176" t="s">
        <v>1103</v>
      </c>
      <c r="B176" t="s">
        <v>1106</v>
      </c>
      <c r="C176">
        <v>59130540100</v>
      </c>
      <c r="D176">
        <v>56675471800</v>
      </c>
      <c r="E176">
        <v>89</v>
      </c>
      <c r="F176" t="str">
        <f>_xlfn.XLOOKUP(C176, '75'!$C$2:$C$1142, '75'!$F$2:$F$1142)</f>
        <v>no</v>
      </c>
    </row>
    <row r="177" spans="1:6" x14ac:dyDescent="0.45">
      <c r="A177" t="s">
        <v>1104</v>
      </c>
      <c r="B177" t="s">
        <v>1108</v>
      </c>
      <c r="C177">
        <v>57193678960</v>
      </c>
      <c r="D177">
        <v>55330996300</v>
      </c>
      <c r="E177">
        <v>90</v>
      </c>
      <c r="F177" t="str">
        <f>_xlfn.XLOOKUP(C177, '75'!$C$2:$C$1142, '75'!$F$2:$F$1142)</f>
        <v>no</v>
      </c>
    </row>
    <row r="178" spans="1:6" x14ac:dyDescent="0.45">
      <c r="A178" t="s">
        <v>1134</v>
      </c>
      <c r="B178" t="s">
        <v>1137</v>
      </c>
      <c r="C178">
        <v>57202010045</v>
      </c>
      <c r="D178">
        <v>58659062200</v>
      </c>
      <c r="E178">
        <v>96</v>
      </c>
      <c r="F178" t="str">
        <f>_xlfn.XLOOKUP(C178, '75'!$C$2:$C$1142, '75'!$F$2:$F$1142)</f>
        <v>no</v>
      </c>
    </row>
    <row r="179" spans="1:6" x14ac:dyDescent="0.45">
      <c r="A179" t="s">
        <v>1105</v>
      </c>
      <c r="B179" t="s">
        <v>1108</v>
      </c>
      <c r="C179">
        <v>57192159108</v>
      </c>
      <c r="D179">
        <v>55330996300</v>
      </c>
      <c r="E179">
        <v>95</v>
      </c>
      <c r="F179" t="str">
        <f>_xlfn.XLOOKUP(C179, '75'!$C$2:$C$1142, '75'!$F$2:$F$1142)</f>
        <v>no</v>
      </c>
    </row>
    <row r="180" spans="1:6" x14ac:dyDescent="0.45">
      <c r="A180" t="s">
        <v>1105</v>
      </c>
      <c r="B180" t="s">
        <v>1112</v>
      </c>
      <c r="C180">
        <v>57192159108</v>
      </c>
      <c r="D180">
        <v>57220902381</v>
      </c>
      <c r="E180">
        <v>86</v>
      </c>
      <c r="F180" t="str">
        <f>_xlfn.XLOOKUP(C180, '75'!$C$2:$C$1142, '75'!$F$2:$F$1142)</f>
        <v>no</v>
      </c>
    </row>
    <row r="181" spans="1:6" x14ac:dyDescent="0.45">
      <c r="A181" t="s">
        <v>1150</v>
      </c>
      <c r="B181" t="s">
        <v>1151</v>
      </c>
      <c r="C181">
        <v>57195335713</v>
      </c>
      <c r="D181">
        <v>57210362788</v>
      </c>
      <c r="E181">
        <v>88</v>
      </c>
      <c r="F181" t="str">
        <f>_xlfn.XLOOKUP(C181, '75'!$C$2:$C$1142, '75'!$F$2:$F$1142)</f>
        <v>no</v>
      </c>
    </row>
    <row r="182" spans="1:6" x14ac:dyDescent="0.45">
      <c r="A182" t="s">
        <v>1150</v>
      </c>
      <c r="B182" t="s">
        <v>1159</v>
      </c>
      <c r="C182">
        <v>57195335713</v>
      </c>
      <c r="D182">
        <v>59814155200</v>
      </c>
      <c r="E182">
        <v>86</v>
      </c>
      <c r="F182" t="str">
        <f>_xlfn.XLOOKUP(C182, '75'!$C$2:$C$1142, '75'!$F$2:$F$1142)</f>
        <v>no</v>
      </c>
    </row>
    <row r="183" spans="1:6" x14ac:dyDescent="0.45">
      <c r="A183" t="s">
        <v>1143</v>
      </c>
      <c r="B183" t="s">
        <v>1146</v>
      </c>
      <c r="C183">
        <v>58148929600</v>
      </c>
      <c r="D183">
        <v>57732522100</v>
      </c>
      <c r="E183">
        <v>88</v>
      </c>
      <c r="F183" t="str">
        <f>_xlfn.XLOOKUP(C183, '75'!$C$2:$C$1142, '75'!$F$2:$F$1142)</f>
        <v>no</v>
      </c>
    </row>
    <row r="184" spans="1:6" x14ac:dyDescent="0.45">
      <c r="A184" t="s">
        <v>1152</v>
      </c>
      <c r="B184" t="s">
        <v>1162</v>
      </c>
      <c r="C184">
        <v>57197774098</v>
      </c>
      <c r="D184">
        <v>57221753163</v>
      </c>
      <c r="E184">
        <v>88</v>
      </c>
      <c r="F184" t="str">
        <f>_xlfn.XLOOKUP(C184, '75'!$C$2:$C$1142, '75'!$F$2:$F$1142)</f>
        <v>no</v>
      </c>
    </row>
    <row r="185" spans="1:6" x14ac:dyDescent="0.45">
      <c r="A185" t="s">
        <v>1152</v>
      </c>
      <c r="B185" t="s">
        <v>1159</v>
      </c>
      <c r="C185">
        <v>57197774098</v>
      </c>
      <c r="D185">
        <v>59814155200</v>
      </c>
      <c r="E185">
        <v>86</v>
      </c>
      <c r="F185" t="str">
        <f>_xlfn.XLOOKUP(C185, '75'!$C$2:$C$1142, '75'!$F$2:$F$1142)</f>
        <v>no</v>
      </c>
    </row>
    <row r="186" spans="1:6" x14ac:dyDescent="0.45">
      <c r="A186" t="s">
        <v>1175</v>
      </c>
      <c r="B186" t="s">
        <v>1176</v>
      </c>
      <c r="C186">
        <v>57215871469</v>
      </c>
      <c r="D186">
        <v>59469547500</v>
      </c>
      <c r="E186">
        <v>91</v>
      </c>
      <c r="F186" t="str">
        <f>_xlfn.XLOOKUP(C186, '75'!$C$2:$C$1142, '75'!$F$2:$F$1142)</f>
        <v>ok</v>
      </c>
    </row>
    <row r="187" spans="1:6" x14ac:dyDescent="0.45">
      <c r="A187" t="s">
        <v>1153</v>
      </c>
      <c r="B187" t="s">
        <v>1138</v>
      </c>
      <c r="C187">
        <v>56652361000</v>
      </c>
      <c r="D187">
        <v>56420749300</v>
      </c>
      <c r="E187">
        <v>89</v>
      </c>
      <c r="F187" t="str">
        <f>_xlfn.XLOOKUP(C187, '75'!$C$2:$C$1142, '75'!$F$2:$F$1142)</f>
        <v>no</v>
      </c>
    </row>
    <row r="188" spans="1:6" x14ac:dyDescent="0.45">
      <c r="A188" t="s">
        <v>1153</v>
      </c>
      <c r="B188" t="s">
        <v>1142</v>
      </c>
      <c r="C188">
        <v>56652361000</v>
      </c>
      <c r="D188">
        <v>56591076800</v>
      </c>
      <c r="E188">
        <v>89</v>
      </c>
      <c r="F188" t="str">
        <f>_xlfn.XLOOKUP(C188, '75'!$C$2:$C$1142, '75'!$F$2:$F$1142)</f>
        <v>no</v>
      </c>
    </row>
    <row r="189" spans="1:6" x14ac:dyDescent="0.45">
      <c r="A189" t="s">
        <v>1153</v>
      </c>
      <c r="B189" t="s">
        <v>1159</v>
      </c>
      <c r="C189">
        <v>56652361000</v>
      </c>
      <c r="D189">
        <v>59814155200</v>
      </c>
      <c r="E189">
        <v>89</v>
      </c>
      <c r="F189" t="str">
        <f>_xlfn.XLOOKUP(C189, '75'!$C$2:$C$1142, '75'!$F$2:$F$1142)</f>
        <v>no</v>
      </c>
    </row>
    <row r="190" spans="1:6" x14ac:dyDescent="0.45">
      <c r="A190" t="s">
        <v>1171</v>
      </c>
      <c r="B190" t="s">
        <v>1111</v>
      </c>
      <c r="C190">
        <v>58669484300</v>
      </c>
      <c r="D190">
        <v>26023886900</v>
      </c>
      <c r="E190">
        <v>86</v>
      </c>
      <c r="F190" t="str">
        <f>_xlfn.XLOOKUP(C190, '75'!$C$2:$C$1142, '75'!$F$2:$F$1142)</f>
        <v>no</v>
      </c>
    </row>
    <row r="191" spans="1:6" x14ac:dyDescent="0.45">
      <c r="A191" t="s">
        <v>1126</v>
      </c>
      <c r="B191" t="s">
        <v>1128</v>
      </c>
      <c r="C191">
        <v>57202358222</v>
      </c>
      <c r="D191">
        <v>57222133578</v>
      </c>
      <c r="E191">
        <v>86</v>
      </c>
      <c r="F191" t="str">
        <f>_xlfn.XLOOKUP(C191, '75'!$C$2:$C$1142, '75'!$F$2:$F$1142)</f>
        <v>no</v>
      </c>
    </row>
    <row r="192" spans="1:6" x14ac:dyDescent="0.45">
      <c r="A192" t="s">
        <v>1108</v>
      </c>
      <c r="B192" t="s">
        <v>1127</v>
      </c>
      <c r="C192">
        <v>55330996300</v>
      </c>
      <c r="D192">
        <v>58511137000</v>
      </c>
      <c r="E192">
        <v>87</v>
      </c>
      <c r="F192" t="str">
        <f>_xlfn.XLOOKUP(C192, '75'!$C$2:$C$1142, '75'!$F$2:$F$1142)</f>
        <v>no</v>
      </c>
    </row>
    <row r="193" spans="1:6" x14ac:dyDescent="0.45">
      <c r="A193" t="s">
        <v>1108</v>
      </c>
      <c r="B193" t="s">
        <v>1112</v>
      </c>
      <c r="C193">
        <v>55330996300</v>
      </c>
      <c r="D193">
        <v>57220902381</v>
      </c>
      <c r="E193">
        <v>91</v>
      </c>
      <c r="F193" t="str">
        <f>_xlfn.XLOOKUP(C193, '75'!$C$2:$C$1142, '75'!$F$2:$F$1142)</f>
        <v>no</v>
      </c>
    </row>
    <row r="194" spans="1:6" x14ac:dyDescent="0.45">
      <c r="A194" t="s">
        <v>1130</v>
      </c>
      <c r="B194" t="s">
        <v>1131</v>
      </c>
      <c r="C194">
        <v>58250313900</v>
      </c>
      <c r="D194">
        <v>57195715824</v>
      </c>
      <c r="E194">
        <v>85</v>
      </c>
      <c r="F194" t="str">
        <f>_xlfn.XLOOKUP(C194, '75'!$C$2:$C$1142, '75'!$F$2:$F$1142)</f>
        <v>no</v>
      </c>
    </row>
    <row r="195" spans="1:6" x14ac:dyDescent="0.45">
      <c r="A195" t="s">
        <v>1184</v>
      </c>
      <c r="B195" t="s">
        <v>1131</v>
      </c>
      <c r="C195">
        <v>59305816100</v>
      </c>
      <c r="D195">
        <v>57195715824</v>
      </c>
      <c r="E195">
        <v>88</v>
      </c>
      <c r="F195" t="str">
        <f>_xlfn.XLOOKUP(C195, '75'!$C$2:$C$1142, '75'!$F$2:$F$1142)</f>
        <v>no</v>
      </c>
    </row>
    <row r="196" spans="1:6" x14ac:dyDescent="0.45">
      <c r="A196" t="s">
        <v>1155</v>
      </c>
      <c r="B196" t="s">
        <v>1149</v>
      </c>
      <c r="C196">
        <v>57216635351</v>
      </c>
      <c r="D196">
        <v>57445736500</v>
      </c>
      <c r="E196">
        <v>86</v>
      </c>
      <c r="F196" t="str">
        <f>_xlfn.XLOOKUP(C196, '75'!$C$2:$C$1142, '75'!$F$2:$F$1142)</f>
        <v>no</v>
      </c>
    </row>
    <row r="197" spans="1:6" x14ac:dyDescent="0.45">
      <c r="A197" t="s">
        <v>1155</v>
      </c>
      <c r="B197" t="s">
        <v>1159</v>
      </c>
      <c r="C197">
        <v>57216635351</v>
      </c>
      <c r="D197">
        <v>59814155200</v>
      </c>
      <c r="E197">
        <v>86</v>
      </c>
      <c r="F197" t="str">
        <f>_xlfn.XLOOKUP(C197, '75'!$C$2:$C$1142, '75'!$F$2:$F$1142)</f>
        <v>no</v>
      </c>
    </row>
    <row r="198" spans="1:6" x14ac:dyDescent="0.45">
      <c r="A198" t="s">
        <v>1136</v>
      </c>
      <c r="B198" t="s">
        <v>1149</v>
      </c>
      <c r="C198">
        <v>58484470900</v>
      </c>
      <c r="D198">
        <v>57445736500</v>
      </c>
      <c r="E198">
        <v>86</v>
      </c>
      <c r="F198" t="str">
        <f>_xlfn.XLOOKUP(C198, '75'!$C$2:$C$1142, '75'!$F$2:$F$1142)</f>
        <v>no</v>
      </c>
    </row>
    <row r="199" spans="1:6" x14ac:dyDescent="0.45">
      <c r="A199" t="s">
        <v>1137</v>
      </c>
      <c r="B199" t="s">
        <v>1138</v>
      </c>
      <c r="C199">
        <v>58659062200</v>
      </c>
      <c r="D199">
        <v>56420749300</v>
      </c>
      <c r="E199">
        <v>86</v>
      </c>
      <c r="F199" t="str">
        <f>_xlfn.XLOOKUP(C199, '75'!$C$2:$C$1142, '75'!$F$2:$F$1142)</f>
        <v>no</v>
      </c>
    </row>
    <row r="200" spans="1:6" x14ac:dyDescent="0.45">
      <c r="A200" t="s">
        <v>1124</v>
      </c>
      <c r="B200" t="s">
        <v>1180</v>
      </c>
      <c r="C200">
        <v>57770966500</v>
      </c>
      <c r="D200">
        <v>58438192400</v>
      </c>
      <c r="E200">
        <v>89</v>
      </c>
      <c r="F200" t="str">
        <f>_xlfn.XLOOKUP(C200, '75'!$C$2:$C$1142, '75'!$F$2:$F$1142)</f>
        <v>no</v>
      </c>
    </row>
    <row r="201" spans="1:6" x14ac:dyDescent="0.45">
      <c r="A201" t="s">
        <v>1156</v>
      </c>
      <c r="B201" t="s">
        <v>1142</v>
      </c>
      <c r="C201">
        <v>57545971500</v>
      </c>
      <c r="D201">
        <v>56591076800</v>
      </c>
      <c r="E201">
        <v>90</v>
      </c>
      <c r="F201" t="str">
        <f>_xlfn.XLOOKUP(C201, '75'!$C$2:$C$1142, '75'!$F$2:$F$1142)</f>
        <v>no</v>
      </c>
    </row>
    <row r="202" spans="1:6" x14ac:dyDescent="0.45">
      <c r="A202" t="s">
        <v>1142</v>
      </c>
      <c r="B202" t="s">
        <v>1159</v>
      </c>
      <c r="C202">
        <v>56591076800</v>
      </c>
      <c r="D202">
        <v>59814155200</v>
      </c>
      <c r="E202">
        <v>89</v>
      </c>
      <c r="F202" t="str">
        <f>_xlfn.XLOOKUP(C202, '75'!$C$2:$C$1142, '75'!$F$2:$F$1142)</f>
        <v>no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51C20-40C5-4B61-931E-4783B39F1B48}">
  <dimension ref="A1:J138"/>
  <sheetViews>
    <sheetView workbookViewId="0">
      <selection activeCell="F3" sqref="F3"/>
    </sheetView>
  </sheetViews>
  <sheetFormatPr defaultRowHeight="14.25" x14ac:dyDescent="0.45"/>
  <cols>
    <col min="1" max="1" width="21.46484375" bestFit="1" customWidth="1"/>
    <col min="2" max="2" width="23.6640625" bestFit="1" customWidth="1"/>
    <col min="3" max="4" width="11.73046875" bestFit="1" customWidth="1"/>
    <col min="5" max="5" width="13.464843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1200</v>
      </c>
    </row>
    <row r="2" spans="1:10" x14ac:dyDescent="0.45">
      <c r="A2" t="s">
        <v>21</v>
      </c>
      <c r="B2" t="s">
        <v>22</v>
      </c>
      <c r="C2">
        <v>55105815400</v>
      </c>
      <c r="D2">
        <v>57216688017</v>
      </c>
      <c r="E2">
        <v>90</v>
      </c>
      <c r="F2" t="str">
        <f>_xlfn.XLOOKUP(C2, '75'!$C$2:$C$1142, '75'!$F$2:$F$1142)</f>
        <v>ok</v>
      </c>
      <c r="H2" t="s">
        <v>1198</v>
      </c>
      <c r="I2">
        <f>COUNTIF(F2:F138, "ok")/137</f>
        <v>0.57664233576642332</v>
      </c>
      <c r="J2">
        <f>I2*137</f>
        <v>79</v>
      </c>
    </row>
    <row r="3" spans="1:10" x14ac:dyDescent="0.45">
      <c r="A3" t="s">
        <v>25</v>
      </c>
      <c r="B3" t="s">
        <v>26</v>
      </c>
      <c r="C3">
        <v>57218423351</v>
      </c>
      <c r="D3">
        <v>56965067200</v>
      </c>
      <c r="E3">
        <v>95</v>
      </c>
      <c r="F3" t="str">
        <f>_xlfn.XLOOKUP(C3, '75'!$C$2:$C$1142, '75'!$F$2:$F$1142)</f>
        <v>ok</v>
      </c>
      <c r="I3">
        <f>COUNTIF(F2:F138, "no")/137</f>
        <v>0.42335766423357662</v>
      </c>
      <c r="J3">
        <f>I3*137</f>
        <v>58</v>
      </c>
    </row>
    <row r="4" spans="1:10" x14ac:dyDescent="0.45">
      <c r="A4" t="s">
        <v>35</v>
      </c>
      <c r="B4" t="s">
        <v>36</v>
      </c>
      <c r="C4">
        <v>56654006700</v>
      </c>
      <c r="D4">
        <v>7102310616</v>
      </c>
      <c r="E4">
        <v>93</v>
      </c>
      <c r="F4" t="str">
        <f>_xlfn.XLOOKUP(C4, '75'!$C$2:$C$1142, '75'!$F$2:$F$1142)</f>
        <v>ok</v>
      </c>
    </row>
    <row r="5" spans="1:10" x14ac:dyDescent="0.45">
      <c r="A5" t="s">
        <v>42</v>
      </c>
      <c r="B5" t="s">
        <v>43</v>
      </c>
      <c r="C5">
        <v>6602479101</v>
      </c>
      <c r="D5">
        <v>59465106300</v>
      </c>
      <c r="E5">
        <v>92</v>
      </c>
      <c r="F5" t="str">
        <f>_xlfn.XLOOKUP(C5, '75'!$C$2:$C$1142, '75'!$F$2:$F$1142)</f>
        <v>ok</v>
      </c>
    </row>
    <row r="6" spans="1:10" x14ac:dyDescent="0.45">
      <c r="A6" t="s">
        <v>42</v>
      </c>
      <c r="B6" t="s">
        <v>44</v>
      </c>
      <c r="C6">
        <v>6602479101</v>
      </c>
      <c r="D6">
        <v>59119893600</v>
      </c>
      <c r="E6">
        <v>92</v>
      </c>
      <c r="F6" t="str">
        <f>_xlfn.XLOOKUP(C6, '75'!$C$2:$C$1142, '75'!$F$2:$F$1142)</f>
        <v>ok</v>
      </c>
    </row>
    <row r="7" spans="1:10" x14ac:dyDescent="0.45">
      <c r="A7" t="s">
        <v>49</v>
      </c>
      <c r="B7" t="s">
        <v>50</v>
      </c>
      <c r="C7">
        <v>42760951000</v>
      </c>
      <c r="D7">
        <v>57937968100</v>
      </c>
      <c r="E7">
        <v>91</v>
      </c>
      <c r="F7" t="str">
        <f>_xlfn.XLOOKUP(C7, '75'!$C$2:$C$1142, '75'!$F$2:$F$1142)</f>
        <v>ok</v>
      </c>
    </row>
    <row r="8" spans="1:10" x14ac:dyDescent="0.45">
      <c r="A8" t="s">
        <v>51</v>
      </c>
      <c r="B8" t="s">
        <v>52</v>
      </c>
      <c r="C8">
        <v>57204216471</v>
      </c>
      <c r="D8">
        <v>7004856179</v>
      </c>
      <c r="E8">
        <v>93</v>
      </c>
      <c r="F8" t="str">
        <f>_xlfn.XLOOKUP(C8, '75'!$C$2:$C$1142, '75'!$F$2:$F$1142)</f>
        <v>ok</v>
      </c>
    </row>
    <row r="9" spans="1:10" x14ac:dyDescent="0.45">
      <c r="A9" t="s">
        <v>59</v>
      </c>
      <c r="B9" t="s">
        <v>60</v>
      </c>
      <c r="C9">
        <v>7004232335</v>
      </c>
      <c r="D9">
        <v>57218515194</v>
      </c>
      <c r="E9">
        <v>96</v>
      </c>
      <c r="F9" t="str">
        <f>_xlfn.XLOOKUP(C9, '75'!$C$2:$C$1142, '75'!$F$2:$F$1142)</f>
        <v>ok</v>
      </c>
    </row>
    <row r="10" spans="1:10" x14ac:dyDescent="0.45">
      <c r="A10" t="s">
        <v>71</v>
      </c>
      <c r="B10" t="s">
        <v>72</v>
      </c>
      <c r="C10">
        <v>24433859000</v>
      </c>
      <c r="D10">
        <v>57225808826</v>
      </c>
      <c r="E10">
        <v>90</v>
      </c>
      <c r="F10" t="str">
        <f>_xlfn.XLOOKUP(C10, '75'!$C$2:$C$1142, '75'!$F$2:$F$1142)</f>
        <v>ok</v>
      </c>
    </row>
    <row r="11" spans="1:10" x14ac:dyDescent="0.45">
      <c r="A11" t="s">
        <v>80</v>
      </c>
      <c r="B11" t="s">
        <v>81</v>
      </c>
      <c r="C11">
        <v>58480796700</v>
      </c>
      <c r="D11">
        <v>59482580700</v>
      </c>
      <c r="E11">
        <v>92</v>
      </c>
      <c r="F11" t="str">
        <f>_xlfn.XLOOKUP(C11, '75'!$C$2:$C$1142, '75'!$F$2:$F$1142)</f>
        <v>ok</v>
      </c>
    </row>
    <row r="12" spans="1:10" x14ac:dyDescent="0.45">
      <c r="A12" t="s">
        <v>82</v>
      </c>
      <c r="B12" t="s">
        <v>83</v>
      </c>
      <c r="C12">
        <v>57195104543</v>
      </c>
      <c r="D12">
        <v>59812475700</v>
      </c>
      <c r="E12">
        <v>96</v>
      </c>
      <c r="F12" t="str">
        <f>_xlfn.XLOOKUP(C12, '75'!$C$2:$C$1142, '75'!$F$2:$F$1142)</f>
        <v>ok</v>
      </c>
    </row>
    <row r="13" spans="1:10" x14ac:dyDescent="0.45">
      <c r="A13" t="s">
        <v>84</v>
      </c>
      <c r="B13" t="s">
        <v>85</v>
      </c>
      <c r="C13">
        <v>7005488549</v>
      </c>
      <c r="D13">
        <v>58680470600</v>
      </c>
      <c r="E13">
        <v>93</v>
      </c>
      <c r="F13" t="str">
        <f>_xlfn.XLOOKUP(C13, '75'!$C$2:$C$1142, '75'!$F$2:$F$1142)</f>
        <v>ok</v>
      </c>
    </row>
    <row r="14" spans="1:10" x14ac:dyDescent="0.45">
      <c r="A14" t="s">
        <v>86</v>
      </c>
      <c r="B14" t="s">
        <v>87</v>
      </c>
      <c r="C14">
        <v>16416871500</v>
      </c>
      <c r="D14">
        <v>57221322504</v>
      </c>
      <c r="E14">
        <v>93</v>
      </c>
      <c r="F14" t="str">
        <f>_xlfn.XLOOKUP(C14, '75'!$C$2:$C$1142, '75'!$F$2:$F$1142)</f>
        <v>ok</v>
      </c>
    </row>
    <row r="15" spans="1:10" x14ac:dyDescent="0.45">
      <c r="A15" t="s">
        <v>101</v>
      </c>
      <c r="B15" t="s">
        <v>102</v>
      </c>
      <c r="C15">
        <v>12645477200</v>
      </c>
      <c r="D15">
        <v>58313184000</v>
      </c>
      <c r="E15">
        <v>89</v>
      </c>
      <c r="F15" t="str">
        <f>_xlfn.XLOOKUP(C15, '75'!$C$2:$C$1142, '75'!$F$2:$F$1142)</f>
        <v>no</v>
      </c>
    </row>
    <row r="16" spans="1:10" x14ac:dyDescent="0.45">
      <c r="A16" t="s">
        <v>114</v>
      </c>
      <c r="B16" t="s">
        <v>119</v>
      </c>
      <c r="C16">
        <v>56040387500</v>
      </c>
      <c r="D16">
        <v>55049017000</v>
      </c>
      <c r="E16">
        <v>89</v>
      </c>
      <c r="F16" t="str">
        <f>_xlfn.XLOOKUP(C16, '75'!$C$2:$C$1142, '75'!$F$2:$F$1142)</f>
        <v>no</v>
      </c>
    </row>
    <row r="17" spans="1:6" x14ac:dyDescent="0.45">
      <c r="A17" t="s">
        <v>114</v>
      </c>
      <c r="B17" t="s">
        <v>127</v>
      </c>
      <c r="C17">
        <v>56040387500</v>
      </c>
      <c r="D17">
        <v>59353414700</v>
      </c>
      <c r="E17">
        <v>90</v>
      </c>
      <c r="F17" t="str">
        <f>_xlfn.XLOOKUP(C17, '75'!$C$2:$C$1142, '75'!$F$2:$F$1142)</f>
        <v>no</v>
      </c>
    </row>
    <row r="18" spans="1:6" x14ac:dyDescent="0.45">
      <c r="A18" t="s">
        <v>95</v>
      </c>
      <c r="B18" t="s">
        <v>129</v>
      </c>
      <c r="C18">
        <v>35306560600</v>
      </c>
      <c r="D18">
        <v>57382754500</v>
      </c>
      <c r="E18">
        <v>95</v>
      </c>
      <c r="F18" t="str">
        <f>_xlfn.XLOOKUP(C18, '75'!$C$2:$C$1142, '75'!$F$2:$F$1142)</f>
        <v>no</v>
      </c>
    </row>
    <row r="19" spans="1:6" x14ac:dyDescent="0.45">
      <c r="A19" t="s">
        <v>95</v>
      </c>
      <c r="B19" t="s">
        <v>130</v>
      </c>
      <c r="C19">
        <v>35306560600</v>
      </c>
      <c r="D19">
        <v>55447267000</v>
      </c>
      <c r="E19">
        <v>95</v>
      </c>
      <c r="F19" t="str">
        <f>_xlfn.XLOOKUP(C19, '75'!$C$2:$C$1142, '75'!$F$2:$F$1142)</f>
        <v>no</v>
      </c>
    </row>
    <row r="20" spans="1:6" x14ac:dyDescent="0.45">
      <c r="A20" t="s">
        <v>96</v>
      </c>
      <c r="B20" t="s">
        <v>99</v>
      </c>
      <c r="C20">
        <v>57202349101</v>
      </c>
      <c r="D20">
        <v>57221774756</v>
      </c>
      <c r="E20">
        <v>89</v>
      </c>
      <c r="F20" t="str">
        <f>_xlfn.XLOOKUP(C20, '75'!$C$2:$C$1142, '75'!$F$2:$F$1142)</f>
        <v>no</v>
      </c>
    </row>
    <row r="21" spans="1:6" x14ac:dyDescent="0.45">
      <c r="A21" t="s">
        <v>139</v>
      </c>
      <c r="B21" t="s">
        <v>140</v>
      </c>
      <c r="C21">
        <v>57211297356</v>
      </c>
      <c r="D21">
        <v>58042961200</v>
      </c>
      <c r="E21">
        <v>89</v>
      </c>
      <c r="F21" t="str">
        <f>_xlfn.XLOOKUP(C21, '75'!$C$2:$C$1142, '75'!$F$2:$F$1142)</f>
        <v>no</v>
      </c>
    </row>
    <row r="22" spans="1:6" x14ac:dyDescent="0.45">
      <c r="A22" t="s">
        <v>154</v>
      </c>
      <c r="B22" t="s">
        <v>155</v>
      </c>
      <c r="C22">
        <v>56085514500</v>
      </c>
      <c r="D22">
        <v>59501786900</v>
      </c>
      <c r="E22">
        <v>92</v>
      </c>
      <c r="F22" t="str">
        <f>_xlfn.XLOOKUP(C22, '75'!$C$2:$C$1142, '75'!$F$2:$F$1142)</f>
        <v>ok</v>
      </c>
    </row>
    <row r="23" spans="1:6" x14ac:dyDescent="0.45">
      <c r="A23" t="s">
        <v>129</v>
      </c>
      <c r="B23" t="s">
        <v>130</v>
      </c>
      <c r="C23">
        <v>57382754500</v>
      </c>
      <c r="D23">
        <v>55447267000</v>
      </c>
      <c r="E23">
        <v>90</v>
      </c>
      <c r="F23" t="str">
        <f>_xlfn.XLOOKUP(C23, '75'!$C$2:$C$1142, '75'!$F$2:$F$1142)</f>
        <v>no</v>
      </c>
    </row>
    <row r="24" spans="1:6" x14ac:dyDescent="0.45">
      <c r="A24" t="s">
        <v>169</v>
      </c>
      <c r="B24" t="s">
        <v>170</v>
      </c>
      <c r="C24">
        <v>58827810200</v>
      </c>
      <c r="D24">
        <v>56719213100</v>
      </c>
      <c r="E24">
        <v>92</v>
      </c>
      <c r="F24" t="str">
        <f>_xlfn.XLOOKUP(C24, '75'!$C$2:$C$1142, '75'!$F$2:$F$1142)</f>
        <v>ok</v>
      </c>
    </row>
    <row r="25" spans="1:6" x14ac:dyDescent="0.45">
      <c r="A25" t="s">
        <v>116</v>
      </c>
      <c r="B25" t="s">
        <v>172</v>
      </c>
      <c r="C25">
        <v>57220043419</v>
      </c>
      <c r="D25">
        <v>59352990300</v>
      </c>
      <c r="E25">
        <v>90</v>
      </c>
      <c r="F25" t="str">
        <f>_xlfn.XLOOKUP(C25, '75'!$C$2:$C$1142, '75'!$F$2:$F$1142)</f>
        <v>no</v>
      </c>
    </row>
    <row r="26" spans="1:6" x14ac:dyDescent="0.45">
      <c r="A26" t="s">
        <v>173</v>
      </c>
      <c r="B26" t="s">
        <v>117</v>
      </c>
      <c r="C26">
        <v>58830295700</v>
      </c>
      <c r="D26">
        <v>57219394662</v>
      </c>
      <c r="E26">
        <v>90</v>
      </c>
      <c r="F26" t="str">
        <f>_xlfn.XLOOKUP(C26, '75'!$C$2:$C$1142, '75'!$F$2:$F$1142)</f>
        <v>ok</v>
      </c>
    </row>
    <row r="27" spans="1:6" x14ac:dyDescent="0.45">
      <c r="A27" t="s">
        <v>111</v>
      </c>
      <c r="B27" t="s">
        <v>112</v>
      </c>
      <c r="C27">
        <v>57209555584</v>
      </c>
      <c r="D27">
        <v>59135252300</v>
      </c>
      <c r="E27">
        <v>89</v>
      </c>
      <c r="F27" t="str">
        <f>_xlfn.XLOOKUP(C27, '75'!$C$2:$C$1142, '75'!$F$2:$F$1142)</f>
        <v>no</v>
      </c>
    </row>
    <row r="28" spans="1:6" x14ac:dyDescent="0.45">
      <c r="A28" t="s">
        <v>190</v>
      </c>
      <c r="B28" t="s">
        <v>191</v>
      </c>
      <c r="C28">
        <v>57821779900</v>
      </c>
      <c r="D28">
        <v>59415748800</v>
      </c>
      <c r="E28">
        <v>94</v>
      </c>
      <c r="F28" t="str">
        <f>_xlfn.XLOOKUP(C28, '75'!$C$2:$C$1142, '75'!$F$2:$F$1142)</f>
        <v>ok</v>
      </c>
    </row>
    <row r="29" spans="1:6" x14ac:dyDescent="0.45">
      <c r="A29" t="s">
        <v>200</v>
      </c>
      <c r="B29" t="s">
        <v>201</v>
      </c>
      <c r="C29">
        <v>59807760700</v>
      </c>
      <c r="D29">
        <v>7402666341</v>
      </c>
      <c r="E29">
        <v>92</v>
      </c>
      <c r="F29" t="str">
        <f>_xlfn.XLOOKUP(C29, '75'!$C$2:$C$1142, '75'!$F$2:$F$1142)</f>
        <v>ok</v>
      </c>
    </row>
    <row r="30" spans="1:6" x14ac:dyDescent="0.45">
      <c r="A30" t="s">
        <v>207</v>
      </c>
      <c r="B30" t="s">
        <v>208</v>
      </c>
      <c r="C30">
        <v>58287914600</v>
      </c>
      <c r="D30">
        <v>58061917200</v>
      </c>
      <c r="E30">
        <v>95</v>
      </c>
      <c r="F30" t="str">
        <f>_xlfn.XLOOKUP(C30, '75'!$C$2:$C$1142, '75'!$F$2:$F$1142)</f>
        <v>ok</v>
      </c>
    </row>
    <row r="31" spans="1:6" x14ac:dyDescent="0.45">
      <c r="A31" t="s">
        <v>118</v>
      </c>
      <c r="B31" t="s">
        <v>120</v>
      </c>
      <c r="C31">
        <v>59549734700</v>
      </c>
      <c r="D31">
        <v>57464181400</v>
      </c>
      <c r="E31">
        <v>88</v>
      </c>
      <c r="F31" t="str">
        <f>_xlfn.XLOOKUP(C31, '75'!$C$2:$C$1142, '75'!$F$2:$F$1142)</f>
        <v>no</v>
      </c>
    </row>
    <row r="32" spans="1:6" x14ac:dyDescent="0.45">
      <c r="A32" t="s">
        <v>218</v>
      </c>
      <c r="B32" t="s">
        <v>219</v>
      </c>
      <c r="C32">
        <v>57201730337</v>
      </c>
      <c r="D32">
        <v>57202912172</v>
      </c>
      <c r="E32">
        <v>93</v>
      </c>
      <c r="F32" t="str">
        <f>_xlfn.XLOOKUP(C32, '75'!$C$2:$C$1142, '75'!$F$2:$F$1142)</f>
        <v>ok</v>
      </c>
    </row>
    <row r="33" spans="1:6" x14ac:dyDescent="0.45">
      <c r="A33" t="s">
        <v>222</v>
      </c>
      <c r="B33" t="s">
        <v>223</v>
      </c>
      <c r="C33">
        <v>7004268181</v>
      </c>
      <c r="D33">
        <v>56840385400</v>
      </c>
      <c r="E33">
        <v>93</v>
      </c>
      <c r="F33" t="str">
        <f>_xlfn.XLOOKUP(C33, '75'!$C$2:$C$1142, '75'!$F$2:$F$1142)</f>
        <v>ok</v>
      </c>
    </row>
    <row r="34" spans="1:6" x14ac:dyDescent="0.45">
      <c r="A34" t="s">
        <v>230</v>
      </c>
      <c r="B34" t="s">
        <v>231</v>
      </c>
      <c r="C34">
        <v>59157783100</v>
      </c>
      <c r="D34">
        <v>59814698200</v>
      </c>
      <c r="E34">
        <v>92</v>
      </c>
      <c r="F34" t="str">
        <f>_xlfn.XLOOKUP(C34, '75'!$C$2:$C$1142, '75'!$F$2:$F$1142)</f>
        <v>ok</v>
      </c>
    </row>
    <row r="35" spans="1:6" x14ac:dyDescent="0.45">
      <c r="A35" t="s">
        <v>232</v>
      </c>
      <c r="B35" t="s">
        <v>233</v>
      </c>
      <c r="C35">
        <v>57287468800</v>
      </c>
      <c r="D35">
        <v>57575566400</v>
      </c>
      <c r="E35">
        <v>92</v>
      </c>
      <c r="F35" t="str">
        <f>_xlfn.XLOOKUP(C35, '75'!$C$2:$C$1142, '75'!$F$2:$F$1142)</f>
        <v>ok</v>
      </c>
    </row>
    <row r="36" spans="1:6" x14ac:dyDescent="0.45">
      <c r="A36" t="s">
        <v>242</v>
      </c>
      <c r="B36" t="s">
        <v>243</v>
      </c>
      <c r="C36">
        <v>57792002700</v>
      </c>
      <c r="D36">
        <v>59373208900</v>
      </c>
      <c r="E36">
        <v>97</v>
      </c>
      <c r="F36" t="str">
        <f>_xlfn.XLOOKUP(C36, '75'!$C$2:$C$1142, '75'!$F$2:$F$1142)</f>
        <v>ok</v>
      </c>
    </row>
    <row r="37" spans="1:6" x14ac:dyDescent="0.45">
      <c r="A37" t="s">
        <v>244</v>
      </c>
      <c r="B37" t="s">
        <v>245</v>
      </c>
      <c r="C37">
        <v>57212346127</v>
      </c>
      <c r="D37">
        <v>57203331764</v>
      </c>
      <c r="E37">
        <v>90</v>
      </c>
      <c r="F37" t="str">
        <f>_xlfn.XLOOKUP(C37, '75'!$C$2:$C$1142, '75'!$F$2:$F$1142)</f>
        <v>no</v>
      </c>
    </row>
    <row r="38" spans="1:6" x14ac:dyDescent="0.45">
      <c r="A38" t="s">
        <v>248</v>
      </c>
      <c r="B38" t="s">
        <v>249</v>
      </c>
      <c r="C38">
        <v>57215934820</v>
      </c>
      <c r="D38">
        <v>57214111535</v>
      </c>
      <c r="E38">
        <v>97</v>
      </c>
      <c r="F38" t="str">
        <f>_xlfn.XLOOKUP(C38, '75'!$C$2:$C$1142, '75'!$F$2:$F$1142)</f>
        <v>ok</v>
      </c>
    </row>
    <row r="39" spans="1:6" x14ac:dyDescent="0.45">
      <c r="A39" t="s">
        <v>250</v>
      </c>
      <c r="B39" t="s">
        <v>251</v>
      </c>
      <c r="C39">
        <v>59647175000</v>
      </c>
      <c r="D39">
        <v>57216222262</v>
      </c>
      <c r="E39">
        <v>93</v>
      </c>
      <c r="F39" t="str">
        <f>_xlfn.XLOOKUP(C39, '75'!$C$2:$C$1142, '75'!$F$2:$F$1142)</f>
        <v>ok</v>
      </c>
    </row>
    <row r="40" spans="1:6" x14ac:dyDescent="0.45">
      <c r="A40" t="s">
        <v>254</v>
      </c>
      <c r="B40" t="s">
        <v>255</v>
      </c>
      <c r="C40">
        <v>55620693600</v>
      </c>
      <c r="D40">
        <v>57998385200</v>
      </c>
      <c r="E40">
        <v>96</v>
      </c>
      <c r="F40" t="str">
        <f>_xlfn.XLOOKUP(C40, '75'!$C$2:$C$1142, '75'!$F$2:$F$1142)</f>
        <v>ok</v>
      </c>
    </row>
    <row r="41" spans="1:6" x14ac:dyDescent="0.45">
      <c r="A41" t="s">
        <v>261</v>
      </c>
      <c r="B41" t="s">
        <v>262</v>
      </c>
      <c r="C41">
        <v>56856315600</v>
      </c>
      <c r="D41">
        <v>56268773600</v>
      </c>
      <c r="E41">
        <v>92</v>
      </c>
      <c r="F41" t="str">
        <f>_xlfn.XLOOKUP(C41, '75'!$C$2:$C$1142, '75'!$F$2:$F$1142)</f>
        <v>no</v>
      </c>
    </row>
    <row r="42" spans="1:6" x14ac:dyDescent="0.45">
      <c r="A42" t="s">
        <v>267</v>
      </c>
      <c r="B42" t="s">
        <v>268</v>
      </c>
      <c r="C42">
        <v>57220106603</v>
      </c>
      <c r="D42">
        <v>57217134072</v>
      </c>
      <c r="E42">
        <v>92</v>
      </c>
      <c r="F42" t="str">
        <f>_xlfn.XLOOKUP(C42, '75'!$C$2:$C$1142, '75'!$F$2:$F$1142)</f>
        <v>no</v>
      </c>
    </row>
    <row r="43" spans="1:6" x14ac:dyDescent="0.45">
      <c r="A43" t="s">
        <v>281</v>
      </c>
      <c r="B43" t="s">
        <v>282</v>
      </c>
      <c r="C43">
        <v>57200176320</v>
      </c>
      <c r="D43">
        <v>58689678000</v>
      </c>
      <c r="E43">
        <v>92</v>
      </c>
      <c r="F43" t="str">
        <f>_xlfn.XLOOKUP(C43, '75'!$C$2:$C$1142, '75'!$F$2:$F$1142)</f>
        <v>ok</v>
      </c>
    </row>
    <row r="44" spans="1:6" x14ac:dyDescent="0.45">
      <c r="A44" t="s">
        <v>285</v>
      </c>
      <c r="B44" t="s">
        <v>286</v>
      </c>
      <c r="C44">
        <v>57723250300</v>
      </c>
      <c r="D44">
        <v>59173501800</v>
      </c>
      <c r="E44">
        <v>93</v>
      </c>
      <c r="F44" t="str">
        <f>_xlfn.XLOOKUP(C44, '75'!$C$2:$C$1142, '75'!$F$2:$F$1142)</f>
        <v>ok</v>
      </c>
    </row>
    <row r="45" spans="1:6" x14ac:dyDescent="0.45">
      <c r="A45" t="s">
        <v>292</v>
      </c>
      <c r="B45" t="s">
        <v>293</v>
      </c>
      <c r="C45">
        <v>24359010500</v>
      </c>
      <c r="D45">
        <v>57223164224</v>
      </c>
      <c r="E45">
        <v>90</v>
      </c>
      <c r="F45" t="str">
        <f>_xlfn.XLOOKUP(C45, '75'!$C$2:$C$1142, '75'!$F$2:$F$1142)</f>
        <v>ok</v>
      </c>
    </row>
    <row r="46" spans="1:6" x14ac:dyDescent="0.45">
      <c r="A46" t="s">
        <v>298</v>
      </c>
      <c r="B46" t="s">
        <v>299</v>
      </c>
      <c r="C46">
        <v>6507645629</v>
      </c>
      <c r="D46">
        <v>58990528300</v>
      </c>
      <c r="E46">
        <v>91</v>
      </c>
      <c r="F46" t="str">
        <f>_xlfn.XLOOKUP(C46, '75'!$C$2:$C$1142, '75'!$F$2:$F$1142)</f>
        <v>ok</v>
      </c>
    </row>
    <row r="47" spans="1:6" x14ac:dyDescent="0.45">
      <c r="A47" t="s">
        <v>316</v>
      </c>
      <c r="B47" t="s">
        <v>317</v>
      </c>
      <c r="C47">
        <v>56582435700</v>
      </c>
      <c r="D47">
        <v>57948030800</v>
      </c>
      <c r="E47">
        <v>90</v>
      </c>
      <c r="F47" t="str">
        <f>_xlfn.XLOOKUP(C47, '75'!$C$2:$C$1142, '75'!$F$2:$F$1142)</f>
        <v>ok</v>
      </c>
    </row>
    <row r="48" spans="1:6" x14ac:dyDescent="0.45">
      <c r="A48" t="s">
        <v>318</v>
      </c>
      <c r="B48" t="s">
        <v>319</v>
      </c>
      <c r="C48">
        <v>58676962100</v>
      </c>
      <c r="D48">
        <v>57997869400</v>
      </c>
      <c r="E48">
        <v>97</v>
      </c>
      <c r="F48" t="str">
        <f>_xlfn.XLOOKUP(C48, '75'!$C$2:$C$1142, '75'!$F$2:$F$1142)</f>
        <v>ok</v>
      </c>
    </row>
    <row r="49" spans="1:6" x14ac:dyDescent="0.45">
      <c r="A49" t="s">
        <v>334</v>
      </c>
      <c r="B49" t="s">
        <v>335</v>
      </c>
      <c r="C49">
        <v>57220890035</v>
      </c>
      <c r="D49">
        <v>59029455600</v>
      </c>
      <c r="E49">
        <v>92</v>
      </c>
      <c r="F49" t="str">
        <f>_xlfn.XLOOKUP(C49, '75'!$C$2:$C$1142, '75'!$F$2:$F$1142)</f>
        <v>ok</v>
      </c>
    </row>
    <row r="50" spans="1:6" x14ac:dyDescent="0.45">
      <c r="A50" t="s">
        <v>343</v>
      </c>
      <c r="B50" t="s">
        <v>344</v>
      </c>
      <c r="C50">
        <v>57201225750</v>
      </c>
      <c r="D50">
        <v>55332947200</v>
      </c>
      <c r="E50">
        <v>92</v>
      </c>
      <c r="F50" t="str">
        <f>_xlfn.XLOOKUP(C50, '75'!$C$2:$C$1142, '75'!$F$2:$F$1142)</f>
        <v>ok</v>
      </c>
    </row>
    <row r="51" spans="1:6" x14ac:dyDescent="0.45">
      <c r="A51" t="s">
        <v>345</v>
      </c>
      <c r="B51" t="s">
        <v>346</v>
      </c>
      <c r="C51">
        <v>20433459500</v>
      </c>
      <c r="D51">
        <v>57204281290</v>
      </c>
      <c r="E51">
        <v>94</v>
      </c>
      <c r="F51" t="str">
        <f>_xlfn.XLOOKUP(C51, '75'!$C$2:$C$1142, '75'!$F$2:$F$1142)</f>
        <v>ok</v>
      </c>
    </row>
    <row r="52" spans="1:6" x14ac:dyDescent="0.45">
      <c r="A52" t="s">
        <v>375</v>
      </c>
      <c r="B52" t="s">
        <v>376</v>
      </c>
      <c r="C52">
        <v>57217693682</v>
      </c>
      <c r="D52">
        <v>57217055832</v>
      </c>
      <c r="E52">
        <v>92</v>
      </c>
      <c r="F52" t="str">
        <f>_xlfn.XLOOKUP(C52, '75'!$C$2:$C$1142, '75'!$F$2:$F$1142)</f>
        <v>ok</v>
      </c>
    </row>
    <row r="53" spans="1:6" x14ac:dyDescent="0.45">
      <c r="A53" t="s">
        <v>389</v>
      </c>
      <c r="B53" t="s">
        <v>391</v>
      </c>
      <c r="C53">
        <v>59161285900</v>
      </c>
      <c r="D53">
        <v>34979903200</v>
      </c>
      <c r="E53">
        <v>90</v>
      </c>
      <c r="F53" t="str">
        <f>_xlfn.XLOOKUP(C53, '75'!$C$2:$C$1142, '75'!$F$2:$F$1142)</f>
        <v>no</v>
      </c>
    </row>
    <row r="54" spans="1:6" x14ac:dyDescent="0.45">
      <c r="A54" t="s">
        <v>390</v>
      </c>
      <c r="B54" t="s">
        <v>391</v>
      </c>
      <c r="C54">
        <v>59207795900</v>
      </c>
      <c r="D54">
        <v>34979903200</v>
      </c>
      <c r="E54">
        <v>90</v>
      </c>
      <c r="F54" t="str">
        <f>_xlfn.XLOOKUP(C54, '75'!$C$2:$C$1142, '75'!$F$2:$F$1142)</f>
        <v>ok</v>
      </c>
    </row>
    <row r="55" spans="1:6" x14ac:dyDescent="0.45">
      <c r="A55" t="s">
        <v>399</v>
      </c>
      <c r="B55" t="s">
        <v>400</v>
      </c>
      <c r="C55">
        <v>57208184515</v>
      </c>
      <c r="D55">
        <v>59803235800</v>
      </c>
      <c r="E55">
        <v>90</v>
      </c>
      <c r="F55" t="str">
        <f>_xlfn.XLOOKUP(C55, '75'!$C$2:$C$1142, '75'!$F$2:$F$1142)</f>
        <v>no</v>
      </c>
    </row>
    <row r="56" spans="1:6" x14ac:dyDescent="0.45">
      <c r="A56" t="s">
        <v>401</v>
      </c>
      <c r="B56" t="s">
        <v>402</v>
      </c>
      <c r="C56">
        <v>7201973561</v>
      </c>
      <c r="D56">
        <v>59794341400</v>
      </c>
      <c r="E56">
        <v>96</v>
      </c>
      <c r="F56" t="str">
        <f>_xlfn.XLOOKUP(C56, '75'!$C$2:$C$1142, '75'!$F$2:$F$1142)</f>
        <v>ok</v>
      </c>
    </row>
    <row r="57" spans="1:6" x14ac:dyDescent="0.45">
      <c r="A57" t="s">
        <v>410</v>
      </c>
      <c r="B57" t="s">
        <v>411</v>
      </c>
      <c r="C57">
        <v>57211405320</v>
      </c>
      <c r="D57">
        <v>57220933225</v>
      </c>
      <c r="E57">
        <v>94</v>
      </c>
      <c r="F57" t="str">
        <f>_xlfn.XLOOKUP(C57, '75'!$C$2:$C$1142, '75'!$F$2:$F$1142)</f>
        <v>ok</v>
      </c>
    </row>
    <row r="58" spans="1:6" x14ac:dyDescent="0.45">
      <c r="A58" t="s">
        <v>419</v>
      </c>
      <c r="B58" t="s">
        <v>420</v>
      </c>
      <c r="C58">
        <v>6701569164</v>
      </c>
      <c r="D58">
        <v>59475179000</v>
      </c>
      <c r="E58">
        <v>94</v>
      </c>
      <c r="F58" t="str">
        <f>_xlfn.XLOOKUP(C58, '75'!$C$2:$C$1142, '75'!$F$2:$F$1142)</f>
        <v>ok</v>
      </c>
    </row>
    <row r="59" spans="1:6" x14ac:dyDescent="0.45">
      <c r="A59" t="s">
        <v>466</v>
      </c>
      <c r="B59" t="s">
        <v>467</v>
      </c>
      <c r="C59">
        <v>57202588460</v>
      </c>
      <c r="D59">
        <v>59315845200</v>
      </c>
      <c r="E59">
        <v>92</v>
      </c>
      <c r="F59" t="str">
        <f>_xlfn.XLOOKUP(C59, '75'!$C$2:$C$1142, '75'!$F$2:$F$1142)</f>
        <v>no</v>
      </c>
    </row>
    <row r="60" spans="1:6" x14ac:dyDescent="0.45">
      <c r="A60" t="s">
        <v>473</v>
      </c>
      <c r="B60" t="s">
        <v>474</v>
      </c>
      <c r="C60">
        <v>57212571216</v>
      </c>
      <c r="D60">
        <v>57197841951</v>
      </c>
      <c r="E60">
        <v>95</v>
      </c>
      <c r="F60" t="str">
        <f>_xlfn.XLOOKUP(C60, '75'!$C$2:$C$1142, '75'!$F$2:$F$1142)</f>
        <v>ok</v>
      </c>
    </row>
    <row r="61" spans="1:6" x14ac:dyDescent="0.45">
      <c r="A61" t="s">
        <v>488</v>
      </c>
      <c r="B61" t="s">
        <v>489</v>
      </c>
      <c r="C61">
        <v>57214883229</v>
      </c>
      <c r="D61">
        <v>56575966800</v>
      </c>
      <c r="E61">
        <v>92</v>
      </c>
      <c r="F61" t="str">
        <f>_xlfn.XLOOKUP(C61, '75'!$C$2:$C$1142, '75'!$F$2:$F$1142)</f>
        <v>ok</v>
      </c>
    </row>
    <row r="62" spans="1:6" x14ac:dyDescent="0.45">
      <c r="A62" t="s">
        <v>497</v>
      </c>
      <c r="B62" t="s">
        <v>498</v>
      </c>
      <c r="C62">
        <v>58100818300</v>
      </c>
      <c r="D62">
        <v>44461638200</v>
      </c>
      <c r="E62">
        <v>97</v>
      </c>
      <c r="F62" t="str">
        <f>_xlfn.XLOOKUP(C62, '75'!$C$2:$C$1142, '75'!$F$2:$F$1142)</f>
        <v>ok</v>
      </c>
    </row>
    <row r="63" spans="1:6" x14ac:dyDescent="0.45">
      <c r="A63" t="s">
        <v>501</v>
      </c>
      <c r="B63" t="s">
        <v>503</v>
      </c>
      <c r="C63">
        <v>55540777300</v>
      </c>
      <c r="D63">
        <v>58669083900</v>
      </c>
      <c r="E63">
        <v>90</v>
      </c>
      <c r="F63" t="str">
        <f>_xlfn.XLOOKUP(C63, '75'!$C$2:$C$1142, '75'!$F$2:$F$1142)</f>
        <v>no</v>
      </c>
    </row>
    <row r="64" spans="1:6" x14ac:dyDescent="0.45">
      <c r="A64" t="s">
        <v>504</v>
      </c>
      <c r="B64" t="s">
        <v>506</v>
      </c>
      <c r="C64">
        <v>57208500706</v>
      </c>
      <c r="D64">
        <v>57419438300</v>
      </c>
      <c r="E64">
        <v>93</v>
      </c>
      <c r="F64" t="str">
        <f>_xlfn.XLOOKUP(C64, '75'!$C$2:$C$1142, '75'!$F$2:$F$1142)</f>
        <v>no</v>
      </c>
    </row>
    <row r="65" spans="1:6" x14ac:dyDescent="0.45">
      <c r="A65" t="s">
        <v>504</v>
      </c>
      <c r="B65" t="s">
        <v>507</v>
      </c>
      <c r="C65">
        <v>57208500706</v>
      </c>
      <c r="D65">
        <v>58930944200</v>
      </c>
      <c r="E65">
        <v>94</v>
      </c>
      <c r="F65" t="str">
        <f>_xlfn.XLOOKUP(C65, '75'!$C$2:$C$1142, '75'!$F$2:$F$1142)</f>
        <v>no</v>
      </c>
    </row>
    <row r="66" spans="1:6" x14ac:dyDescent="0.45">
      <c r="A66" t="s">
        <v>512</v>
      </c>
      <c r="B66" t="s">
        <v>513</v>
      </c>
      <c r="C66">
        <v>55477263200</v>
      </c>
      <c r="D66">
        <v>59661104900</v>
      </c>
      <c r="E66">
        <v>93</v>
      </c>
      <c r="F66" t="str">
        <f>_xlfn.XLOOKUP(C66, '75'!$C$2:$C$1142, '75'!$F$2:$F$1142)</f>
        <v>ok</v>
      </c>
    </row>
    <row r="67" spans="1:6" x14ac:dyDescent="0.45">
      <c r="A67" t="s">
        <v>532</v>
      </c>
      <c r="B67" t="s">
        <v>533</v>
      </c>
      <c r="C67">
        <v>55904182200</v>
      </c>
      <c r="D67">
        <v>59516564600</v>
      </c>
      <c r="E67">
        <v>94</v>
      </c>
      <c r="F67" t="str">
        <f>_xlfn.XLOOKUP(C67, '75'!$C$2:$C$1142, '75'!$F$2:$F$1142)</f>
        <v>ok</v>
      </c>
    </row>
    <row r="68" spans="1:6" x14ac:dyDescent="0.45">
      <c r="A68" t="s">
        <v>505</v>
      </c>
      <c r="B68" t="s">
        <v>543</v>
      </c>
      <c r="C68">
        <v>57191371558</v>
      </c>
      <c r="D68">
        <v>57212311896</v>
      </c>
      <c r="E68">
        <v>89</v>
      </c>
      <c r="F68" t="str">
        <f>_xlfn.XLOOKUP(C68, '75'!$C$2:$C$1142, '75'!$F$2:$F$1142)</f>
        <v>no</v>
      </c>
    </row>
    <row r="69" spans="1:6" x14ac:dyDescent="0.45">
      <c r="A69" t="s">
        <v>505</v>
      </c>
      <c r="B69" t="s">
        <v>508</v>
      </c>
      <c r="C69">
        <v>57191371558</v>
      </c>
      <c r="D69">
        <v>57192301448</v>
      </c>
      <c r="E69">
        <v>88</v>
      </c>
      <c r="F69" t="str">
        <f>_xlfn.XLOOKUP(C69, '75'!$C$2:$C$1142, '75'!$F$2:$F$1142)</f>
        <v>no</v>
      </c>
    </row>
    <row r="70" spans="1:6" x14ac:dyDescent="0.45">
      <c r="A70" t="s">
        <v>492</v>
      </c>
      <c r="B70" t="s">
        <v>496</v>
      </c>
      <c r="C70">
        <v>59061428700</v>
      </c>
      <c r="D70">
        <v>59732151800</v>
      </c>
      <c r="E70">
        <v>90</v>
      </c>
      <c r="F70" t="str">
        <f>_xlfn.XLOOKUP(C70, '75'!$C$2:$C$1142, '75'!$F$2:$F$1142)</f>
        <v>no</v>
      </c>
    </row>
    <row r="71" spans="1:6" x14ac:dyDescent="0.45">
      <c r="A71" t="s">
        <v>581</v>
      </c>
      <c r="B71" t="s">
        <v>583</v>
      </c>
      <c r="C71">
        <v>57211756552</v>
      </c>
      <c r="D71">
        <v>57323476000</v>
      </c>
      <c r="E71">
        <v>88</v>
      </c>
      <c r="F71" t="str">
        <f>_xlfn.XLOOKUP(C71, '75'!$C$2:$C$1142, '75'!$F$2:$F$1142)</f>
        <v>no</v>
      </c>
    </row>
    <row r="72" spans="1:6" x14ac:dyDescent="0.45">
      <c r="A72" t="s">
        <v>506</v>
      </c>
      <c r="B72" t="s">
        <v>507</v>
      </c>
      <c r="C72">
        <v>57419438300</v>
      </c>
      <c r="D72">
        <v>58930944200</v>
      </c>
      <c r="E72">
        <v>88</v>
      </c>
      <c r="F72" t="str">
        <f>_xlfn.XLOOKUP(C72, '75'!$C$2:$C$1142, '75'!$F$2:$F$1142)</f>
        <v>no</v>
      </c>
    </row>
    <row r="73" spans="1:6" x14ac:dyDescent="0.45">
      <c r="A73" t="s">
        <v>584</v>
      </c>
      <c r="B73" t="s">
        <v>531</v>
      </c>
      <c r="C73">
        <v>57218566585</v>
      </c>
      <c r="D73">
        <v>58436524800</v>
      </c>
      <c r="E73">
        <v>88</v>
      </c>
      <c r="F73" t="str">
        <f>_xlfn.XLOOKUP(C73, '75'!$C$2:$C$1142, '75'!$F$2:$F$1142)</f>
        <v>no</v>
      </c>
    </row>
    <row r="74" spans="1:6" x14ac:dyDescent="0.45">
      <c r="A74" t="s">
        <v>602</v>
      </c>
      <c r="B74" t="s">
        <v>603</v>
      </c>
      <c r="C74">
        <v>6603359570</v>
      </c>
      <c r="D74">
        <v>56529642000</v>
      </c>
      <c r="E74">
        <v>90</v>
      </c>
      <c r="F74" t="str">
        <f>_xlfn.XLOOKUP(C74, '75'!$C$2:$C$1142, '75'!$F$2:$F$1142)</f>
        <v>ok</v>
      </c>
    </row>
    <row r="75" spans="1:6" x14ac:dyDescent="0.45">
      <c r="A75" t="s">
        <v>627</v>
      </c>
      <c r="B75" t="s">
        <v>598</v>
      </c>
      <c r="C75">
        <v>57213395060</v>
      </c>
      <c r="D75">
        <v>57219825843</v>
      </c>
      <c r="E75">
        <v>89</v>
      </c>
      <c r="F75" t="str">
        <f>_xlfn.XLOOKUP(C75, '75'!$C$2:$C$1142, '75'!$F$2:$F$1142)</f>
        <v>no</v>
      </c>
    </row>
    <row r="76" spans="1:6" x14ac:dyDescent="0.45">
      <c r="A76" t="s">
        <v>585</v>
      </c>
      <c r="B76" t="s">
        <v>531</v>
      </c>
      <c r="C76">
        <v>57226157890</v>
      </c>
      <c r="D76">
        <v>58436524800</v>
      </c>
      <c r="E76">
        <v>88</v>
      </c>
      <c r="F76" t="str">
        <f>_xlfn.XLOOKUP(C76, '75'!$C$2:$C$1142, '75'!$F$2:$F$1142)</f>
        <v>no</v>
      </c>
    </row>
    <row r="77" spans="1:6" x14ac:dyDescent="0.45">
      <c r="A77" t="s">
        <v>526</v>
      </c>
      <c r="B77" t="s">
        <v>527</v>
      </c>
      <c r="C77">
        <v>59357212900</v>
      </c>
      <c r="D77">
        <v>57207946091</v>
      </c>
      <c r="E77">
        <v>88</v>
      </c>
      <c r="F77" t="str">
        <f>_xlfn.XLOOKUP(C77, '75'!$C$2:$C$1142, '75'!$F$2:$F$1142)</f>
        <v>no</v>
      </c>
    </row>
    <row r="78" spans="1:6" x14ac:dyDescent="0.45">
      <c r="A78" t="s">
        <v>635</v>
      </c>
      <c r="B78" t="s">
        <v>636</v>
      </c>
      <c r="C78">
        <v>55992234300</v>
      </c>
      <c r="D78">
        <v>59203928900</v>
      </c>
      <c r="E78">
        <v>89</v>
      </c>
      <c r="F78" t="str">
        <f>_xlfn.XLOOKUP(C78, '75'!$C$2:$C$1142, '75'!$F$2:$F$1142)</f>
        <v>ok</v>
      </c>
    </row>
    <row r="79" spans="1:6" x14ac:dyDescent="0.45">
      <c r="A79" t="s">
        <v>641</v>
      </c>
      <c r="B79" t="s">
        <v>642</v>
      </c>
      <c r="C79">
        <v>15750967800</v>
      </c>
      <c r="D79">
        <v>56659815100</v>
      </c>
      <c r="E79">
        <v>97</v>
      </c>
      <c r="F79" t="str">
        <f>_xlfn.XLOOKUP(C79, '75'!$C$2:$C$1142, '75'!$F$2:$F$1142)</f>
        <v>ok</v>
      </c>
    </row>
    <row r="80" spans="1:6" x14ac:dyDescent="0.45">
      <c r="A80" t="s">
        <v>666</v>
      </c>
      <c r="B80" t="s">
        <v>667</v>
      </c>
      <c r="C80">
        <v>35173508900</v>
      </c>
      <c r="D80">
        <v>59393740200</v>
      </c>
      <c r="E80">
        <v>94</v>
      </c>
      <c r="F80" t="str">
        <f>_xlfn.XLOOKUP(C80, '75'!$C$2:$C$1142, '75'!$F$2:$F$1142)</f>
        <v>ok</v>
      </c>
    </row>
    <row r="81" spans="1:6" x14ac:dyDescent="0.45">
      <c r="A81" t="s">
        <v>698</v>
      </c>
      <c r="B81" t="s">
        <v>699</v>
      </c>
      <c r="C81">
        <v>57219499119</v>
      </c>
      <c r="D81">
        <v>57229919200</v>
      </c>
      <c r="E81">
        <v>89</v>
      </c>
      <c r="F81" t="str">
        <f>_xlfn.XLOOKUP(C81, '75'!$C$2:$C$1142, '75'!$F$2:$F$1142)</f>
        <v>no</v>
      </c>
    </row>
    <row r="82" spans="1:6" x14ac:dyDescent="0.45">
      <c r="A82" t="s">
        <v>707</v>
      </c>
      <c r="B82" t="s">
        <v>709</v>
      </c>
      <c r="C82">
        <v>59332737300</v>
      </c>
      <c r="D82">
        <v>58481391200</v>
      </c>
      <c r="E82">
        <v>94</v>
      </c>
      <c r="F82" t="str">
        <f>_xlfn.XLOOKUP(C82, '75'!$C$2:$C$1142, '75'!$F$2:$F$1142)</f>
        <v>no</v>
      </c>
    </row>
    <row r="83" spans="1:6" x14ac:dyDescent="0.45">
      <c r="A83" t="s">
        <v>713</v>
      </c>
      <c r="B83" t="s">
        <v>714</v>
      </c>
      <c r="C83">
        <v>57219449940</v>
      </c>
      <c r="D83">
        <v>57210807569</v>
      </c>
      <c r="E83">
        <v>92</v>
      </c>
      <c r="F83" t="str">
        <f>_xlfn.XLOOKUP(C83, '75'!$C$2:$C$1142, '75'!$F$2:$F$1142)</f>
        <v>no</v>
      </c>
    </row>
    <row r="84" spans="1:6" x14ac:dyDescent="0.45">
      <c r="A84" t="s">
        <v>725</v>
      </c>
      <c r="B84" t="s">
        <v>726</v>
      </c>
      <c r="C84">
        <v>56647738300</v>
      </c>
      <c r="D84">
        <v>58070953400</v>
      </c>
      <c r="E84">
        <v>97</v>
      </c>
      <c r="F84" t="str">
        <f>_xlfn.XLOOKUP(C84, '75'!$C$2:$C$1142, '75'!$F$2:$F$1142)</f>
        <v>ok</v>
      </c>
    </row>
    <row r="85" spans="1:6" x14ac:dyDescent="0.45">
      <c r="A85" t="s">
        <v>730</v>
      </c>
      <c r="B85" t="s">
        <v>731</v>
      </c>
      <c r="C85">
        <v>57202558154</v>
      </c>
      <c r="D85">
        <v>57202570602</v>
      </c>
      <c r="E85">
        <v>95</v>
      </c>
      <c r="F85" t="str">
        <f>_xlfn.XLOOKUP(C85, '75'!$C$2:$C$1142, '75'!$F$2:$F$1142)</f>
        <v>ok</v>
      </c>
    </row>
    <row r="86" spans="1:6" x14ac:dyDescent="0.45">
      <c r="A86" t="s">
        <v>734</v>
      </c>
      <c r="B86" t="s">
        <v>735</v>
      </c>
      <c r="C86">
        <v>57219467977</v>
      </c>
      <c r="D86">
        <v>43461611700</v>
      </c>
      <c r="E86">
        <v>97</v>
      </c>
      <c r="F86" t="str">
        <f>_xlfn.XLOOKUP(C86, '75'!$C$2:$C$1142, '75'!$F$2:$F$1142)</f>
        <v>ok</v>
      </c>
    </row>
    <row r="87" spans="1:6" x14ac:dyDescent="0.45">
      <c r="A87" t="s">
        <v>736</v>
      </c>
      <c r="B87" t="s">
        <v>733</v>
      </c>
      <c r="C87">
        <v>57213737060</v>
      </c>
      <c r="D87">
        <v>57647220300</v>
      </c>
      <c r="E87">
        <v>96</v>
      </c>
      <c r="F87" t="str">
        <f>_xlfn.XLOOKUP(C87, '75'!$C$2:$C$1142, '75'!$F$2:$F$1142)</f>
        <v>ok</v>
      </c>
    </row>
    <row r="88" spans="1:6" x14ac:dyDescent="0.45">
      <c r="A88" t="s">
        <v>737</v>
      </c>
      <c r="B88" t="s">
        <v>738</v>
      </c>
      <c r="C88">
        <v>57198433638</v>
      </c>
      <c r="D88">
        <v>57221371161</v>
      </c>
      <c r="E88">
        <v>97</v>
      </c>
      <c r="F88" t="str">
        <f>_xlfn.XLOOKUP(C88, '75'!$C$2:$C$1142, '75'!$F$2:$F$1142)</f>
        <v>ok</v>
      </c>
    </row>
    <row r="89" spans="1:6" x14ac:dyDescent="0.45">
      <c r="A89" t="s">
        <v>739</v>
      </c>
      <c r="B89" t="s">
        <v>740</v>
      </c>
      <c r="C89">
        <v>59124444900</v>
      </c>
      <c r="D89">
        <v>58862940500</v>
      </c>
      <c r="E89">
        <v>94</v>
      </c>
      <c r="F89" t="str">
        <f>_xlfn.XLOOKUP(C89, '75'!$C$2:$C$1142, '75'!$F$2:$F$1142)</f>
        <v>ok</v>
      </c>
    </row>
    <row r="90" spans="1:6" x14ac:dyDescent="0.45">
      <c r="A90" t="s">
        <v>741</v>
      </c>
      <c r="B90" t="s">
        <v>742</v>
      </c>
      <c r="C90">
        <v>24466885300</v>
      </c>
      <c r="D90">
        <v>57209368500</v>
      </c>
      <c r="E90">
        <v>98</v>
      </c>
      <c r="F90" t="str">
        <f>_xlfn.XLOOKUP(C90, '75'!$C$2:$C$1142, '75'!$F$2:$F$1142)</f>
        <v>ok</v>
      </c>
    </row>
    <row r="91" spans="1:6" x14ac:dyDescent="0.45">
      <c r="A91" t="s">
        <v>743</v>
      </c>
      <c r="B91" t="s">
        <v>744</v>
      </c>
      <c r="C91">
        <v>57214225625</v>
      </c>
      <c r="D91">
        <v>57222108764</v>
      </c>
      <c r="E91">
        <v>98</v>
      </c>
      <c r="F91" t="str">
        <f>_xlfn.XLOOKUP(C91, '75'!$C$2:$C$1142, '75'!$F$2:$F$1142)</f>
        <v>ok</v>
      </c>
    </row>
    <row r="92" spans="1:6" x14ac:dyDescent="0.45">
      <c r="A92" t="s">
        <v>743</v>
      </c>
      <c r="B92" t="s">
        <v>745</v>
      </c>
      <c r="C92">
        <v>57214225625</v>
      </c>
      <c r="D92">
        <v>57221995059</v>
      </c>
      <c r="E92">
        <v>98</v>
      </c>
      <c r="F92" t="str">
        <f>_xlfn.XLOOKUP(C92, '75'!$C$2:$C$1142, '75'!$F$2:$F$1142)</f>
        <v>ok</v>
      </c>
    </row>
    <row r="93" spans="1:6" x14ac:dyDescent="0.45">
      <c r="A93" t="s">
        <v>744</v>
      </c>
      <c r="B93" t="s">
        <v>745</v>
      </c>
      <c r="C93">
        <v>57222108764</v>
      </c>
      <c r="D93">
        <v>57221995059</v>
      </c>
      <c r="E93">
        <v>96</v>
      </c>
      <c r="F93" t="str">
        <f>_xlfn.XLOOKUP(C93, '75'!$C$2:$C$1142, '75'!$F$2:$F$1142)</f>
        <v>ok</v>
      </c>
    </row>
    <row r="94" spans="1:6" x14ac:dyDescent="0.45">
      <c r="A94" t="s">
        <v>746</v>
      </c>
      <c r="B94" t="s">
        <v>747</v>
      </c>
      <c r="C94">
        <v>58504367700</v>
      </c>
      <c r="D94">
        <v>58749655300</v>
      </c>
      <c r="E94">
        <v>97</v>
      </c>
      <c r="F94" t="str">
        <f>_xlfn.XLOOKUP(C94, '75'!$C$2:$C$1142, '75'!$F$2:$F$1142)</f>
        <v>ok</v>
      </c>
    </row>
    <row r="95" spans="1:6" x14ac:dyDescent="0.45">
      <c r="A95" t="s">
        <v>752</v>
      </c>
      <c r="B95" t="s">
        <v>753</v>
      </c>
      <c r="C95">
        <v>57189261670</v>
      </c>
      <c r="D95">
        <v>57670607700</v>
      </c>
      <c r="E95">
        <v>97</v>
      </c>
      <c r="F95" t="str">
        <f>_xlfn.XLOOKUP(C95, '75'!$C$2:$C$1142, '75'!$F$2:$F$1142)</f>
        <v>ok</v>
      </c>
    </row>
    <row r="96" spans="1:6" x14ac:dyDescent="0.45">
      <c r="A96" t="s">
        <v>754</v>
      </c>
      <c r="B96" t="s">
        <v>755</v>
      </c>
      <c r="C96">
        <v>58494532600</v>
      </c>
      <c r="D96">
        <v>58555668700</v>
      </c>
      <c r="E96">
        <v>94</v>
      </c>
      <c r="F96" t="str">
        <f>_xlfn.XLOOKUP(C96, '75'!$C$2:$C$1142, '75'!$F$2:$F$1142)</f>
        <v>ok</v>
      </c>
    </row>
    <row r="97" spans="1:6" x14ac:dyDescent="0.45">
      <c r="A97" t="s">
        <v>756</v>
      </c>
      <c r="B97" t="s">
        <v>758</v>
      </c>
      <c r="C97">
        <v>57208216498</v>
      </c>
      <c r="D97">
        <v>57703123400</v>
      </c>
      <c r="E97">
        <v>96</v>
      </c>
      <c r="F97" t="str">
        <f>_xlfn.XLOOKUP(C97, '75'!$C$2:$C$1142, '75'!$F$2:$F$1142)</f>
        <v>no</v>
      </c>
    </row>
    <row r="98" spans="1:6" x14ac:dyDescent="0.45">
      <c r="A98" t="s">
        <v>766</v>
      </c>
      <c r="B98" t="s">
        <v>767</v>
      </c>
      <c r="C98">
        <v>6602329029</v>
      </c>
      <c r="D98">
        <v>57226822784</v>
      </c>
      <c r="E98">
        <v>93</v>
      </c>
      <c r="F98" t="str">
        <f>_xlfn.XLOOKUP(C98, '75'!$C$2:$C$1142, '75'!$F$2:$F$1142)</f>
        <v>ok</v>
      </c>
    </row>
    <row r="99" spans="1:6" x14ac:dyDescent="0.45">
      <c r="A99" t="s">
        <v>762</v>
      </c>
      <c r="B99" t="s">
        <v>763</v>
      </c>
      <c r="C99">
        <v>57205682246</v>
      </c>
      <c r="D99">
        <v>58740176100</v>
      </c>
      <c r="E99">
        <v>92</v>
      </c>
      <c r="F99" t="str">
        <f>_xlfn.XLOOKUP(C99, '75'!$C$2:$C$1142, '75'!$F$2:$F$1142)</f>
        <v>no</v>
      </c>
    </row>
    <row r="100" spans="1:6" x14ac:dyDescent="0.45">
      <c r="A100" t="s">
        <v>786</v>
      </c>
      <c r="B100" t="s">
        <v>774</v>
      </c>
      <c r="C100">
        <v>57210949071</v>
      </c>
      <c r="D100">
        <v>35332915800</v>
      </c>
      <c r="E100">
        <v>92</v>
      </c>
      <c r="F100" t="str">
        <f>_xlfn.XLOOKUP(C100, '75'!$C$2:$C$1142, '75'!$F$2:$F$1142)</f>
        <v>no</v>
      </c>
    </row>
    <row r="101" spans="1:6" x14ac:dyDescent="0.45">
      <c r="A101" t="s">
        <v>793</v>
      </c>
      <c r="B101" t="s">
        <v>794</v>
      </c>
      <c r="C101">
        <v>7003880452</v>
      </c>
      <c r="D101">
        <v>57271323300</v>
      </c>
      <c r="E101">
        <v>91</v>
      </c>
      <c r="F101" t="str">
        <f>_xlfn.XLOOKUP(C101, '75'!$C$2:$C$1142, '75'!$F$2:$F$1142)</f>
        <v>ok</v>
      </c>
    </row>
    <row r="102" spans="1:6" x14ac:dyDescent="0.45">
      <c r="A102" t="s">
        <v>795</v>
      </c>
      <c r="B102" t="s">
        <v>796</v>
      </c>
      <c r="C102">
        <v>6701849102</v>
      </c>
      <c r="D102">
        <v>59624866300</v>
      </c>
      <c r="E102">
        <v>93</v>
      </c>
      <c r="F102" t="str">
        <f>_xlfn.XLOOKUP(C102, '75'!$C$2:$C$1142, '75'!$F$2:$F$1142)</f>
        <v>ok</v>
      </c>
    </row>
    <row r="103" spans="1:6" x14ac:dyDescent="0.45">
      <c r="A103" t="s">
        <v>795</v>
      </c>
      <c r="B103" t="s">
        <v>797</v>
      </c>
      <c r="C103">
        <v>6701849102</v>
      </c>
      <c r="D103">
        <v>57998650100</v>
      </c>
      <c r="E103">
        <v>90</v>
      </c>
      <c r="F103" t="str">
        <f>_xlfn.XLOOKUP(C103, '75'!$C$2:$C$1142, '75'!$F$2:$F$1142)</f>
        <v>ok</v>
      </c>
    </row>
    <row r="104" spans="1:6" x14ac:dyDescent="0.45">
      <c r="A104" t="s">
        <v>796</v>
      </c>
      <c r="B104" t="s">
        <v>797</v>
      </c>
      <c r="C104">
        <v>59624866300</v>
      </c>
      <c r="D104">
        <v>57998650100</v>
      </c>
      <c r="E104">
        <v>97</v>
      </c>
      <c r="F104" t="str">
        <f>_xlfn.XLOOKUP(C104, '75'!$C$2:$C$1142, '75'!$F$2:$F$1142)</f>
        <v>ok</v>
      </c>
    </row>
    <row r="105" spans="1:6" x14ac:dyDescent="0.45">
      <c r="A105" t="s">
        <v>806</v>
      </c>
      <c r="B105" t="s">
        <v>807</v>
      </c>
      <c r="C105">
        <v>6603622358</v>
      </c>
      <c r="D105">
        <v>58554273300</v>
      </c>
      <c r="E105">
        <v>94</v>
      </c>
      <c r="F105" t="str">
        <f>_xlfn.XLOOKUP(C105, '75'!$C$2:$C$1142, '75'!$F$2:$F$1142)</f>
        <v>ok</v>
      </c>
    </row>
    <row r="106" spans="1:6" x14ac:dyDescent="0.45">
      <c r="A106" t="s">
        <v>816</v>
      </c>
      <c r="B106" t="s">
        <v>817</v>
      </c>
      <c r="C106">
        <v>55902405400</v>
      </c>
      <c r="D106">
        <v>59245189400</v>
      </c>
      <c r="E106">
        <v>93</v>
      </c>
      <c r="F106" t="str">
        <f>_xlfn.XLOOKUP(C106, '75'!$C$2:$C$1142, '75'!$F$2:$F$1142)</f>
        <v>ok</v>
      </c>
    </row>
    <row r="107" spans="1:6" x14ac:dyDescent="0.45">
      <c r="A107" t="s">
        <v>820</v>
      </c>
      <c r="B107" t="s">
        <v>821</v>
      </c>
      <c r="C107">
        <v>6602954500</v>
      </c>
      <c r="D107">
        <v>58222269900</v>
      </c>
      <c r="E107">
        <v>91</v>
      </c>
      <c r="F107" t="str">
        <f>_xlfn.XLOOKUP(C107, '75'!$C$2:$C$1142, '75'!$F$2:$F$1142)</f>
        <v>ok</v>
      </c>
    </row>
    <row r="108" spans="1:6" x14ac:dyDescent="0.45">
      <c r="A108" t="s">
        <v>822</v>
      </c>
      <c r="B108" t="s">
        <v>823</v>
      </c>
      <c r="C108">
        <v>32868158100</v>
      </c>
      <c r="D108">
        <v>57996986400</v>
      </c>
      <c r="E108">
        <v>96</v>
      </c>
      <c r="F108" t="str">
        <f>_xlfn.XLOOKUP(C108, '75'!$C$2:$C$1142, '75'!$F$2:$F$1142)</f>
        <v>ok</v>
      </c>
    </row>
    <row r="109" spans="1:6" x14ac:dyDescent="0.45">
      <c r="A109" t="s">
        <v>882</v>
      </c>
      <c r="B109" t="s">
        <v>883</v>
      </c>
      <c r="C109">
        <v>57209473457</v>
      </c>
      <c r="D109">
        <v>58076956700</v>
      </c>
      <c r="E109">
        <v>90</v>
      </c>
      <c r="F109" t="str">
        <f>_xlfn.XLOOKUP(C109, '75'!$C$2:$C$1142, '75'!$F$2:$F$1142)</f>
        <v>no</v>
      </c>
    </row>
    <row r="110" spans="1:6" x14ac:dyDescent="0.45">
      <c r="A110" t="s">
        <v>896</v>
      </c>
      <c r="B110" t="s">
        <v>897</v>
      </c>
      <c r="C110">
        <v>58677312100</v>
      </c>
      <c r="D110">
        <v>57997738900</v>
      </c>
      <c r="E110">
        <v>96</v>
      </c>
      <c r="F110" t="str">
        <f>_xlfn.XLOOKUP(C110, '75'!$C$2:$C$1142, '75'!$F$2:$F$1142)</f>
        <v>ok</v>
      </c>
    </row>
    <row r="111" spans="1:6" x14ac:dyDescent="0.45">
      <c r="A111" t="s">
        <v>911</v>
      </c>
      <c r="B111" t="s">
        <v>913</v>
      </c>
      <c r="C111">
        <v>59331322000</v>
      </c>
      <c r="D111">
        <v>58290657600</v>
      </c>
      <c r="E111">
        <v>90</v>
      </c>
      <c r="F111" t="str">
        <f>_xlfn.XLOOKUP(C111, '75'!$C$2:$C$1142, '75'!$F$2:$F$1142)</f>
        <v>no</v>
      </c>
    </row>
    <row r="112" spans="1:6" x14ac:dyDescent="0.45">
      <c r="A112" t="s">
        <v>928</v>
      </c>
      <c r="B112" t="s">
        <v>929</v>
      </c>
      <c r="C112">
        <v>57894855100</v>
      </c>
      <c r="D112">
        <v>58187878100</v>
      </c>
      <c r="E112">
        <v>98</v>
      </c>
      <c r="F112" t="str">
        <f>_xlfn.XLOOKUP(C112, '75'!$C$2:$C$1142, '75'!$F$2:$F$1142)</f>
        <v>ok</v>
      </c>
    </row>
    <row r="113" spans="1:6" x14ac:dyDescent="0.45">
      <c r="A113" t="s">
        <v>945</v>
      </c>
      <c r="B113" t="s">
        <v>946</v>
      </c>
      <c r="C113">
        <v>57219942757</v>
      </c>
      <c r="D113">
        <v>58196547100</v>
      </c>
      <c r="E113">
        <v>94</v>
      </c>
      <c r="F113" t="str">
        <f>_xlfn.XLOOKUP(C113, '75'!$C$2:$C$1142, '75'!$F$2:$F$1142)</f>
        <v>ok</v>
      </c>
    </row>
    <row r="114" spans="1:6" x14ac:dyDescent="0.45">
      <c r="A114" t="s">
        <v>967</v>
      </c>
      <c r="B114" t="s">
        <v>968</v>
      </c>
      <c r="C114">
        <v>57219292286</v>
      </c>
      <c r="D114">
        <v>57214823165</v>
      </c>
      <c r="E114">
        <v>96</v>
      </c>
      <c r="F114" t="str">
        <f>_xlfn.XLOOKUP(C114, '75'!$C$2:$C$1142, '75'!$F$2:$F$1142)</f>
        <v>ok</v>
      </c>
    </row>
    <row r="115" spans="1:6" x14ac:dyDescent="0.45">
      <c r="A115" t="s">
        <v>969</v>
      </c>
      <c r="B115" t="s">
        <v>970</v>
      </c>
      <c r="C115">
        <v>57217129575</v>
      </c>
      <c r="D115">
        <v>57383215700</v>
      </c>
      <c r="E115">
        <v>96</v>
      </c>
      <c r="F115" t="str">
        <f>_xlfn.XLOOKUP(C115, '75'!$C$2:$C$1142, '75'!$F$2:$F$1142)</f>
        <v>no</v>
      </c>
    </row>
    <row r="116" spans="1:6" x14ac:dyDescent="0.45">
      <c r="A116" t="s">
        <v>977</v>
      </c>
      <c r="B116" t="s">
        <v>978</v>
      </c>
      <c r="C116">
        <v>57196029837</v>
      </c>
      <c r="D116">
        <v>57211444621</v>
      </c>
      <c r="E116">
        <v>98</v>
      </c>
      <c r="F116" t="str">
        <f>_xlfn.XLOOKUP(C116, '75'!$C$2:$C$1142, '75'!$F$2:$F$1142)</f>
        <v>ok</v>
      </c>
    </row>
    <row r="117" spans="1:6" x14ac:dyDescent="0.45">
      <c r="A117" t="s">
        <v>979</v>
      </c>
      <c r="B117" t="s">
        <v>980</v>
      </c>
      <c r="C117">
        <v>24178542700</v>
      </c>
      <c r="D117">
        <v>58917995400</v>
      </c>
      <c r="E117">
        <v>95</v>
      </c>
      <c r="F117" t="str">
        <f>_xlfn.XLOOKUP(C117, '75'!$C$2:$C$1142, '75'!$F$2:$F$1142)</f>
        <v>ok</v>
      </c>
    </row>
    <row r="118" spans="1:6" x14ac:dyDescent="0.45">
      <c r="A118" t="s">
        <v>1015</v>
      </c>
      <c r="B118" t="s">
        <v>1016</v>
      </c>
      <c r="C118">
        <v>56178007800</v>
      </c>
      <c r="D118">
        <v>57221311967</v>
      </c>
      <c r="E118">
        <v>93</v>
      </c>
      <c r="F118" t="str">
        <f>_xlfn.XLOOKUP(C118, '75'!$C$2:$C$1142, '75'!$F$2:$F$1142)</f>
        <v>no</v>
      </c>
    </row>
    <row r="119" spans="1:6" x14ac:dyDescent="0.45">
      <c r="A119" t="s">
        <v>985</v>
      </c>
      <c r="B119" t="s">
        <v>1026</v>
      </c>
      <c r="C119">
        <v>57226131863</v>
      </c>
      <c r="D119">
        <v>57218868125</v>
      </c>
      <c r="E119">
        <v>89</v>
      </c>
      <c r="F119" t="str">
        <f>_xlfn.XLOOKUP(C119, '75'!$C$2:$C$1142, '75'!$F$2:$F$1142)</f>
        <v>no</v>
      </c>
    </row>
    <row r="120" spans="1:6" x14ac:dyDescent="0.45">
      <c r="A120" t="s">
        <v>1010</v>
      </c>
      <c r="B120" t="s">
        <v>1013</v>
      </c>
      <c r="C120">
        <v>57216771994</v>
      </c>
      <c r="D120">
        <v>7601513640</v>
      </c>
      <c r="E120">
        <v>94</v>
      </c>
      <c r="F120" t="str">
        <f>_xlfn.XLOOKUP(C120, '75'!$C$2:$C$1142, '75'!$F$2:$F$1142)</f>
        <v>no</v>
      </c>
    </row>
    <row r="121" spans="1:6" x14ac:dyDescent="0.45">
      <c r="A121" t="s">
        <v>1029</v>
      </c>
      <c r="B121" t="s">
        <v>1013</v>
      </c>
      <c r="C121">
        <v>57222498131</v>
      </c>
      <c r="D121">
        <v>7601513640</v>
      </c>
      <c r="E121">
        <v>89</v>
      </c>
      <c r="F121" t="str">
        <f>_xlfn.XLOOKUP(C121, '75'!$C$2:$C$1142, '75'!$F$2:$F$1142)</f>
        <v>no</v>
      </c>
    </row>
    <row r="122" spans="1:6" x14ac:dyDescent="0.45">
      <c r="A122" t="s">
        <v>1086</v>
      </c>
      <c r="B122" t="s">
        <v>1087</v>
      </c>
      <c r="C122">
        <v>35147042400</v>
      </c>
      <c r="D122">
        <v>57219498582</v>
      </c>
      <c r="E122">
        <v>95</v>
      </c>
      <c r="F122" t="str">
        <f>_xlfn.XLOOKUP(C122, '75'!$C$2:$C$1142, '75'!$F$2:$F$1142)</f>
        <v>no</v>
      </c>
    </row>
    <row r="123" spans="1:6" x14ac:dyDescent="0.45">
      <c r="A123" t="s">
        <v>1103</v>
      </c>
      <c r="B123" t="s">
        <v>1106</v>
      </c>
      <c r="C123">
        <v>59130540100</v>
      </c>
      <c r="D123">
        <v>56675471800</v>
      </c>
      <c r="E123">
        <v>89</v>
      </c>
      <c r="F123" t="str">
        <f>_xlfn.XLOOKUP(C123, '75'!$C$2:$C$1142, '75'!$F$2:$F$1142)</f>
        <v>no</v>
      </c>
    </row>
    <row r="124" spans="1:6" x14ac:dyDescent="0.45">
      <c r="A124" t="s">
        <v>1104</v>
      </c>
      <c r="B124" t="s">
        <v>1108</v>
      </c>
      <c r="C124">
        <v>57193678960</v>
      </c>
      <c r="D124">
        <v>55330996300</v>
      </c>
      <c r="E124">
        <v>90</v>
      </c>
      <c r="F124" t="str">
        <f>_xlfn.XLOOKUP(C124, '75'!$C$2:$C$1142, '75'!$F$2:$F$1142)</f>
        <v>no</v>
      </c>
    </row>
    <row r="125" spans="1:6" x14ac:dyDescent="0.45">
      <c r="A125" t="s">
        <v>1134</v>
      </c>
      <c r="B125" t="s">
        <v>1137</v>
      </c>
      <c r="C125">
        <v>57202010045</v>
      </c>
      <c r="D125">
        <v>58659062200</v>
      </c>
      <c r="E125">
        <v>96</v>
      </c>
      <c r="F125" t="str">
        <f>_xlfn.XLOOKUP(C125, '75'!$C$2:$C$1142, '75'!$F$2:$F$1142)</f>
        <v>no</v>
      </c>
    </row>
    <row r="126" spans="1:6" x14ac:dyDescent="0.45">
      <c r="A126" t="s">
        <v>1105</v>
      </c>
      <c r="B126" t="s">
        <v>1108</v>
      </c>
      <c r="C126">
        <v>57192159108</v>
      </c>
      <c r="D126">
        <v>55330996300</v>
      </c>
      <c r="E126">
        <v>95</v>
      </c>
      <c r="F126" t="str">
        <f>_xlfn.XLOOKUP(C126, '75'!$C$2:$C$1142, '75'!$F$2:$F$1142)</f>
        <v>no</v>
      </c>
    </row>
    <row r="127" spans="1:6" x14ac:dyDescent="0.45">
      <c r="A127" t="s">
        <v>1150</v>
      </c>
      <c r="B127" t="s">
        <v>1151</v>
      </c>
      <c r="C127">
        <v>57195335713</v>
      </c>
      <c r="D127">
        <v>57210362788</v>
      </c>
      <c r="E127">
        <v>88</v>
      </c>
      <c r="F127" t="str">
        <f>_xlfn.XLOOKUP(C127, '75'!$C$2:$C$1142, '75'!$F$2:$F$1142)</f>
        <v>no</v>
      </c>
    </row>
    <row r="128" spans="1:6" x14ac:dyDescent="0.45">
      <c r="A128" t="s">
        <v>1143</v>
      </c>
      <c r="B128" t="s">
        <v>1146</v>
      </c>
      <c r="C128">
        <v>58148929600</v>
      </c>
      <c r="D128">
        <v>57732522100</v>
      </c>
      <c r="E128">
        <v>88</v>
      </c>
      <c r="F128" t="str">
        <f>_xlfn.XLOOKUP(C128, '75'!$C$2:$C$1142, '75'!$F$2:$F$1142)</f>
        <v>no</v>
      </c>
    </row>
    <row r="129" spans="1:6" x14ac:dyDescent="0.45">
      <c r="A129" t="s">
        <v>1152</v>
      </c>
      <c r="B129" t="s">
        <v>1162</v>
      </c>
      <c r="C129">
        <v>57197774098</v>
      </c>
      <c r="D129">
        <v>57221753163</v>
      </c>
      <c r="E129">
        <v>88</v>
      </c>
      <c r="F129" t="str">
        <f>_xlfn.XLOOKUP(C129, '75'!$C$2:$C$1142, '75'!$F$2:$F$1142)</f>
        <v>no</v>
      </c>
    </row>
    <row r="130" spans="1:6" x14ac:dyDescent="0.45">
      <c r="A130" t="s">
        <v>1175</v>
      </c>
      <c r="B130" t="s">
        <v>1176</v>
      </c>
      <c r="C130">
        <v>57215871469</v>
      </c>
      <c r="D130">
        <v>59469547500</v>
      </c>
      <c r="E130">
        <v>91</v>
      </c>
      <c r="F130" t="str">
        <f>_xlfn.XLOOKUP(C130, '75'!$C$2:$C$1142, '75'!$F$2:$F$1142)</f>
        <v>ok</v>
      </c>
    </row>
    <row r="131" spans="1:6" x14ac:dyDescent="0.45">
      <c r="A131" t="s">
        <v>1153</v>
      </c>
      <c r="B131" t="s">
        <v>1138</v>
      </c>
      <c r="C131">
        <v>56652361000</v>
      </c>
      <c r="D131">
        <v>56420749300</v>
      </c>
      <c r="E131">
        <v>89</v>
      </c>
      <c r="F131" t="str">
        <f>_xlfn.XLOOKUP(C131, '75'!$C$2:$C$1142, '75'!$F$2:$F$1142)</f>
        <v>no</v>
      </c>
    </row>
    <row r="132" spans="1:6" x14ac:dyDescent="0.45">
      <c r="A132" t="s">
        <v>1153</v>
      </c>
      <c r="B132" t="s">
        <v>1142</v>
      </c>
      <c r="C132">
        <v>56652361000</v>
      </c>
      <c r="D132">
        <v>56591076800</v>
      </c>
      <c r="E132">
        <v>89</v>
      </c>
      <c r="F132" t="str">
        <f>_xlfn.XLOOKUP(C132, '75'!$C$2:$C$1142, '75'!$F$2:$F$1142)</f>
        <v>no</v>
      </c>
    </row>
    <row r="133" spans="1:6" x14ac:dyDescent="0.45">
      <c r="A133" t="s">
        <v>1153</v>
      </c>
      <c r="B133" t="s">
        <v>1159</v>
      </c>
      <c r="C133">
        <v>56652361000</v>
      </c>
      <c r="D133">
        <v>59814155200</v>
      </c>
      <c r="E133">
        <v>89</v>
      </c>
      <c r="F133" t="str">
        <f>_xlfn.XLOOKUP(C133, '75'!$C$2:$C$1142, '75'!$F$2:$F$1142)</f>
        <v>no</v>
      </c>
    </row>
    <row r="134" spans="1:6" x14ac:dyDescent="0.45">
      <c r="A134" t="s">
        <v>1108</v>
      </c>
      <c r="B134" t="s">
        <v>1112</v>
      </c>
      <c r="C134">
        <v>55330996300</v>
      </c>
      <c r="D134">
        <v>57220902381</v>
      </c>
      <c r="E134">
        <v>91</v>
      </c>
      <c r="F134" t="str">
        <f>_xlfn.XLOOKUP(C134, '75'!$C$2:$C$1142, '75'!$F$2:$F$1142)</f>
        <v>no</v>
      </c>
    </row>
    <row r="135" spans="1:6" x14ac:dyDescent="0.45">
      <c r="A135" t="s">
        <v>1184</v>
      </c>
      <c r="B135" t="s">
        <v>1131</v>
      </c>
      <c r="C135">
        <v>59305816100</v>
      </c>
      <c r="D135">
        <v>57195715824</v>
      </c>
      <c r="E135">
        <v>88</v>
      </c>
      <c r="F135" t="str">
        <f>_xlfn.XLOOKUP(C135, '75'!$C$2:$C$1142, '75'!$F$2:$F$1142)</f>
        <v>no</v>
      </c>
    </row>
    <row r="136" spans="1:6" x14ac:dyDescent="0.45">
      <c r="A136" t="s">
        <v>1124</v>
      </c>
      <c r="B136" t="s">
        <v>1180</v>
      </c>
      <c r="C136">
        <v>57770966500</v>
      </c>
      <c r="D136">
        <v>58438192400</v>
      </c>
      <c r="E136">
        <v>89</v>
      </c>
      <c r="F136" t="str">
        <f>_xlfn.XLOOKUP(C136, '75'!$C$2:$C$1142, '75'!$F$2:$F$1142)</f>
        <v>no</v>
      </c>
    </row>
    <row r="137" spans="1:6" x14ac:dyDescent="0.45">
      <c r="A137" t="s">
        <v>1156</v>
      </c>
      <c r="B137" t="s">
        <v>1142</v>
      </c>
      <c r="C137">
        <v>57545971500</v>
      </c>
      <c r="D137">
        <v>56591076800</v>
      </c>
      <c r="E137">
        <v>90</v>
      </c>
      <c r="F137" t="str">
        <f>_xlfn.XLOOKUP(C137, '75'!$C$2:$C$1142, '75'!$F$2:$F$1142)</f>
        <v>no</v>
      </c>
    </row>
    <row r="138" spans="1:6" x14ac:dyDescent="0.45">
      <c r="A138" t="s">
        <v>1142</v>
      </c>
      <c r="B138" t="s">
        <v>1159</v>
      </c>
      <c r="C138">
        <v>56591076800</v>
      </c>
      <c r="D138">
        <v>59814155200</v>
      </c>
      <c r="E138">
        <v>89</v>
      </c>
      <c r="F138" t="str">
        <f>_xlfn.XLOOKUP(C138, '75'!$C$2:$C$1142, '75'!$F$2:$F$1142)</f>
        <v>no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3892E-9301-41B4-81A0-146A7990D126}">
  <dimension ref="A1:J110"/>
  <sheetViews>
    <sheetView workbookViewId="0">
      <selection activeCell="J4" sqref="J4"/>
    </sheetView>
  </sheetViews>
  <sheetFormatPr defaultRowHeight="14.25" x14ac:dyDescent="0.45"/>
  <cols>
    <col min="1" max="1" width="21.46484375" bestFit="1" customWidth="1"/>
    <col min="2" max="2" width="23.6640625" bestFit="1" customWidth="1"/>
    <col min="3" max="4" width="11.73046875" bestFit="1" customWidth="1"/>
    <col min="5" max="5" width="13.464843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1200</v>
      </c>
    </row>
    <row r="2" spans="1:10" x14ac:dyDescent="0.45">
      <c r="A2" t="s">
        <v>21</v>
      </c>
      <c r="B2" t="s">
        <v>22</v>
      </c>
      <c r="C2">
        <v>55105815400</v>
      </c>
      <c r="D2">
        <v>57216688017</v>
      </c>
      <c r="E2">
        <v>90</v>
      </c>
      <c r="F2" t="str">
        <f>_xlfn.XLOOKUP(C2, '75'!$C$2:$C$1142, '75'!$F$2:$F$1142)</f>
        <v>ok</v>
      </c>
      <c r="H2" t="s">
        <v>1198</v>
      </c>
      <c r="I2">
        <f>COUNTIF(F2:F110, "ok")/109</f>
        <v>0.7155963302752294</v>
      </c>
      <c r="J2">
        <f>I2*109</f>
        <v>78</v>
      </c>
    </row>
    <row r="3" spans="1:10" x14ac:dyDescent="0.45">
      <c r="A3" t="s">
        <v>25</v>
      </c>
      <c r="B3" t="s">
        <v>26</v>
      </c>
      <c r="C3">
        <v>57218423351</v>
      </c>
      <c r="D3">
        <v>56965067200</v>
      </c>
      <c r="E3">
        <v>95</v>
      </c>
      <c r="F3" t="str">
        <f>_xlfn.XLOOKUP(C3, '75'!$C$2:$C$1142, '75'!$F$2:$F$1142)</f>
        <v>ok</v>
      </c>
      <c r="I3">
        <f>COUNTIF(F2:F110, "no")/109</f>
        <v>0.28440366972477066</v>
      </c>
      <c r="J3">
        <f>I3*109</f>
        <v>31</v>
      </c>
    </row>
    <row r="4" spans="1:10" x14ac:dyDescent="0.45">
      <c r="A4" t="s">
        <v>35</v>
      </c>
      <c r="B4" t="s">
        <v>36</v>
      </c>
      <c r="C4">
        <v>56654006700</v>
      </c>
      <c r="D4">
        <v>7102310616</v>
      </c>
      <c r="E4">
        <v>93</v>
      </c>
      <c r="F4" t="str">
        <f>_xlfn.XLOOKUP(C4, '75'!$C$2:$C$1142, '75'!$F$2:$F$1142)</f>
        <v>ok</v>
      </c>
    </row>
    <row r="5" spans="1:10" x14ac:dyDescent="0.45">
      <c r="A5" t="s">
        <v>42</v>
      </c>
      <c r="B5" t="s">
        <v>43</v>
      </c>
      <c r="C5">
        <v>6602479101</v>
      </c>
      <c r="D5">
        <v>59465106300</v>
      </c>
      <c r="E5">
        <v>92</v>
      </c>
      <c r="F5" t="str">
        <f>_xlfn.XLOOKUP(C5, '75'!$C$2:$C$1142, '75'!$F$2:$F$1142)</f>
        <v>ok</v>
      </c>
    </row>
    <row r="6" spans="1:10" x14ac:dyDescent="0.45">
      <c r="A6" t="s">
        <v>42</v>
      </c>
      <c r="B6" t="s">
        <v>44</v>
      </c>
      <c r="C6">
        <v>6602479101</v>
      </c>
      <c r="D6">
        <v>59119893600</v>
      </c>
      <c r="E6">
        <v>92</v>
      </c>
      <c r="F6" t="str">
        <f>_xlfn.XLOOKUP(C6, '75'!$C$2:$C$1142, '75'!$F$2:$F$1142)</f>
        <v>ok</v>
      </c>
    </row>
    <row r="7" spans="1:10" x14ac:dyDescent="0.45">
      <c r="A7" t="s">
        <v>49</v>
      </c>
      <c r="B7" t="s">
        <v>50</v>
      </c>
      <c r="C7">
        <v>42760951000</v>
      </c>
      <c r="D7">
        <v>57937968100</v>
      </c>
      <c r="E7">
        <v>91</v>
      </c>
      <c r="F7" t="str">
        <f>_xlfn.XLOOKUP(C7, '75'!$C$2:$C$1142, '75'!$F$2:$F$1142)</f>
        <v>ok</v>
      </c>
    </row>
    <row r="8" spans="1:10" x14ac:dyDescent="0.45">
      <c r="A8" t="s">
        <v>51</v>
      </c>
      <c r="B8" t="s">
        <v>52</v>
      </c>
      <c r="C8">
        <v>57204216471</v>
      </c>
      <c r="D8">
        <v>7004856179</v>
      </c>
      <c r="E8">
        <v>93</v>
      </c>
      <c r="F8" t="str">
        <f>_xlfn.XLOOKUP(C8, '75'!$C$2:$C$1142, '75'!$F$2:$F$1142)</f>
        <v>ok</v>
      </c>
    </row>
    <row r="9" spans="1:10" x14ac:dyDescent="0.45">
      <c r="A9" t="s">
        <v>59</v>
      </c>
      <c r="B9" t="s">
        <v>60</v>
      </c>
      <c r="C9">
        <v>7004232335</v>
      </c>
      <c r="D9">
        <v>57218515194</v>
      </c>
      <c r="E9">
        <v>96</v>
      </c>
      <c r="F9" t="str">
        <f>_xlfn.XLOOKUP(C9, '75'!$C$2:$C$1142, '75'!$F$2:$F$1142)</f>
        <v>ok</v>
      </c>
    </row>
    <row r="10" spans="1:10" x14ac:dyDescent="0.45">
      <c r="A10" t="s">
        <v>71</v>
      </c>
      <c r="B10" t="s">
        <v>72</v>
      </c>
      <c r="C10">
        <v>24433859000</v>
      </c>
      <c r="D10">
        <v>57225808826</v>
      </c>
      <c r="E10">
        <v>90</v>
      </c>
      <c r="F10" t="str">
        <f>_xlfn.XLOOKUP(C10, '75'!$C$2:$C$1142, '75'!$F$2:$F$1142)</f>
        <v>ok</v>
      </c>
    </row>
    <row r="11" spans="1:10" x14ac:dyDescent="0.45">
      <c r="A11" t="s">
        <v>80</v>
      </c>
      <c r="B11" t="s">
        <v>81</v>
      </c>
      <c r="C11">
        <v>58480796700</v>
      </c>
      <c r="D11">
        <v>59482580700</v>
      </c>
      <c r="E11">
        <v>92</v>
      </c>
      <c r="F11" t="str">
        <f>_xlfn.XLOOKUP(C11, '75'!$C$2:$C$1142, '75'!$F$2:$F$1142)</f>
        <v>ok</v>
      </c>
    </row>
    <row r="12" spans="1:10" x14ac:dyDescent="0.45">
      <c r="A12" t="s">
        <v>82</v>
      </c>
      <c r="B12" t="s">
        <v>83</v>
      </c>
      <c r="C12">
        <v>57195104543</v>
      </c>
      <c r="D12">
        <v>59812475700</v>
      </c>
      <c r="E12">
        <v>96</v>
      </c>
      <c r="F12" t="str">
        <f>_xlfn.XLOOKUP(C12, '75'!$C$2:$C$1142, '75'!$F$2:$F$1142)</f>
        <v>ok</v>
      </c>
    </row>
    <row r="13" spans="1:10" x14ac:dyDescent="0.45">
      <c r="A13" t="s">
        <v>84</v>
      </c>
      <c r="B13" t="s">
        <v>85</v>
      </c>
      <c r="C13">
        <v>7005488549</v>
      </c>
      <c r="D13">
        <v>58680470600</v>
      </c>
      <c r="E13">
        <v>93</v>
      </c>
      <c r="F13" t="str">
        <f>_xlfn.XLOOKUP(C13, '75'!$C$2:$C$1142, '75'!$F$2:$F$1142)</f>
        <v>ok</v>
      </c>
    </row>
    <row r="14" spans="1:10" x14ac:dyDescent="0.45">
      <c r="A14" t="s">
        <v>86</v>
      </c>
      <c r="B14" t="s">
        <v>87</v>
      </c>
      <c r="C14">
        <v>16416871500</v>
      </c>
      <c r="D14">
        <v>57221322504</v>
      </c>
      <c r="E14">
        <v>93</v>
      </c>
      <c r="F14" t="str">
        <f>_xlfn.XLOOKUP(C14, '75'!$C$2:$C$1142, '75'!$F$2:$F$1142)</f>
        <v>ok</v>
      </c>
    </row>
    <row r="15" spans="1:10" x14ac:dyDescent="0.45">
      <c r="A15" t="s">
        <v>114</v>
      </c>
      <c r="B15" t="s">
        <v>127</v>
      </c>
      <c r="C15">
        <v>56040387500</v>
      </c>
      <c r="D15">
        <v>59353414700</v>
      </c>
      <c r="E15">
        <v>90</v>
      </c>
      <c r="F15" t="str">
        <f>_xlfn.XLOOKUP(C15, '75'!$C$2:$C$1142, '75'!$F$2:$F$1142)</f>
        <v>no</v>
      </c>
    </row>
    <row r="16" spans="1:10" x14ac:dyDescent="0.45">
      <c r="A16" t="s">
        <v>95</v>
      </c>
      <c r="B16" t="s">
        <v>129</v>
      </c>
      <c r="C16">
        <v>35306560600</v>
      </c>
      <c r="D16">
        <v>57382754500</v>
      </c>
      <c r="E16">
        <v>95</v>
      </c>
      <c r="F16" t="str">
        <f>_xlfn.XLOOKUP(C16, '75'!$C$2:$C$1142, '75'!$F$2:$F$1142)</f>
        <v>no</v>
      </c>
    </row>
    <row r="17" spans="1:6" x14ac:dyDescent="0.45">
      <c r="A17" t="s">
        <v>95</v>
      </c>
      <c r="B17" t="s">
        <v>130</v>
      </c>
      <c r="C17">
        <v>35306560600</v>
      </c>
      <c r="D17">
        <v>55447267000</v>
      </c>
      <c r="E17">
        <v>95</v>
      </c>
      <c r="F17" t="str">
        <f>_xlfn.XLOOKUP(C17, '75'!$C$2:$C$1142, '75'!$F$2:$F$1142)</f>
        <v>no</v>
      </c>
    </row>
    <row r="18" spans="1:6" x14ac:dyDescent="0.45">
      <c r="A18" t="s">
        <v>154</v>
      </c>
      <c r="B18" t="s">
        <v>155</v>
      </c>
      <c r="C18">
        <v>56085514500</v>
      </c>
      <c r="D18">
        <v>59501786900</v>
      </c>
      <c r="E18">
        <v>92</v>
      </c>
      <c r="F18" t="str">
        <f>_xlfn.XLOOKUP(C18, '75'!$C$2:$C$1142, '75'!$F$2:$F$1142)</f>
        <v>ok</v>
      </c>
    </row>
    <row r="19" spans="1:6" x14ac:dyDescent="0.45">
      <c r="A19" t="s">
        <v>129</v>
      </c>
      <c r="B19" t="s">
        <v>130</v>
      </c>
      <c r="C19">
        <v>57382754500</v>
      </c>
      <c r="D19">
        <v>55447267000</v>
      </c>
      <c r="E19">
        <v>90</v>
      </c>
      <c r="F19" t="str">
        <f>_xlfn.XLOOKUP(C19, '75'!$C$2:$C$1142, '75'!$F$2:$F$1142)</f>
        <v>no</v>
      </c>
    </row>
    <row r="20" spans="1:6" x14ac:dyDescent="0.45">
      <c r="A20" t="s">
        <v>169</v>
      </c>
      <c r="B20" t="s">
        <v>170</v>
      </c>
      <c r="C20">
        <v>58827810200</v>
      </c>
      <c r="D20">
        <v>56719213100</v>
      </c>
      <c r="E20">
        <v>92</v>
      </c>
      <c r="F20" t="str">
        <f>_xlfn.XLOOKUP(C20, '75'!$C$2:$C$1142, '75'!$F$2:$F$1142)</f>
        <v>ok</v>
      </c>
    </row>
    <row r="21" spans="1:6" x14ac:dyDescent="0.45">
      <c r="A21" t="s">
        <v>116</v>
      </c>
      <c r="B21" t="s">
        <v>172</v>
      </c>
      <c r="C21">
        <v>57220043419</v>
      </c>
      <c r="D21">
        <v>59352990300</v>
      </c>
      <c r="E21">
        <v>90</v>
      </c>
      <c r="F21" t="str">
        <f>_xlfn.XLOOKUP(C21, '75'!$C$2:$C$1142, '75'!$F$2:$F$1142)</f>
        <v>no</v>
      </c>
    </row>
    <row r="22" spans="1:6" x14ac:dyDescent="0.45">
      <c r="A22" t="s">
        <v>173</v>
      </c>
      <c r="B22" t="s">
        <v>117</v>
      </c>
      <c r="C22">
        <v>58830295700</v>
      </c>
      <c r="D22">
        <v>57219394662</v>
      </c>
      <c r="E22">
        <v>90</v>
      </c>
      <c r="F22" t="str">
        <f>_xlfn.XLOOKUP(C22, '75'!$C$2:$C$1142, '75'!$F$2:$F$1142)</f>
        <v>ok</v>
      </c>
    </row>
    <row r="23" spans="1:6" x14ac:dyDescent="0.45">
      <c r="A23" t="s">
        <v>190</v>
      </c>
      <c r="B23" t="s">
        <v>191</v>
      </c>
      <c r="C23">
        <v>57821779900</v>
      </c>
      <c r="D23">
        <v>59415748800</v>
      </c>
      <c r="E23">
        <v>94</v>
      </c>
      <c r="F23" t="str">
        <f>_xlfn.XLOOKUP(C23, '75'!$C$2:$C$1142, '75'!$F$2:$F$1142)</f>
        <v>ok</v>
      </c>
    </row>
    <row r="24" spans="1:6" x14ac:dyDescent="0.45">
      <c r="A24" t="s">
        <v>200</v>
      </c>
      <c r="B24" t="s">
        <v>201</v>
      </c>
      <c r="C24">
        <v>59807760700</v>
      </c>
      <c r="D24">
        <v>7402666341</v>
      </c>
      <c r="E24">
        <v>92</v>
      </c>
      <c r="F24" t="str">
        <f>_xlfn.XLOOKUP(C24, '75'!$C$2:$C$1142, '75'!$F$2:$F$1142)</f>
        <v>ok</v>
      </c>
    </row>
    <row r="25" spans="1:6" x14ac:dyDescent="0.45">
      <c r="A25" t="s">
        <v>207</v>
      </c>
      <c r="B25" t="s">
        <v>208</v>
      </c>
      <c r="C25">
        <v>58287914600</v>
      </c>
      <c r="D25">
        <v>58061917200</v>
      </c>
      <c r="E25">
        <v>95</v>
      </c>
      <c r="F25" t="str">
        <f>_xlfn.XLOOKUP(C25, '75'!$C$2:$C$1142, '75'!$F$2:$F$1142)</f>
        <v>ok</v>
      </c>
    </row>
    <row r="26" spans="1:6" x14ac:dyDescent="0.45">
      <c r="A26" t="s">
        <v>218</v>
      </c>
      <c r="B26" t="s">
        <v>219</v>
      </c>
      <c r="C26">
        <v>57201730337</v>
      </c>
      <c r="D26">
        <v>57202912172</v>
      </c>
      <c r="E26">
        <v>93</v>
      </c>
      <c r="F26" t="str">
        <f>_xlfn.XLOOKUP(C26, '75'!$C$2:$C$1142, '75'!$F$2:$F$1142)</f>
        <v>ok</v>
      </c>
    </row>
    <row r="27" spans="1:6" x14ac:dyDescent="0.45">
      <c r="A27" t="s">
        <v>222</v>
      </c>
      <c r="B27" t="s">
        <v>223</v>
      </c>
      <c r="C27">
        <v>7004268181</v>
      </c>
      <c r="D27">
        <v>56840385400</v>
      </c>
      <c r="E27">
        <v>93</v>
      </c>
      <c r="F27" t="str">
        <f>_xlfn.XLOOKUP(C27, '75'!$C$2:$C$1142, '75'!$F$2:$F$1142)</f>
        <v>ok</v>
      </c>
    </row>
    <row r="28" spans="1:6" x14ac:dyDescent="0.45">
      <c r="A28" t="s">
        <v>230</v>
      </c>
      <c r="B28" t="s">
        <v>231</v>
      </c>
      <c r="C28">
        <v>59157783100</v>
      </c>
      <c r="D28">
        <v>59814698200</v>
      </c>
      <c r="E28">
        <v>92</v>
      </c>
      <c r="F28" t="str">
        <f>_xlfn.XLOOKUP(C28, '75'!$C$2:$C$1142, '75'!$F$2:$F$1142)</f>
        <v>ok</v>
      </c>
    </row>
    <row r="29" spans="1:6" x14ac:dyDescent="0.45">
      <c r="A29" t="s">
        <v>232</v>
      </c>
      <c r="B29" t="s">
        <v>233</v>
      </c>
      <c r="C29">
        <v>57287468800</v>
      </c>
      <c r="D29">
        <v>57575566400</v>
      </c>
      <c r="E29">
        <v>92</v>
      </c>
      <c r="F29" t="str">
        <f>_xlfn.XLOOKUP(C29, '75'!$C$2:$C$1142, '75'!$F$2:$F$1142)</f>
        <v>ok</v>
      </c>
    </row>
    <row r="30" spans="1:6" x14ac:dyDescent="0.45">
      <c r="A30" t="s">
        <v>242</v>
      </c>
      <c r="B30" t="s">
        <v>243</v>
      </c>
      <c r="C30">
        <v>57792002700</v>
      </c>
      <c r="D30">
        <v>59373208900</v>
      </c>
      <c r="E30">
        <v>97</v>
      </c>
      <c r="F30" t="str">
        <f>_xlfn.XLOOKUP(C30, '75'!$C$2:$C$1142, '75'!$F$2:$F$1142)</f>
        <v>ok</v>
      </c>
    </row>
    <row r="31" spans="1:6" x14ac:dyDescent="0.45">
      <c r="A31" t="s">
        <v>244</v>
      </c>
      <c r="B31" t="s">
        <v>245</v>
      </c>
      <c r="C31">
        <v>57212346127</v>
      </c>
      <c r="D31">
        <v>57203331764</v>
      </c>
      <c r="E31">
        <v>90</v>
      </c>
      <c r="F31" t="str">
        <f>_xlfn.XLOOKUP(C31, '75'!$C$2:$C$1142, '75'!$F$2:$F$1142)</f>
        <v>no</v>
      </c>
    </row>
    <row r="32" spans="1:6" x14ac:dyDescent="0.45">
      <c r="A32" t="s">
        <v>248</v>
      </c>
      <c r="B32" t="s">
        <v>249</v>
      </c>
      <c r="C32">
        <v>57215934820</v>
      </c>
      <c r="D32">
        <v>57214111535</v>
      </c>
      <c r="E32">
        <v>97</v>
      </c>
      <c r="F32" t="str">
        <f>_xlfn.XLOOKUP(C32, '75'!$C$2:$C$1142, '75'!$F$2:$F$1142)</f>
        <v>ok</v>
      </c>
    </row>
    <row r="33" spans="1:6" x14ac:dyDescent="0.45">
      <c r="A33" t="s">
        <v>250</v>
      </c>
      <c r="B33" t="s">
        <v>251</v>
      </c>
      <c r="C33">
        <v>59647175000</v>
      </c>
      <c r="D33">
        <v>57216222262</v>
      </c>
      <c r="E33">
        <v>93</v>
      </c>
      <c r="F33" t="str">
        <f>_xlfn.XLOOKUP(C33, '75'!$C$2:$C$1142, '75'!$F$2:$F$1142)</f>
        <v>ok</v>
      </c>
    </row>
    <row r="34" spans="1:6" x14ac:dyDescent="0.45">
      <c r="A34" t="s">
        <v>254</v>
      </c>
      <c r="B34" t="s">
        <v>255</v>
      </c>
      <c r="C34">
        <v>55620693600</v>
      </c>
      <c r="D34">
        <v>57998385200</v>
      </c>
      <c r="E34">
        <v>96</v>
      </c>
      <c r="F34" t="str">
        <f>_xlfn.XLOOKUP(C34, '75'!$C$2:$C$1142, '75'!$F$2:$F$1142)</f>
        <v>ok</v>
      </c>
    </row>
    <row r="35" spans="1:6" x14ac:dyDescent="0.45">
      <c r="A35" t="s">
        <v>261</v>
      </c>
      <c r="B35" t="s">
        <v>262</v>
      </c>
      <c r="C35">
        <v>56856315600</v>
      </c>
      <c r="D35">
        <v>56268773600</v>
      </c>
      <c r="E35">
        <v>92</v>
      </c>
      <c r="F35" t="str">
        <f>_xlfn.XLOOKUP(C35, '75'!$C$2:$C$1142, '75'!$F$2:$F$1142)</f>
        <v>no</v>
      </c>
    </row>
    <row r="36" spans="1:6" x14ac:dyDescent="0.45">
      <c r="A36" t="s">
        <v>267</v>
      </c>
      <c r="B36" t="s">
        <v>268</v>
      </c>
      <c r="C36">
        <v>57220106603</v>
      </c>
      <c r="D36">
        <v>57217134072</v>
      </c>
      <c r="E36">
        <v>92</v>
      </c>
      <c r="F36" t="str">
        <f>_xlfn.XLOOKUP(C36, '75'!$C$2:$C$1142, '75'!$F$2:$F$1142)</f>
        <v>no</v>
      </c>
    </row>
    <row r="37" spans="1:6" x14ac:dyDescent="0.45">
      <c r="A37" t="s">
        <v>281</v>
      </c>
      <c r="B37" t="s">
        <v>282</v>
      </c>
      <c r="C37">
        <v>57200176320</v>
      </c>
      <c r="D37">
        <v>58689678000</v>
      </c>
      <c r="E37">
        <v>92</v>
      </c>
      <c r="F37" t="str">
        <f>_xlfn.XLOOKUP(C37, '75'!$C$2:$C$1142, '75'!$F$2:$F$1142)</f>
        <v>ok</v>
      </c>
    </row>
    <row r="38" spans="1:6" x14ac:dyDescent="0.45">
      <c r="A38" t="s">
        <v>285</v>
      </c>
      <c r="B38" t="s">
        <v>286</v>
      </c>
      <c r="C38">
        <v>57723250300</v>
      </c>
      <c r="D38">
        <v>59173501800</v>
      </c>
      <c r="E38">
        <v>93</v>
      </c>
      <c r="F38" t="str">
        <f>_xlfn.XLOOKUP(C38, '75'!$C$2:$C$1142, '75'!$F$2:$F$1142)</f>
        <v>ok</v>
      </c>
    </row>
    <row r="39" spans="1:6" x14ac:dyDescent="0.45">
      <c r="A39" t="s">
        <v>292</v>
      </c>
      <c r="B39" t="s">
        <v>293</v>
      </c>
      <c r="C39">
        <v>24359010500</v>
      </c>
      <c r="D39">
        <v>57223164224</v>
      </c>
      <c r="E39">
        <v>90</v>
      </c>
      <c r="F39" t="str">
        <f>_xlfn.XLOOKUP(C39, '75'!$C$2:$C$1142, '75'!$F$2:$F$1142)</f>
        <v>ok</v>
      </c>
    </row>
    <row r="40" spans="1:6" x14ac:dyDescent="0.45">
      <c r="A40" t="s">
        <v>298</v>
      </c>
      <c r="B40" t="s">
        <v>299</v>
      </c>
      <c r="C40">
        <v>6507645629</v>
      </c>
      <c r="D40">
        <v>58990528300</v>
      </c>
      <c r="E40">
        <v>91</v>
      </c>
      <c r="F40" t="str">
        <f>_xlfn.XLOOKUP(C40, '75'!$C$2:$C$1142, '75'!$F$2:$F$1142)</f>
        <v>ok</v>
      </c>
    </row>
    <row r="41" spans="1:6" x14ac:dyDescent="0.45">
      <c r="A41" t="s">
        <v>316</v>
      </c>
      <c r="B41" t="s">
        <v>317</v>
      </c>
      <c r="C41">
        <v>56582435700</v>
      </c>
      <c r="D41">
        <v>57948030800</v>
      </c>
      <c r="E41">
        <v>90</v>
      </c>
      <c r="F41" t="str">
        <f>_xlfn.XLOOKUP(C41, '75'!$C$2:$C$1142, '75'!$F$2:$F$1142)</f>
        <v>ok</v>
      </c>
    </row>
    <row r="42" spans="1:6" x14ac:dyDescent="0.45">
      <c r="A42" t="s">
        <v>318</v>
      </c>
      <c r="B42" t="s">
        <v>319</v>
      </c>
      <c r="C42">
        <v>58676962100</v>
      </c>
      <c r="D42">
        <v>57997869400</v>
      </c>
      <c r="E42">
        <v>97</v>
      </c>
      <c r="F42" t="str">
        <f>_xlfn.XLOOKUP(C42, '75'!$C$2:$C$1142, '75'!$F$2:$F$1142)</f>
        <v>ok</v>
      </c>
    </row>
    <row r="43" spans="1:6" x14ac:dyDescent="0.45">
      <c r="A43" t="s">
        <v>334</v>
      </c>
      <c r="B43" t="s">
        <v>335</v>
      </c>
      <c r="C43">
        <v>57220890035</v>
      </c>
      <c r="D43">
        <v>59029455600</v>
      </c>
      <c r="E43">
        <v>92</v>
      </c>
      <c r="F43" t="str">
        <f>_xlfn.XLOOKUP(C43, '75'!$C$2:$C$1142, '75'!$F$2:$F$1142)</f>
        <v>ok</v>
      </c>
    </row>
    <row r="44" spans="1:6" x14ac:dyDescent="0.45">
      <c r="A44" t="s">
        <v>343</v>
      </c>
      <c r="B44" t="s">
        <v>344</v>
      </c>
      <c r="C44">
        <v>57201225750</v>
      </c>
      <c r="D44">
        <v>55332947200</v>
      </c>
      <c r="E44">
        <v>92</v>
      </c>
      <c r="F44" t="str">
        <f>_xlfn.XLOOKUP(C44, '75'!$C$2:$C$1142, '75'!$F$2:$F$1142)</f>
        <v>ok</v>
      </c>
    </row>
    <row r="45" spans="1:6" x14ac:dyDescent="0.45">
      <c r="A45" t="s">
        <v>345</v>
      </c>
      <c r="B45" t="s">
        <v>346</v>
      </c>
      <c r="C45">
        <v>20433459500</v>
      </c>
      <c r="D45">
        <v>57204281290</v>
      </c>
      <c r="E45">
        <v>94</v>
      </c>
      <c r="F45" t="str">
        <f>_xlfn.XLOOKUP(C45, '75'!$C$2:$C$1142, '75'!$F$2:$F$1142)</f>
        <v>ok</v>
      </c>
    </row>
    <row r="46" spans="1:6" x14ac:dyDescent="0.45">
      <c r="A46" t="s">
        <v>375</v>
      </c>
      <c r="B46" t="s">
        <v>376</v>
      </c>
      <c r="C46">
        <v>57217693682</v>
      </c>
      <c r="D46">
        <v>57217055832</v>
      </c>
      <c r="E46">
        <v>92</v>
      </c>
      <c r="F46" t="str">
        <f>_xlfn.XLOOKUP(C46, '75'!$C$2:$C$1142, '75'!$F$2:$F$1142)</f>
        <v>ok</v>
      </c>
    </row>
    <row r="47" spans="1:6" x14ac:dyDescent="0.45">
      <c r="A47" t="s">
        <v>389</v>
      </c>
      <c r="B47" t="s">
        <v>391</v>
      </c>
      <c r="C47">
        <v>59161285900</v>
      </c>
      <c r="D47">
        <v>34979903200</v>
      </c>
      <c r="E47">
        <v>90</v>
      </c>
      <c r="F47" t="str">
        <f>_xlfn.XLOOKUP(C47, '75'!$C$2:$C$1142, '75'!$F$2:$F$1142)</f>
        <v>no</v>
      </c>
    </row>
    <row r="48" spans="1:6" x14ac:dyDescent="0.45">
      <c r="A48" t="s">
        <v>390</v>
      </c>
      <c r="B48" t="s">
        <v>391</v>
      </c>
      <c r="C48">
        <v>59207795900</v>
      </c>
      <c r="D48">
        <v>34979903200</v>
      </c>
      <c r="E48">
        <v>90</v>
      </c>
      <c r="F48" t="str">
        <f>_xlfn.XLOOKUP(C48, '75'!$C$2:$C$1142, '75'!$F$2:$F$1142)</f>
        <v>ok</v>
      </c>
    </row>
    <row r="49" spans="1:6" x14ac:dyDescent="0.45">
      <c r="A49" t="s">
        <v>399</v>
      </c>
      <c r="B49" t="s">
        <v>400</v>
      </c>
      <c r="C49">
        <v>57208184515</v>
      </c>
      <c r="D49">
        <v>59803235800</v>
      </c>
      <c r="E49">
        <v>90</v>
      </c>
      <c r="F49" t="str">
        <f>_xlfn.XLOOKUP(C49, '75'!$C$2:$C$1142, '75'!$F$2:$F$1142)</f>
        <v>no</v>
      </c>
    </row>
    <row r="50" spans="1:6" x14ac:dyDescent="0.45">
      <c r="A50" t="s">
        <v>401</v>
      </c>
      <c r="B50" t="s">
        <v>402</v>
      </c>
      <c r="C50">
        <v>7201973561</v>
      </c>
      <c r="D50">
        <v>59794341400</v>
      </c>
      <c r="E50">
        <v>96</v>
      </c>
      <c r="F50" t="str">
        <f>_xlfn.XLOOKUP(C50, '75'!$C$2:$C$1142, '75'!$F$2:$F$1142)</f>
        <v>ok</v>
      </c>
    </row>
    <row r="51" spans="1:6" x14ac:dyDescent="0.45">
      <c r="A51" t="s">
        <v>410</v>
      </c>
      <c r="B51" t="s">
        <v>411</v>
      </c>
      <c r="C51">
        <v>57211405320</v>
      </c>
      <c r="D51">
        <v>57220933225</v>
      </c>
      <c r="E51">
        <v>94</v>
      </c>
      <c r="F51" t="str">
        <f>_xlfn.XLOOKUP(C51, '75'!$C$2:$C$1142, '75'!$F$2:$F$1142)</f>
        <v>ok</v>
      </c>
    </row>
    <row r="52" spans="1:6" x14ac:dyDescent="0.45">
      <c r="A52" t="s">
        <v>419</v>
      </c>
      <c r="B52" t="s">
        <v>420</v>
      </c>
      <c r="C52">
        <v>6701569164</v>
      </c>
      <c r="D52">
        <v>59475179000</v>
      </c>
      <c r="E52">
        <v>94</v>
      </c>
      <c r="F52" t="str">
        <f>_xlfn.XLOOKUP(C52, '75'!$C$2:$C$1142, '75'!$F$2:$F$1142)</f>
        <v>ok</v>
      </c>
    </row>
    <row r="53" spans="1:6" x14ac:dyDescent="0.45">
      <c r="A53" t="s">
        <v>466</v>
      </c>
      <c r="B53" t="s">
        <v>467</v>
      </c>
      <c r="C53">
        <v>57202588460</v>
      </c>
      <c r="D53">
        <v>59315845200</v>
      </c>
      <c r="E53">
        <v>92</v>
      </c>
      <c r="F53" t="str">
        <f>_xlfn.XLOOKUP(C53, '75'!$C$2:$C$1142, '75'!$F$2:$F$1142)</f>
        <v>no</v>
      </c>
    </row>
    <row r="54" spans="1:6" x14ac:dyDescent="0.45">
      <c r="A54" t="s">
        <v>473</v>
      </c>
      <c r="B54" t="s">
        <v>474</v>
      </c>
      <c r="C54">
        <v>57212571216</v>
      </c>
      <c r="D54">
        <v>57197841951</v>
      </c>
      <c r="E54">
        <v>95</v>
      </c>
      <c r="F54" t="str">
        <f>_xlfn.XLOOKUP(C54, '75'!$C$2:$C$1142, '75'!$F$2:$F$1142)</f>
        <v>ok</v>
      </c>
    </row>
    <row r="55" spans="1:6" x14ac:dyDescent="0.45">
      <c r="A55" t="s">
        <v>488</v>
      </c>
      <c r="B55" t="s">
        <v>489</v>
      </c>
      <c r="C55">
        <v>57214883229</v>
      </c>
      <c r="D55">
        <v>56575966800</v>
      </c>
      <c r="E55">
        <v>92</v>
      </c>
      <c r="F55" t="str">
        <f>_xlfn.XLOOKUP(C55, '75'!$C$2:$C$1142, '75'!$F$2:$F$1142)</f>
        <v>ok</v>
      </c>
    </row>
    <row r="56" spans="1:6" x14ac:dyDescent="0.45">
      <c r="A56" t="s">
        <v>497</v>
      </c>
      <c r="B56" t="s">
        <v>498</v>
      </c>
      <c r="C56">
        <v>58100818300</v>
      </c>
      <c r="D56">
        <v>44461638200</v>
      </c>
      <c r="E56">
        <v>97</v>
      </c>
      <c r="F56" t="str">
        <f>_xlfn.XLOOKUP(C56, '75'!$C$2:$C$1142, '75'!$F$2:$F$1142)</f>
        <v>ok</v>
      </c>
    </row>
    <row r="57" spans="1:6" x14ac:dyDescent="0.45">
      <c r="A57" t="s">
        <v>501</v>
      </c>
      <c r="B57" t="s">
        <v>503</v>
      </c>
      <c r="C57">
        <v>55540777300</v>
      </c>
      <c r="D57">
        <v>58669083900</v>
      </c>
      <c r="E57">
        <v>90</v>
      </c>
      <c r="F57" t="str">
        <f>_xlfn.XLOOKUP(C57, '75'!$C$2:$C$1142, '75'!$F$2:$F$1142)</f>
        <v>no</v>
      </c>
    </row>
    <row r="58" spans="1:6" x14ac:dyDescent="0.45">
      <c r="A58" t="s">
        <v>504</v>
      </c>
      <c r="B58" t="s">
        <v>506</v>
      </c>
      <c r="C58">
        <v>57208500706</v>
      </c>
      <c r="D58">
        <v>57419438300</v>
      </c>
      <c r="E58">
        <v>93</v>
      </c>
      <c r="F58" t="str">
        <f>_xlfn.XLOOKUP(C58, '75'!$C$2:$C$1142, '75'!$F$2:$F$1142)</f>
        <v>no</v>
      </c>
    </row>
    <row r="59" spans="1:6" x14ac:dyDescent="0.45">
      <c r="A59" t="s">
        <v>504</v>
      </c>
      <c r="B59" t="s">
        <v>507</v>
      </c>
      <c r="C59">
        <v>57208500706</v>
      </c>
      <c r="D59">
        <v>58930944200</v>
      </c>
      <c r="E59">
        <v>94</v>
      </c>
      <c r="F59" t="str">
        <f>_xlfn.XLOOKUP(C59, '75'!$C$2:$C$1142, '75'!$F$2:$F$1142)</f>
        <v>no</v>
      </c>
    </row>
    <row r="60" spans="1:6" x14ac:dyDescent="0.45">
      <c r="A60" t="s">
        <v>512</v>
      </c>
      <c r="B60" t="s">
        <v>513</v>
      </c>
      <c r="C60">
        <v>55477263200</v>
      </c>
      <c r="D60">
        <v>59661104900</v>
      </c>
      <c r="E60">
        <v>93</v>
      </c>
      <c r="F60" t="str">
        <f>_xlfn.XLOOKUP(C60, '75'!$C$2:$C$1142, '75'!$F$2:$F$1142)</f>
        <v>ok</v>
      </c>
    </row>
    <row r="61" spans="1:6" x14ac:dyDescent="0.45">
      <c r="A61" t="s">
        <v>532</v>
      </c>
      <c r="B61" t="s">
        <v>533</v>
      </c>
      <c r="C61">
        <v>55904182200</v>
      </c>
      <c r="D61">
        <v>59516564600</v>
      </c>
      <c r="E61">
        <v>94</v>
      </c>
      <c r="F61" t="str">
        <f>_xlfn.XLOOKUP(C61, '75'!$C$2:$C$1142, '75'!$F$2:$F$1142)</f>
        <v>ok</v>
      </c>
    </row>
    <row r="62" spans="1:6" x14ac:dyDescent="0.45">
      <c r="A62" t="s">
        <v>492</v>
      </c>
      <c r="B62" t="s">
        <v>496</v>
      </c>
      <c r="C62">
        <v>59061428700</v>
      </c>
      <c r="D62">
        <v>59732151800</v>
      </c>
      <c r="E62">
        <v>90</v>
      </c>
      <c r="F62" t="str">
        <f>_xlfn.XLOOKUP(C62, '75'!$C$2:$C$1142, '75'!$F$2:$F$1142)</f>
        <v>no</v>
      </c>
    </row>
    <row r="63" spans="1:6" x14ac:dyDescent="0.45">
      <c r="A63" t="s">
        <v>602</v>
      </c>
      <c r="B63" t="s">
        <v>603</v>
      </c>
      <c r="C63">
        <v>6603359570</v>
      </c>
      <c r="D63">
        <v>56529642000</v>
      </c>
      <c r="E63">
        <v>90</v>
      </c>
      <c r="F63" t="str">
        <f>_xlfn.XLOOKUP(C63, '75'!$C$2:$C$1142, '75'!$F$2:$F$1142)</f>
        <v>ok</v>
      </c>
    </row>
    <row r="64" spans="1:6" x14ac:dyDescent="0.45">
      <c r="A64" t="s">
        <v>641</v>
      </c>
      <c r="B64" t="s">
        <v>642</v>
      </c>
      <c r="C64">
        <v>15750967800</v>
      </c>
      <c r="D64">
        <v>56659815100</v>
      </c>
      <c r="E64">
        <v>97</v>
      </c>
      <c r="F64" t="str">
        <f>_xlfn.XLOOKUP(C64, '75'!$C$2:$C$1142, '75'!$F$2:$F$1142)</f>
        <v>ok</v>
      </c>
    </row>
    <row r="65" spans="1:6" x14ac:dyDescent="0.45">
      <c r="A65" t="s">
        <v>666</v>
      </c>
      <c r="B65" t="s">
        <v>667</v>
      </c>
      <c r="C65">
        <v>35173508900</v>
      </c>
      <c r="D65">
        <v>59393740200</v>
      </c>
      <c r="E65">
        <v>94</v>
      </c>
      <c r="F65" t="str">
        <f>_xlfn.XLOOKUP(C65, '75'!$C$2:$C$1142, '75'!$F$2:$F$1142)</f>
        <v>ok</v>
      </c>
    </row>
    <row r="66" spans="1:6" x14ac:dyDescent="0.45">
      <c r="A66" t="s">
        <v>707</v>
      </c>
      <c r="B66" t="s">
        <v>709</v>
      </c>
      <c r="C66">
        <v>59332737300</v>
      </c>
      <c r="D66">
        <v>58481391200</v>
      </c>
      <c r="E66">
        <v>94</v>
      </c>
      <c r="F66" t="str">
        <f>_xlfn.XLOOKUP(C66, '75'!$C$2:$C$1142, '75'!$F$2:$F$1142)</f>
        <v>no</v>
      </c>
    </row>
    <row r="67" spans="1:6" x14ac:dyDescent="0.45">
      <c r="A67" t="s">
        <v>713</v>
      </c>
      <c r="B67" t="s">
        <v>714</v>
      </c>
      <c r="C67">
        <v>57219449940</v>
      </c>
      <c r="D67">
        <v>57210807569</v>
      </c>
      <c r="E67">
        <v>92</v>
      </c>
      <c r="F67" t="str">
        <f>_xlfn.XLOOKUP(C67, '75'!$C$2:$C$1142, '75'!$F$2:$F$1142)</f>
        <v>no</v>
      </c>
    </row>
    <row r="68" spans="1:6" x14ac:dyDescent="0.45">
      <c r="A68" t="s">
        <v>725</v>
      </c>
      <c r="B68" t="s">
        <v>726</v>
      </c>
      <c r="C68">
        <v>56647738300</v>
      </c>
      <c r="D68">
        <v>58070953400</v>
      </c>
      <c r="E68">
        <v>97</v>
      </c>
      <c r="F68" t="str">
        <f>_xlfn.XLOOKUP(C68, '75'!$C$2:$C$1142, '75'!$F$2:$F$1142)</f>
        <v>ok</v>
      </c>
    </row>
    <row r="69" spans="1:6" x14ac:dyDescent="0.45">
      <c r="A69" t="s">
        <v>730</v>
      </c>
      <c r="B69" t="s">
        <v>731</v>
      </c>
      <c r="C69">
        <v>57202558154</v>
      </c>
      <c r="D69">
        <v>57202570602</v>
      </c>
      <c r="E69">
        <v>95</v>
      </c>
      <c r="F69" t="str">
        <f>_xlfn.XLOOKUP(C69, '75'!$C$2:$C$1142, '75'!$F$2:$F$1142)</f>
        <v>ok</v>
      </c>
    </row>
    <row r="70" spans="1:6" x14ac:dyDescent="0.45">
      <c r="A70" t="s">
        <v>734</v>
      </c>
      <c r="B70" t="s">
        <v>735</v>
      </c>
      <c r="C70">
        <v>57219467977</v>
      </c>
      <c r="D70">
        <v>43461611700</v>
      </c>
      <c r="E70">
        <v>97</v>
      </c>
      <c r="F70" t="str">
        <f>_xlfn.XLOOKUP(C70, '75'!$C$2:$C$1142, '75'!$F$2:$F$1142)</f>
        <v>ok</v>
      </c>
    </row>
    <row r="71" spans="1:6" x14ac:dyDescent="0.45">
      <c r="A71" t="s">
        <v>736</v>
      </c>
      <c r="B71" t="s">
        <v>733</v>
      </c>
      <c r="C71">
        <v>57213737060</v>
      </c>
      <c r="D71">
        <v>57647220300</v>
      </c>
      <c r="E71">
        <v>96</v>
      </c>
      <c r="F71" t="str">
        <f>_xlfn.XLOOKUP(C71, '75'!$C$2:$C$1142, '75'!$F$2:$F$1142)</f>
        <v>ok</v>
      </c>
    </row>
    <row r="72" spans="1:6" x14ac:dyDescent="0.45">
      <c r="A72" t="s">
        <v>737</v>
      </c>
      <c r="B72" t="s">
        <v>738</v>
      </c>
      <c r="C72">
        <v>57198433638</v>
      </c>
      <c r="D72">
        <v>57221371161</v>
      </c>
      <c r="E72">
        <v>97</v>
      </c>
      <c r="F72" t="str">
        <f>_xlfn.XLOOKUP(C72, '75'!$C$2:$C$1142, '75'!$F$2:$F$1142)</f>
        <v>ok</v>
      </c>
    </row>
    <row r="73" spans="1:6" x14ac:dyDescent="0.45">
      <c r="A73" t="s">
        <v>739</v>
      </c>
      <c r="B73" t="s">
        <v>740</v>
      </c>
      <c r="C73">
        <v>59124444900</v>
      </c>
      <c r="D73">
        <v>58862940500</v>
      </c>
      <c r="E73">
        <v>94</v>
      </c>
      <c r="F73" t="str">
        <f>_xlfn.XLOOKUP(C73, '75'!$C$2:$C$1142, '75'!$F$2:$F$1142)</f>
        <v>ok</v>
      </c>
    </row>
    <row r="74" spans="1:6" x14ac:dyDescent="0.45">
      <c r="A74" t="s">
        <v>741</v>
      </c>
      <c r="B74" t="s">
        <v>742</v>
      </c>
      <c r="C74">
        <v>24466885300</v>
      </c>
      <c r="D74">
        <v>57209368500</v>
      </c>
      <c r="E74">
        <v>98</v>
      </c>
      <c r="F74" t="str">
        <f>_xlfn.XLOOKUP(C74, '75'!$C$2:$C$1142, '75'!$F$2:$F$1142)</f>
        <v>ok</v>
      </c>
    </row>
    <row r="75" spans="1:6" x14ac:dyDescent="0.45">
      <c r="A75" t="s">
        <v>743</v>
      </c>
      <c r="B75" t="s">
        <v>744</v>
      </c>
      <c r="C75">
        <v>57214225625</v>
      </c>
      <c r="D75">
        <v>57222108764</v>
      </c>
      <c r="E75">
        <v>98</v>
      </c>
      <c r="F75" t="str">
        <f>_xlfn.XLOOKUP(C75, '75'!$C$2:$C$1142, '75'!$F$2:$F$1142)</f>
        <v>ok</v>
      </c>
    </row>
    <row r="76" spans="1:6" x14ac:dyDescent="0.45">
      <c r="A76" t="s">
        <v>743</v>
      </c>
      <c r="B76" t="s">
        <v>745</v>
      </c>
      <c r="C76">
        <v>57214225625</v>
      </c>
      <c r="D76">
        <v>57221995059</v>
      </c>
      <c r="E76">
        <v>98</v>
      </c>
      <c r="F76" t="str">
        <f>_xlfn.XLOOKUP(C76, '75'!$C$2:$C$1142, '75'!$F$2:$F$1142)</f>
        <v>ok</v>
      </c>
    </row>
    <row r="77" spans="1:6" x14ac:dyDescent="0.45">
      <c r="A77" t="s">
        <v>744</v>
      </c>
      <c r="B77" t="s">
        <v>745</v>
      </c>
      <c r="C77">
        <v>57222108764</v>
      </c>
      <c r="D77">
        <v>57221995059</v>
      </c>
      <c r="E77">
        <v>96</v>
      </c>
      <c r="F77" t="str">
        <f>_xlfn.XLOOKUP(C77, '75'!$C$2:$C$1142, '75'!$F$2:$F$1142)</f>
        <v>ok</v>
      </c>
    </row>
    <row r="78" spans="1:6" x14ac:dyDescent="0.45">
      <c r="A78" t="s">
        <v>746</v>
      </c>
      <c r="B78" t="s">
        <v>747</v>
      </c>
      <c r="C78">
        <v>58504367700</v>
      </c>
      <c r="D78">
        <v>58749655300</v>
      </c>
      <c r="E78">
        <v>97</v>
      </c>
      <c r="F78" t="str">
        <f>_xlfn.XLOOKUP(C78, '75'!$C$2:$C$1142, '75'!$F$2:$F$1142)</f>
        <v>ok</v>
      </c>
    </row>
    <row r="79" spans="1:6" x14ac:dyDescent="0.45">
      <c r="A79" t="s">
        <v>752</v>
      </c>
      <c r="B79" t="s">
        <v>753</v>
      </c>
      <c r="C79">
        <v>57189261670</v>
      </c>
      <c r="D79">
        <v>57670607700</v>
      </c>
      <c r="E79">
        <v>97</v>
      </c>
      <c r="F79" t="str">
        <f>_xlfn.XLOOKUP(C79, '75'!$C$2:$C$1142, '75'!$F$2:$F$1142)</f>
        <v>ok</v>
      </c>
    </row>
    <row r="80" spans="1:6" x14ac:dyDescent="0.45">
      <c r="A80" t="s">
        <v>754</v>
      </c>
      <c r="B80" t="s">
        <v>755</v>
      </c>
      <c r="C80">
        <v>58494532600</v>
      </c>
      <c r="D80">
        <v>58555668700</v>
      </c>
      <c r="E80">
        <v>94</v>
      </c>
      <c r="F80" t="str">
        <f>_xlfn.XLOOKUP(C80, '75'!$C$2:$C$1142, '75'!$F$2:$F$1142)</f>
        <v>ok</v>
      </c>
    </row>
    <row r="81" spans="1:6" x14ac:dyDescent="0.45">
      <c r="A81" t="s">
        <v>756</v>
      </c>
      <c r="B81" t="s">
        <v>758</v>
      </c>
      <c r="C81">
        <v>57208216498</v>
      </c>
      <c r="D81">
        <v>57703123400</v>
      </c>
      <c r="E81">
        <v>96</v>
      </c>
      <c r="F81" t="str">
        <f>_xlfn.XLOOKUP(C81, '75'!$C$2:$C$1142, '75'!$F$2:$F$1142)</f>
        <v>no</v>
      </c>
    </row>
    <row r="82" spans="1:6" x14ac:dyDescent="0.45">
      <c r="A82" t="s">
        <v>766</v>
      </c>
      <c r="B82" t="s">
        <v>767</v>
      </c>
      <c r="C82">
        <v>6602329029</v>
      </c>
      <c r="D82">
        <v>57226822784</v>
      </c>
      <c r="E82">
        <v>93</v>
      </c>
      <c r="F82" t="str">
        <f>_xlfn.XLOOKUP(C82, '75'!$C$2:$C$1142, '75'!$F$2:$F$1142)</f>
        <v>ok</v>
      </c>
    </row>
    <row r="83" spans="1:6" x14ac:dyDescent="0.45">
      <c r="A83" t="s">
        <v>762</v>
      </c>
      <c r="B83" t="s">
        <v>763</v>
      </c>
      <c r="C83">
        <v>57205682246</v>
      </c>
      <c r="D83">
        <v>58740176100</v>
      </c>
      <c r="E83">
        <v>92</v>
      </c>
      <c r="F83" t="str">
        <f>_xlfn.XLOOKUP(C83, '75'!$C$2:$C$1142, '75'!$F$2:$F$1142)</f>
        <v>no</v>
      </c>
    </row>
    <row r="84" spans="1:6" x14ac:dyDescent="0.45">
      <c r="A84" t="s">
        <v>786</v>
      </c>
      <c r="B84" t="s">
        <v>774</v>
      </c>
      <c r="C84">
        <v>57210949071</v>
      </c>
      <c r="D84">
        <v>35332915800</v>
      </c>
      <c r="E84">
        <v>92</v>
      </c>
      <c r="F84" t="str">
        <f>_xlfn.XLOOKUP(C84, '75'!$C$2:$C$1142, '75'!$F$2:$F$1142)</f>
        <v>no</v>
      </c>
    </row>
    <row r="85" spans="1:6" x14ac:dyDescent="0.45">
      <c r="A85" t="s">
        <v>793</v>
      </c>
      <c r="B85" t="s">
        <v>794</v>
      </c>
      <c r="C85">
        <v>7003880452</v>
      </c>
      <c r="D85">
        <v>57271323300</v>
      </c>
      <c r="E85">
        <v>91</v>
      </c>
      <c r="F85" t="str">
        <f>_xlfn.XLOOKUP(C85, '75'!$C$2:$C$1142, '75'!$F$2:$F$1142)</f>
        <v>ok</v>
      </c>
    </row>
    <row r="86" spans="1:6" x14ac:dyDescent="0.45">
      <c r="A86" t="s">
        <v>795</v>
      </c>
      <c r="B86" t="s">
        <v>796</v>
      </c>
      <c r="C86">
        <v>6701849102</v>
      </c>
      <c r="D86">
        <v>59624866300</v>
      </c>
      <c r="E86">
        <v>93</v>
      </c>
      <c r="F86" t="str">
        <f>_xlfn.XLOOKUP(C86, '75'!$C$2:$C$1142, '75'!$F$2:$F$1142)</f>
        <v>ok</v>
      </c>
    </row>
    <row r="87" spans="1:6" x14ac:dyDescent="0.45">
      <c r="A87" t="s">
        <v>795</v>
      </c>
      <c r="B87" t="s">
        <v>797</v>
      </c>
      <c r="C87">
        <v>6701849102</v>
      </c>
      <c r="D87">
        <v>57998650100</v>
      </c>
      <c r="E87">
        <v>90</v>
      </c>
      <c r="F87" t="str">
        <f>_xlfn.XLOOKUP(C87, '75'!$C$2:$C$1142, '75'!$F$2:$F$1142)</f>
        <v>ok</v>
      </c>
    </row>
    <row r="88" spans="1:6" x14ac:dyDescent="0.45">
      <c r="A88" t="s">
        <v>796</v>
      </c>
      <c r="B88" t="s">
        <v>797</v>
      </c>
      <c r="C88">
        <v>59624866300</v>
      </c>
      <c r="D88">
        <v>57998650100</v>
      </c>
      <c r="E88">
        <v>97</v>
      </c>
      <c r="F88" t="str">
        <f>_xlfn.XLOOKUP(C88, '75'!$C$2:$C$1142, '75'!$F$2:$F$1142)</f>
        <v>ok</v>
      </c>
    </row>
    <row r="89" spans="1:6" x14ac:dyDescent="0.45">
      <c r="A89" t="s">
        <v>806</v>
      </c>
      <c r="B89" t="s">
        <v>807</v>
      </c>
      <c r="C89">
        <v>6603622358</v>
      </c>
      <c r="D89">
        <v>58554273300</v>
      </c>
      <c r="E89">
        <v>94</v>
      </c>
      <c r="F89" t="str">
        <f>_xlfn.XLOOKUP(C89, '75'!$C$2:$C$1142, '75'!$F$2:$F$1142)</f>
        <v>ok</v>
      </c>
    </row>
    <row r="90" spans="1:6" x14ac:dyDescent="0.45">
      <c r="A90" t="s">
        <v>816</v>
      </c>
      <c r="B90" t="s">
        <v>817</v>
      </c>
      <c r="C90">
        <v>55902405400</v>
      </c>
      <c r="D90">
        <v>59245189400</v>
      </c>
      <c r="E90">
        <v>93</v>
      </c>
      <c r="F90" t="str">
        <f>_xlfn.XLOOKUP(C90, '75'!$C$2:$C$1142, '75'!$F$2:$F$1142)</f>
        <v>ok</v>
      </c>
    </row>
    <row r="91" spans="1:6" x14ac:dyDescent="0.45">
      <c r="A91" t="s">
        <v>820</v>
      </c>
      <c r="B91" t="s">
        <v>821</v>
      </c>
      <c r="C91">
        <v>6602954500</v>
      </c>
      <c r="D91">
        <v>58222269900</v>
      </c>
      <c r="E91">
        <v>91</v>
      </c>
      <c r="F91" t="str">
        <f>_xlfn.XLOOKUP(C91, '75'!$C$2:$C$1142, '75'!$F$2:$F$1142)</f>
        <v>ok</v>
      </c>
    </row>
    <row r="92" spans="1:6" x14ac:dyDescent="0.45">
      <c r="A92" t="s">
        <v>822</v>
      </c>
      <c r="B92" t="s">
        <v>823</v>
      </c>
      <c r="C92">
        <v>32868158100</v>
      </c>
      <c r="D92">
        <v>57996986400</v>
      </c>
      <c r="E92">
        <v>96</v>
      </c>
      <c r="F92" t="str">
        <f>_xlfn.XLOOKUP(C92, '75'!$C$2:$C$1142, '75'!$F$2:$F$1142)</f>
        <v>ok</v>
      </c>
    </row>
    <row r="93" spans="1:6" x14ac:dyDescent="0.45">
      <c r="A93" t="s">
        <v>882</v>
      </c>
      <c r="B93" t="s">
        <v>883</v>
      </c>
      <c r="C93">
        <v>57209473457</v>
      </c>
      <c r="D93">
        <v>58076956700</v>
      </c>
      <c r="E93">
        <v>90</v>
      </c>
      <c r="F93" t="str">
        <f>_xlfn.XLOOKUP(C93, '75'!$C$2:$C$1142, '75'!$F$2:$F$1142)</f>
        <v>no</v>
      </c>
    </row>
    <row r="94" spans="1:6" x14ac:dyDescent="0.45">
      <c r="A94" t="s">
        <v>896</v>
      </c>
      <c r="B94" t="s">
        <v>897</v>
      </c>
      <c r="C94">
        <v>58677312100</v>
      </c>
      <c r="D94">
        <v>57997738900</v>
      </c>
      <c r="E94">
        <v>96</v>
      </c>
      <c r="F94" t="str">
        <f>_xlfn.XLOOKUP(C94, '75'!$C$2:$C$1142, '75'!$F$2:$F$1142)</f>
        <v>ok</v>
      </c>
    </row>
    <row r="95" spans="1:6" x14ac:dyDescent="0.45">
      <c r="A95" t="s">
        <v>911</v>
      </c>
      <c r="B95" t="s">
        <v>913</v>
      </c>
      <c r="C95">
        <v>59331322000</v>
      </c>
      <c r="D95">
        <v>58290657600</v>
      </c>
      <c r="E95">
        <v>90</v>
      </c>
      <c r="F95" t="str">
        <f>_xlfn.XLOOKUP(C95, '75'!$C$2:$C$1142, '75'!$F$2:$F$1142)</f>
        <v>no</v>
      </c>
    </row>
    <row r="96" spans="1:6" x14ac:dyDescent="0.45">
      <c r="A96" t="s">
        <v>928</v>
      </c>
      <c r="B96" t="s">
        <v>929</v>
      </c>
      <c r="C96">
        <v>57894855100</v>
      </c>
      <c r="D96">
        <v>58187878100</v>
      </c>
      <c r="E96">
        <v>98</v>
      </c>
      <c r="F96" t="str">
        <f>_xlfn.XLOOKUP(C96, '75'!$C$2:$C$1142, '75'!$F$2:$F$1142)</f>
        <v>ok</v>
      </c>
    </row>
    <row r="97" spans="1:6" x14ac:dyDescent="0.45">
      <c r="A97" t="s">
        <v>945</v>
      </c>
      <c r="B97" t="s">
        <v>946</v>
      </c>
      <c r="C97">
        <v>57219942757</v>
      </c>
      <c r="D97">
        <v>58196547100</v>
      </c>
      <c r="E97">
        <v>94</v>
      </c>
      <c r="F97" t="str">
        <f>_xlfn.XLOOKUP(C97, '75'!$C$2:$C$1142, '75'!$F$2:$F$1142)</f>
        <v>ok</v>
      </c>
    </row>
    <row r="98" spans="1:6" x14ac:dyDescent="0.45">
      <c r="A98" t="s">
        <v>967</v>
      </c>
      <c r="B98" t="s">
        <v>968</v>
      </c>
      <c r="C98">
        <v>57219292286</v>
      </c>
      <c r="D98">
        <v>57214823165</v>
      </c>
      <c r="E98">
        <v>96</v>
      </c>
      <c r="F98" t="str">
        <f>_xlfn.XLOOKUP(C98, '75'!$C$2:$C$1142, '75'!$F$2:$F$1142)</f>
        <v>ok</v>
      </c>
    </row>
    <row r="99" spans="1:6" x14ac:dyDescent="0.45">
      <c r="A99" t="s">
        <v>969</v>
      </c>
      <c r="B99" t="s">
        <v>970</v>
      </c>
      <c r="C99">
        <v>57217129575</v>
      </c>
      <c r="D99">
        <v>57383215700</v>
      </c>
      <c r="E99">
        <v>96</v>
      </c>
      <c r="F99" t="str">
        <f>_xlfn.XLOOKUP(C99, '75'!$C$2:$C$1142, '75'!$F$2:$F$1142)</f>
        <v>no</v>
      </c>
    </row>
    <row r="100" spans="1:6" x14ac:dyDescent="0.45">
      <c r="A100" t="s">
        <v>977</v>
      </c>
      <c r="B100" t="s">
        <v>978</v>
      </c>
      <c r="C100">
        <v>57196029837</v>
      </c>
      <c r="D100">
        <v>57211444621</v>
      </c>
      <c r="E100">
        <v>98</v>
      </c>
      <c r="F100" t="str">
        <f>_xlfn.XLOOKUP(C100, '75'!$C$2:$C$1142, '75'!$F$2:$F$1142)</f>
        <v>ok</v>
      </c>
    </row>
    <row r="101" spans="1:6" x14ac:dyDescent="0.45">
      <c r="A101" t="s">
        <v>979</v>
      </c>
      <c r="B101" t="s">
        <v>980</v>
      </c>
      <c r="C101">
        <v>24178542700</v>
      </c>
      <c r="D101">
        <v>58917995400</v>
      </c>
      <c r="E101">
        <v>95</v>
      </c>
      <c r="F101" t="str">
        <f>_xlfn.XLOOKUP(C101, '75'!$C$2:$C$1142, '75'!$F$2:$F$1142)</f>
        <v>ok</v>
      </c>
    </row>
    <row r="102" spans="1:6" x14ac:dyDescent="0.45">
      <c r="A102" t="s">
        <v>1015</v>
      </c>
      <c r="B102" t="s">
        <v>1016</v>
      </c>
      <c r="C102">
        <v>56178007800</v>
      </c>
      <c r="D102">
        <v>57221311967</v>
      </c>
      <c r="E102">
        <v>93</v>
      </c>
      <c r="F102" t="str">
        <f>_xlfn.XLOOKUP(C102, '75'!$C$2:$C$1142, '75'!$F$2:$F$1142)</f>
        <v>no</v>
      </c>
    </row>
    <row r="103" spans="1:6" x14ac:dyDescent="0.45">
      <c r="A103" t="s">
        <v>1010</v>
      </c>
      <c r="B103" t="s">
        <v>1013</v>
      </c>
      <c r="C103">
        <v>57216771994</v>
      </c>
      <c r="D103">
        <v>7601513640</v>
      </c>
      <c r="E103">
        <v>94</v>
      </c>
      <c r="F103" t="str">
        <f>_xlfn.XLOOKUP(C103, '75'!$C$2:$C$1142, '75'!$F$2:$F$1142)</f>
        <v>no</v>
      </c>
    </row>
    <row r="104" spans="1:6" x14ac:dyDescent="0.45">
      <c r="A104" t="s">
        <v>1086</v>
      </c>
      <c r="B104" t="s">
        <v>1087</v>
      </c>
      <c r="C104">
        <v>35147042400</v>
      </c>
      <c r="D104">
        <v>57219498582</v>
      </c>
      <c r="E104">
        <v>95</v>
      </c>
      <c r="F104" t="str">
        <f>_xlfn.XLOOKUP(C104, '75'!$C$2:$C$1142, '75'!$F$2:$F$1142)</f>
        <v>no</v>
      </c>
    </row>
    <row r="105" spans="1:6" x14ac:dyDescent="0.45">
      <c r="A105" t="s">
        <v>1104</v>
      </c>
      <c r="B105" t="s">
        <v>1108</v>
      </c>
      <c r="C105">
        <v>57193678960</v>
      </c>
      <c r="D105">
        <v>55330996300</v>
      </c>
      <c r="E105">
        <v>90</v>
      </c>
      <c r="F105" t="str">
        <f>_xlfn.XLOOKUP(C105, '75'!$C$2:$C$1142, '75'!$F$2:$F$1142)</f>
        <v>no</v>
      </c>
    </row>
    <row r="106" spans="1:6" x14ac:dyDescent="0.45">
      <c r="A106" t="s">
        <v>1134</v>
      </c>
      <c r="B106" t="s">
        <v>1137</v>
      </c>
      <c r="C106">
        <v>57202010045</v>
      </c>
      <c r="D106">
        <v>58659062200</v>
      </c>
      <c r="E106">
        <v>96</v>
      </c>
      <c r="F106" t="str">
        <f>_xlfn.XLOOKUP(C106, '75'!$C$2:$C$1142, '75'!$F$2:$F$1142)</f>
        <v>no</v>
      </c>
    </row>
    <row r="107" spans="1:6" x14ac:dyDescent="0.45">
      <c r="A107" t="s">
        <v>1105</v>
      </c>
      <c r="B107" t="s">
        <v>1108</v>
      </c>
      <c r="C107">
        <v>57192159108</v>
      </c>
      <c r="D107">
        <v>55330996300</v>
      </c>
      <c r="E107">
        <v>95</v>
      </c>
      <c r="F107" t="str">
        <f>_xlfn.XLOOKUP(C107, '75'!$C$2:$C$1142, '75'!$F$2:$F$1142)</f>
        <v>no</v>
      </c>
    </row>
    <row r="108" spans="1:6" x14ac:dyDescent="0.45">
      <c r="A108" t="s">
        <v>1175</v>
      </c>
      <c r="B108" t="s">
        <v>1176</v>
      </c>
      <c r="C108">
        <v>57215871469</v>
      </c>
      <c r="D108">
        <v>59469547500</v>
      </c>
      <c r="E108">
        <v>91</v>
      </c>
      <c r="F108" t="str">
        <f>_xlfn.XLOOKUP(C108, '75'!$C$2:$C$1142, '75'!$F$2:$F$1142)</f>
        <v>ok</v>
      </c>
    </row>
    <row r="109" spans="1:6" x14ac:dyDescent="0.45">
      <c r="A109" t="s">
        <v>1108</v>
      </c>
      <c r="B109" t="s">
        <v>1112</v>
      </c>
      <c r="C109">
        <v>55330996300</v>
      </c>
      <c r="D109">
        <v>57220902381</v>
      </c>
      <c r="E109">
        <v>91</v>
      </c>
      <c r="F109" t="str">
        <f>_xlfn.XLOOKUP(C109, '75'!$C$2:$C$1142, '75'!$F$2:$F$1142)</f>
        <v>no</v>
      </c>
    </row>
    <row r="110" spans="1:6" x14ac:dyDescent="0.45">
      <c r="A110" t="s">
        <v>1156</v>
      </c>
      <c r="B110" t="s">
        <v>1142</v>
      </c>
      <c r="C110">
        <v>57545971500</v>
      </c>
      <c r="D110">
        <v>56591076800</v>
      </c>
      <c r="E110">
        <v>90</v>
      </c>
      <c r="F110" t="str">
        <f>_xlfn.XLOOKUP(C110, '75'!$C$2:$C$1142, '75'!$F$2:$F$1142)</f>
        <v>no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3BF3A-1AE0-4FE8-A057-35AFDFE1A260}">
  <dimension ref="A1:M10"/>
  <sheetViews>
    <sheetView workbookViewId="0">
      <selection activeCell="I7" sqref="I7"/>
    </sheetView>
  </sheetViews>
  <sheetFormatPr defaultRowHeight="14.25" x14ac:dyDescent="0.45"/>
  <cols>
    <col min="1" max="1" width="15.265625" bestFit="1" customWidth="1"/>
  </cols>
  <sheetData>
    <row r="1" spans="1:13" x14ac:dyDescent="0.45">
      <c r="B1">
        <v>75</v>
      </c>
      <c r="C1">
        <v>78</v>
      </c>
      <c r="D1">
        <v>80</v>
      </c>
      <c r="E1">
        <v>82</v>
      </c>
      <c r="F1">
        <v>85</v>
      </c>
      <c r="G1">
        <v>88</v>
      </c>
      <c r="H1">
        <v>90</v>
      </c>
    </row>
    <row r="2" spans="1:13" x14ac:dyDescent="0.45">
      <c r="A2" t="s">
        <v>1202</v>
      </c>
      <c r="B2" cm="1">
        <f t="array" ref="B2:B3">'75'!I2:I3</f>
        <v>0.11481156879929887</v>
      </c>
      <c r="C2" cm="1">
        <f t="array" ref="C2:C3">'78'!I2:I3</f>
        <v>0.18222891566265059</v>
      </c>
      <c r="D2" cm="1">
        <f t="array" ref="D2:D3">'80'!I2:I3</f>
        <v>0.22851153039832284</v>
      </c>
      <c r="E2" cm="1">
        <f t="array" ref="E2:E3">'82'!I2:I3</f>
        <v>0.31428571428571428</v>
      </c>
      <c r="F2" cm="1">
        <f t="array" ref="F2:F3">'85'!I2:I3</f>
        <v>0.43781094527363185</v>
      </c>
      <c r="G2" cm="1">
        <f t="array" ref="G2:G3">'88'!I2:I3</f>
        <v>0.57664233576642332</v>
      </c>
      <c r="H2" cm="1">
        <f t="array" ref="H2:H3">'90'!I2:I3</f>
        <v>0.7155963302752294</v>
      </c>
    </row>
    <row r="3" spans="1:13" x14ac:dyDescent="0.45">
      <c r="A3" t="s">
        <v>1203</v>
      </c>
      <c r="B3">
        <v>0.88518843120070112</v>
      </c>
      <c r="C3">
        <v>0.81777108433734935</v>
      </c>
      <c r="D3">
        <v>0.77148846960167716</v>
      </c>
      <c r="E3">
        <v>0.68571428571428572</v>
      </c>
      <c r="F3">
        <v>0.56218905472636815</v>
      </c>
      <c r="G3">
        <v>0.42335766423357662</v>
      </c>
      <c r="H3">
        <v>0.28440366972477066</v>
      </c>
    </row>
    <row r="5" spans="1:13" x14ac:dyDescent="0.45">
      <c r="B5">
        <v>75</v>
      </c>
      <c r="C5">
        <v>78</v>
      </c>
      <c r="D5">
        <v>80</v>
      </c>
      <c r="E5">
        <v>82</v>
      </c>
      <c r="F5">
        <v>85</v>
      </c>
      <c r="G5">
        <v>88</v>
      </c>
      <c r="H5">
        <v>90</v>
      </c>
    </row>
    <row r="6" spans="1:13" x14ac:dyDescent="0.45">
      <c r="A6" t="s">
        <v>1204</v>
      </c>
      <c r="B6" cm="1">
        <f t="array" ref="B6:B7">'75'!J2:J3</f>
        <v>131</v>
      </c>
      <c r="C6" cm="1">
        <f t="array" ref="C6:C7">'78'!J2:J3</f>
        <v>121</v>
      </c>
      <c r="D6" cm="1">
        <f t="array" ref="D6:D7">'80'!J2:J3</f>
        <v>109</v>
      </c>
      <c r="E6" cm="1">
        <f t="array" ref="E6:E7">'82'!J2:J3</f>
        <v>99</v>
      </c>
      <c r="F6" cm="1">
        <f t="array" ref="F6:F7">'85'!J2:J3</f>
        <v>88</v>
      </c>
      <c r="G6" cm="1">
        <f t="array" ref="G6:G7">'88'!J2:J3</f>
        <v>79</v>
      </c>
      <c r="H6" cm="1">
        <f t="array" ref="H6:H7">'90'!J2:J3</f>
        <v>78</v>
      </c>
    </row>
    <row r="7" spans="1:13" x14ac:dyDescent="0.45">
      <c r="A7" t="s">
        <v>1205</v>
      </c>
      <c r="B7">
        <v>1010</v>
      </c>
      <c r="C7">
        <v>543</v>
      </c>
      <c r="D7">
        <v>368</v>
      </c>
      <c r="E7">
        <v>216</v>
      </c>
      <c r="F7">
        <v>113</v>
      </c>
      <c r="G7">
        <v>58</v>
      </c>
      <c r="H7">
        <v>31</v>
      </c>
    </row>
    <row r="10" spans="1:13" x14ac:dyDescent="0.45">
      <c r="M10" t="s">
        <v>1206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75</vt:lpstr>
      <vt:lpstr>78</vt:lpstr>
      <vt:lpstr>80</vt:lpstr>
      <vt:lpstr>82</vt:lpstr>
      <vt:lpstr>85</vt:lpstr>
      <vt:lpstr>88</vt:lpstr>
      <vt:lpstr>90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Pocrnjic</dc:creator>
  <cp:lastModifiedBy>Tania Pocrnjic</cp:lastModifiedBy>
  <dcterms:created xsi:type="dcterms:W3CDTF">2026-03-05T03:39:03Z</dcterms:created>
  <dcterms:modified xsi:type="dcterms:W3CDTF">2026-03-07T03:45:24Z</dcterms:modified>
</cp:coreProperties>
</file>