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itconsultinginc-my.sharepoint.com/personal/tania_tmit_ca/Documents/Documents/juan/"/>
    </mc:Choice>
  </mc:AlternateContent>
  <xr:revisionPtr revIDLastSave="272" documentId="8_{B977C1F8-4701-4AC5-818F-9599233F245C}" xr6:coauthVersionLast="47" xr6:coauthVersionMax="47" xr10:uidLastSave="{A91D0787-2140-4DFE-AB6F-07DC6F6F960C}"/>
  <bookViews>
    <workbookView xWindow="-83" yWindow="-83" windowWidth="21766" windowHeight="13846" xr2:uid="{ECC1C6B3-E555-425F-9656-7FEB29A2B553}"/>
  </bookViews>
  <sheets>
    <sheet name="75" sheetId="1" r:id="rId1"/>
    <sheet name="78" sheetId="2" r:id="rId2"/>
    <sheet name="80" sheetId="3" r:id="rId3"/>
    <sheet name="82" sheetId="4" r:id="rId4"/>
    <sheet name="85" sheetId="5" r:id="rId5"/>
    <sheet name="88" sheetId="6" r:id="rId6"/>
    <sheet name="90" sheetId="7" r:id="rId7"/>
    <sheet name="comparisons" sheetId="8" r:id="rId8"/>
  </sheets>
  <definedNames>
    <definedName name="_xlnm._FilterDatabase" localSheetId="0" hidden="1">'75'!$A$1:$F$509</definedName>
    <definedName name="_xlnm._FilterDatabase" localSheetId="4" hidden="1">'85'!$A$1:$F$159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" l="1"/>
  <c r="F5" i="7"/>
  <c r="F6" i="7"/>
  <c r="F7" i="7"/>
  <c r="F8" i="7"/>
  <c r="F9" i="7"/>
  <c r="F10" i="7"/>
  <c r="F11" i="7"/>
  <c r="F12" i="7"/>
  <c r="F13" i="7"/>
  <c r="F14" i="7"/>
  <c r="F16" i="7"/>
  <c r="F18" i="7"/>
  <c r="F20" i="7"/>
  <c r="F21" i="7"/>
  <c r="F22" i="7"/>
  <c r="F23" i="7"/>
  <c r="F24" i="7"/>
  <c r="F25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8" i="7"/>
  <c r="F59" i="7"/>
  <c r="F60" i="7"/>
  <c r="F61" i="7"/>
  <c r="F62" i="7"/>
  <c r="F63" i="7"/>
  <c r="F64" i="7"/>
  <c r="F66" i="7"/>
  <c r="F68" i="7"/>
  <c r="F69" i="7"/>
  <c r="F70" i="7"/>
  <c r="F73" i="7"/>
  <c r="F74" i="7"/>
  <c r="F75" i="7"/>
  <c r="F76" i="7"/>
  <c r="F77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1" i="7"/>
  <c r="F102" i="7"/>
  <c r="F103" i="7"/>
  <c r="F2" i="7"/>
  <c r="F2" i="2"/>
  <c r="F3" i="6"/>
  <c r="F5" i="6"/>
  <c r="F6" i="6"/>
  <c r="F7" i="6"/>
  <c r="F8" i="6"/>
  <c r="F9" i="6"/>
  <c r="F10" i="6"/>
  <c r="F11" i="6"/>
  <c r="F12" i="6"/>
  <c r="F13" i="6"/>
  <c r="F14" i="6"/>
  <c r="F15" i="6"/>
  <c r="F16" i="6"/>
  <c r="F19" i="6"/>
  <c r="F22" i="6"/>
  <c r="F24" i="6"/>
  <c r="F25" i="6"/>
  <c r="F26" i="6"/>
  <c r="F27" i="6"/>
  <c r="F28" i="6"/>
  <c r="F29" i="6"/>
  <c r="F30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9" i="6"/>
  <c r="F70" i="6"/>
  <c r="F71" i="6"/>
  <c r="F72" i="6"/>
  <c r="F73" i="6"/>
  <c r="F74" i="6"/>
  <c r="F75" i="6"/>
  <c r="F76" i="6"/>
  <c r="F77" i="6"/>
  <c r="F78" i="6"/>
  <c r="F80" i="6"/>
  <c r="F82" i="6"/>
  <c r="F83" i="6"/>
  <c r="F84" i="6"/>
  <c r="F85" i="6"/>
  <c r="F88" i="6"/>
  <c r="F89" i="6"/>
  <c r="F90" i="6"/>
  <c r="F91" i="6"/>
  <c r="F92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7" i="6"/>
  <c r="F118" i="6"/>
  <c r="F119" i="6"/>
  <c r="F121" i="6"/>
  <c r="F122" i="6"/>
  <c r="F123" i="6"/>
  <c r="F2" i="6"/>
  <c r="F3" i="2"/>
  <c r="F3" i="5"/>
  <c r="F4" i="5"/>
  <c r="F5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3" i="5"/>
  <c r="F26" i="5"/>
  <c r="F27" i="5"/>
  <c r="F30" i="5"/>
  <c r="F31" i="5"/>
  <c r="F32" i="5"/>
  <c r="F33" i="5"/>
  <c r="F34" i="5"/>
  <c r="F35" i="5"/>
  <c r="F36" i="5"/>
  <c r="F37" i="5"/>
  <c r="F38" i="5"/>
  <c r="F39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1" i="5"/>
  <c r="F102" i="5"/>
  <c r="F104" i="5"/>
  <c r="F105" i="5"/>
  <c r="F106" i="5"/>
  <c r="F107" i="5"/>
  <c r="F110" i="5"/>
  <c r="F111" i="5"/>
  <c r="F112" i="5"/>
  <c r="F113" i="5"/>
  <c r="F114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5" i="5"/>
  <c r="F147" i="5"/>
  <c r="F148" i="5"/>
  <c r="F149" i="5"/>
  <c r="F150" i="5"/>
  <c r="F151" i="5"/>
  <c r="F152" i="5"/>
  <c r="F154" i="5"/>
  <c r="F155" i="5"/>
  <c r="F156" i="5"/>
  <c r="F158" i="5"/>
  <c r="F159" i="5"/>
  <c r="F2" i="5"/>
  <c r="F2" i="4"/>
  <c r="F3" i="4"/>
  <c r="F4" i="4"/>
  <c r="F5" i="4"/>
  <c r="F6" i="4"/>
  <c r="F7" i="4"/>
  <c r="F8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6" i="4"/>
  <c r="F28" i="4"/>
  <c r="F30" i="4"/>
  <c r="F31" i="4"/>
  <c r="F32" i="4"/>
  <c r="F35" i="4"/>
  <c r="F36" i="4"/>
  <c r="F37" i="4"/>
  <c r="F38" i="4"/>
  <c r="F39" i="4"/>
  <c r="F40" i="4"/>
  <c r="F41" i="4"/>
  <c r="F42" i="4"/>
  <c r="F43" i="4"/>
  <c r="F44" i="4"/>
  <c r="F45" i="4"/>
  <c r="F46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104" i="4"/>
  <c r="F105" i="4"/>
  <c r="F106" i="4"/>
  <c r="F107" i="4"/>
  <c r="F108" i="4"/>
  <c r="F109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9" i="4"/>
  <c r="F130" i="4"/>
  <c r="F132" i="4"/>
  <c r="F133" i="4"/>
  <c r="F134" i="4"/>
  <c r="F135" i="4"/>
  <c r="F138" i="4"/>
  <c r="F140" i="4"/>
  <c r="F141" i="4"/>
  <c r="F142" i="4"/>
  <c r="F143" i="4"/>
  <c r="F144" i="4"/>
  <c r="F145" i="4"/>
  <c r="F146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7" i="4"/>
  <c r="F189" i="4"/>
  <c r="F190" i="4"/>
  <c r="F191" i="4"/>
  <c r="F192" i="4"/>
  <c r="F196" i="4"/>
  <c r="F197" i="4"/>
  <c r="F200" i="4"/>
  <c r="F202" i="4"/>
  <c r="F203" i="4"/>
  <c r="F204" i="4"/>
  <c r="F205" i="4"/>
  <c r="F206" i="4"/>
  <c r="F207" i="4"/>
  <c r="F208" i="4"/>
  <c r="F209" i="4"/>
  <c r="F211" i="4"/>
  <c r="F212" i="4"/>
  <c r="F214" i="4"/>
  <c r="F215" i="4"/>
  <c r="F216" i="4"/>
  <c r="F217" i="4"/>
  <c r="F219" i="4"/>
  <c r="F220" i="4"/>
  <c r="F2" i="3"/>
  <c r="F3" i="3"/>
  <c r="F4" i="3"/>
  <c r="F5" i="3"/>
  <c r="F6" i="3"/>
  <c r="F7" i="3"/>
  <c r="F8" i="3"/>
  <c r="F9" i="3"/>
  <c r="F10" i="3"/>
  <c r="F11" i="3"/>
  <c r="F12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2" i="3"/>
  <c r="F35" i="3"/>
  <c r="F36" i="3"/>
  <c r="F38" i="3"/>
  <c r="F39" i="3"/>
  <c r="F41" i="3"/>
  <c r="F42" i="3"/>
  <c r="F43" i="3"/>
  <c r="F44" i="3"/>
  <c r="F47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43" i="3"/>
  <c r="F144" i="3"/>
  <c r="F145" i="3"/>
  <c r="F146" i="3"/>
  <c r="F147" i="3"/>
  <c r="F148" i="3"/>
  <c r="F149" i="3"/>
  <c r="F150" i="3"/>
  <c r="F151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3" i="3"/>
  <c r="F174" i="3"/>
  <c r="F175" i="3"/>
  <c r="F176" i="3"/>
  <c r="F177" i="3"/>
  <c r="F178" i="3"/>
  <c r="F179" i="3"/>
  <c r="F181" i="3"/>
  <c r="F182" i="3"/>
  <c r="F184" i="3"/>
  <c r="F185" i="3"/>
  <c r="F186" i="3"/>
  <c r="F187" i="3"/>
  <c r="F190" i="3"/>
  <c r="F192" i="3"/>
  <c r="F193" i="3"/>
  <c r="F194" i="3"/>
  <c r="F195" i="3"/>
  <c r="F196" i="3"/>
  <c r="F197" i="3"/>
  <c r="F198" i="3"/>
  <c r="F200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6" i="3"/>
  <c r="F247" i="3"/>
  <c r="F248" i="3"/>
  <c r="F251" i="3"/>
  <c r="F252" i="3"/>
  <c r="F253" i="3"/>
  <c r="F254" i="3"/>
  <c r="F255" i="3"/>
  <c r="F256" i="3"/>
  <c r="F257" i="3"/>
  <c r="F261" i="3"/>
  <c r="F262" i="3"/>
  <c r="F265" i="3"/>
  <c r="F267" i="3"/>
  <c r="F268" i="3"/>
  <c r="F269" i="3"/>
  <c r="F270" i="3"/>
  <c r="F271" i="3"/>
  <c r="F273" i="3"/>
  <c r="F274" i="3"/>
  <c r="F275" i="3"/>
  <c r="F276" i="3"/>
  <c r="F277" i="3"/>
  <c r="F278" i="3"/>
  <c r="F280" i="3"/>
  <c r="F281" i="3"/>
  <c r="F283" i="3"/>
  <c r="F284" i="3"/>
  <c r="F285" i="3"/>
  <c r="F286" i="3"/>
  <c r="F287" i="3"/>
  <c r="F288" i="3"/>
  <c r="F290" i="3"/>
  <c r="F291" i="3"/>
  <c r="J3" i="1"/>
  <c r="J2" i="1"/>
  <c r="I2" i="1" a="1"/>
  <c r="I2" i="1" s="1"/>
  <c r="F4" i="2"/>
  <c r="F5" i="2"/>
  <c r="F6" i="2"/>
  <c r="F7" i="2"/>
  <c r="F8" i="2"/>
  <c r="F9" i="2"/>
  <c r="F10" i="2"/>
  <c r="F11" i="2"/>
  <c r="F12" i="2"/>
  <c r="F13" i="2"/>
  <c r="F14" i="2"/>
  <c r="F15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6" i="2"/>
  <c r="F37" i="2"/>
  <c r="F42" i="2"/>
  <c r="F43" i="2"/>
  <c r="F45" i="2"/>
  <c r="F46" i="2"/>
  <c r="F47" i="2"/>
  <c r="F49" i="2"/>
  <c r="F50" i="2"/>
  <c r="F51" i="2"/>
  <c r="F52" i="2"/>
  <c r="F54" i="2"/>
  <c r="F57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61" i="2"/>
  <c r="F163" i="2"/>
  <c r="F164" i="2"/>
  <c r="F165" i="2"/>
  <c r="F166" i="2"/>
  <c r="F167" i="2"/>
  <c r="F168" i="2"/>
  <c r="F169" i="2"/>
  <c r="F170" i="2"/>
  <c r="F171" i="2"/>
  <c r="F172" i="2"/>
  <c r="F173" i="2"/>
  <c r="F175" i="2"/>
  <c r="F176" i="2"/>
  <c r="F177" i="2"/>
  <c r="F178" i="2"/>
  <c r="F179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9" i="2"/>
  <c r="F200" i="2"/>
  <c r="F201" i="2"/>
  <c r="F202" i="2"/>
  <c r="F203" i="2"/>
  <c r="F204" i="2"/>
  <c r="F205" i="2"/>
  <c r="F206" i="2"/>
  <c r="F208" i="2"/>
  <c r="F209" i="2"/>
  <c r="F211" i="2"/>
  <c r="F212" i="2"/>
  <c r="F213" i="2"/>
  <c r="F214" i="2"/>
  <c r="F215" i="2"/>
  <c r="F218" i="2"/>
  <c r="F220" i="2"/>
  <c r="F222" i="2"/>
  <c r="F223" i="2"/>
  <c r="F224" i="2"/>
  <c r="F225" i="2"/>
  <c r="F226" i="2"/>
  <c r="F227" i="2"/>
  <c r="F228" i="2"/>
  <c r="F230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81" i="2"/>
  <c r="F282" i="2"/>
  <c r="F283" i="2"/>
  <c r="F285" i="2"/>
  <c r="F287" i="2"/>
  <c r="F288" i="2"/>
  <c r="F289" i="2"/>
  <c r="F290" i="2"/>
  <c r="F291" i="2"/>
  <c r="F292" i="2"/>
  <c r="F293" i="2"/>
  <c r="F294" i="2"/>
  <c r="F295" i="2"/>
  <c r="F299" i="2"/>
  <c r="F300" i="2"/>
  <c r="F303" i="2"/>
  <c r="F305" i="2"/>
  <c r="F306" i="2"/>
  <c r="F307" i="2"/>
  <c r="F308" i="2"/>
  <c r="F309" i="2"/>
  <c r="F311" i="2"/>
  <c r="F312" i="2"/>
  <c r="F313" i="2"/>
  <c r="F314" i="2"/>
  <c r="F315" i="2"/>
  <c r="F316" i="2"/>
  <c r="F317" i="2"/>
  <c r="F318" i="2"/>
  <c r="F320" i="2"/>
  <c r="F321" i="2"/>
  <c r="F322" i="2"/>
  <c r="F324" i="2"/>
  <c r="F325" i="2"/>
  <c r="F327" i="2"/>
  <c r="F328" i="2"/>
  <c r="F329" i="2"/>
  <c r="F330" i="2"/>
  <c r="F332" i="2"/>
  <c r="F333" i="2"/>
  <c r="F334" i="2"/>
  <c r="F335" i="2"/>
  <c r="F337" i="2"/>
  <c r="F338" i="2"/>
  <c r="I3" i="1" a="1"/>
  <c r="I3" i="1" s="1"/>
  <c r="B6" i="8" l="1" a="1"/>
  <c r="B6" i="8" s="1"/>
  <c r="B2" i="8" a="1"/>
  <c r="B2" i="8" s="1"/>
  <c r="I2" i="3"/>
  <c r="J2" i="4"/>
  <c r="E6" i="8" s="1" a="1"/>
  <c r="E6" i="8" s="1"/>
  <c r="I3" i="3"/>
  <c r="I3" i="6"/>
  <c r="J3" i="7"/>
  <c r="J3" i="6"/>
  <c r="J3" i="4"/>
  <c r="J2" i="5"/>
  <c r="F6" i="8" s="1" a="1"/>
  <c r="F6" i="8" s="1"/>
  <c r="J3" i="5"/>
  <c r="J2" i="3"/>
  <c r="J3" i="3"/>
  <c r="I2" i="5"/>
  <c r="I2" i="7"/>
  <c r="I2" i="4"/>
  <c r="I3" i="5"/>
  <c r="I3" i="7"/>
  <c r="I3" i="4"/>
  <c r="I2" i="6"/>
  <c r="J2" i="7"/>
  <c r="H6" i="8" s="1" a="1"/>
  <c r="H6" i="8" s="1"/>
  <c r="I2" i="2"/>
  <c r="C2" i="8" s="1" a="1"/>
  <c r="C2" i="8" s="1"/>
  <c r="J2" i="6"/>
  <c r="G6" i="8" s="1" a="1"/>
  <c r="G6" i="8" s="1"/>
  <c r="J3" i="2"/>
  <c r="I3" i="2"/>
  <c r="J2" i="2"/>
  <c r="G2" i="8" l="1" a="1"/>
  <c r="G2" i="8" s="1"/>
  <c r="D2" i="8" a="1"/>
  <c r="D2" i="8" s="1"/>
  <c r="C6" i="8" a="1"/>
  <c r="C6" i="8" s="1"/>
  <c r="E2" i="8" a="1"/>
  <c r="E2" i="8" s="1"/>
  <c r="H2" i="8" a="1"/>
  <c r="H2" i="8" s="1"/>
  <c r="F2" i="8" a="1"/>
  <c r="F2" i="8" s="1"/>
  <c r="D6" i="8" a="1"/>
  <c r="D6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<sst xmlns="http://schemas.openxmlformats.org/spreadsheetml/2006/main" count="7714" uniqueCount="1524">
  <si>
    <t>name1</t>
  </si>
  <si>
    <t>name2</t>
  </si>
  <si>
    <t>id1</t>
  </si>
  <si>
    <t>id2</t>
  </si>
  <si>
    <t>similarity_score</t>
  </si>
  <si>
    <t>ahmed alâ€rawi</t>
  </si>
  <si>
    <t>ahmed al-rawi</t>
  </si>
  <si>
    <t>A5050245548</t>
  </si>
  <si>
    <t>A5093769593</t>
  </si>
  <si>
    <t>gail s anderson</t>
  </si>
  <si>
    <t>a m anderson</t>
  </si>
  <si>
    <t>A5046194198</t>
  </si>
  <si>
    <t>A5043746917</t>
  </si>
  <si>
    <t>aspen anderson</t>
  </si>
  <si>
    <t>A5019882570</t>
  </si>
  <si>
    <t>d g armstrong</t>
  </si>
  <si>
    <t>kyle m armstrong</t>
  </si>
  <si>
    <t>A5109229854</t>
  </si>
  <si>
    <t>A5071425274</t>
  </si>
  <si>
    <t>vinÃ­cius c azevedo</t>
  </si>
  <si>
    <t>vinicius c azevedo</t>
  </si>
  <si>
    <t>A5112368463</t>
  </si>
  <si>
    <t>A5103260690</t>
  </si>
  <si>
    <t>scott c anderson</t>
  </si>
  <si>
    <t>sean c anderson</t>
  </si>
  <si>
    <t>A5081601519</t>
  </si>
  <si>
    <t>A5081686405</t>
  </si>
  <si>
    <t>niloufar aran</t>
  </si>
  <si>
    <t>niloufar abhari</t>
  </si>
  <si>
    <t>A5086077761</t>
  </si>
  <si>
    <t>A5034158753</t>
  </si>
  <si>
    <t>joshua d alampi</t>
  </si>
  <si>
    <t>josh alampi</t>
  </si>
  <si>
    <t>A5005530879</t>
  </si>
  <si>
    <t>A5064096264</t>
  </si>
  <si>
    <t>neilofar amiri</t>
  </si>
  <si>
    <t>A5088404611</t>
  </si>
  <si>
    <t>amirhossein alimohammadi</t>
  </si>
  <si>
    <t>amirhossein alizadehkhaledi</t>
  </si>
  <si>
    <t>A5035619284</t>
  </si>
  <si>
    <t>A5019710534</t>
  </si>
  <si>
    <t>nadra ansari</t>
  </si>
  <si>
    <t>neda anvari</t>
  </si>
  <si>
    <t>A5058829130</t>
  </si>
  <si>
    <t>A5085378218</t>
  </si>
  <si>
    <t>s beale</t>
  </si>
  <si>
    <t>s beaupre</t>
  </si>
  <si>
    <t>A5113500609</t>
  </si>
  <si>
    <t>A5109835861</t>
  </si>
  <si>
    <t>ivan v bajiÄ‡</t>
  </si>
  <si>
    <t>lvan v bajic</t>
  </si>
  <si>
    <t>A5012187461</t>
  </si>
  <si>
    <t>A5093208285</t>
  </si>
  <si>
    <t>robert britton</t>
  </si>
  <si>
    <t>robert beringer</t>
  </si>
  <si>
    <t>A5014010162</t>
  </si>
  <si>
    <t>A5080379500</t>
  </si>
  <si>
    <t>mark a brockman</t>
  </si>
  <si>
    <t>ma brockman</t>
  </si>
  <si>
    <t>A5021397351</t>
  </si>
  <si>
    <t>A5062945775</t>
  </si>
  <si>
    <t>nicholas blomley</t>
  </si>
  <si>
    <t>nicholas brunelle</t>
  </si>
  <si>
    <t>A5028312431</t>
  </si>
  <si>
    <t>A5008301049</t>
  </si>
  <si>
    <t>behraad bahreyni</t>
  </si>
  <si>
    <t>behdad bahrani</t>
  </si>
  <si>
    <t>A5014284015</t>
  </si>
  <si>
    <t>A5115910521</t>
  </si>
  <si>
    <t>roberta berard</t>
  </si>
  <si>
    <t>A5032187087</t>
  </si>
  <si>
    <t>andrew p blaber</t>
  </si>
  <si>
    <t>andrew phillip blaber</t>
  </si>
  <si>
    <t>A5111618673</t>
  </si>
  <si>
    <t>A5113110122</t>
  </si>
  <si>
    <t>matthew brown</t>
  </si>
  <si>
    <t>matthew berkowitz</t>
  </si>
  <si>
    <t>A5041724055</t>
  </si>
  <si>
    <t>A5060702246</t>
  </si>
  <si>
    <t>christopher beh</t>
  </si>
  <si>
    <t>johnâ€christopher boyer</t>
  </si>
  <si>
    <t>A5012256170</t>
  </si>
  <si>
    <t>A5015743921</t>
  </si>
  <si>
    <t>christopher buse</t>
  </si>
  <si>
    <t>A5118970217</t>
  </si>
  <si>
    <t>tom c brown</t>
  </si>
  <si>
    <t>tom brown</t>
  </si>
  <si>
    <t>A5112796676</t>
  </si>
  <si>
    <t>A5078745916</t>
  </si>
  <si>
    <t>andreÇ a bulatov</t>
  </si>
  <si>
    <t>andreÄ­ a bulatov</t>
  </si>
  <si>
    <t>A5103266587</t>
  </si>
  <si>
    <t>A5108247017</t>
  </si>
  <si>
    <t>douglas c braun</t>
  </si>
  <si>
    <t>doug r braun</t>
  </si>
  <si>
    <t>A5113442963</t>
  </si>
  <si>
    <t>A5103066580</t>
  </si>
  <si>
    <t>megan barker</t>
  </si>
  <si>
    <t>megan k barker</t>
  </si>
  <si>
    <t>A5056468452</t>
  </si>
  <si>
    <t>A5054202306</t>
  </si>
  <si>
    <t>tim u h baumeister</t>
  </si>
  <si>
    <t>tim baumeister</t>
  </si>
  <si>
    <t>A5019595229</t>
  </si>
  <si>
    <t>A5058323325</t>
  </si>
  <si>
    <t>chandan bhardwaj</t>
  </si>
  <si>
    <t>ajay bhardwaj</t>
  </si>
  <si>
    <t>A5038524753</t>
  </si>
  <si>
    <t>A5103173680</t>
  </si>
  <si>
    <t>andreea bratu</t>
  </si>
  <si>
    <t>andreea barbu</t>
  </si>
  <si>
    <t>A5064542404</t>
  </si>
  <si>
    <t>A5098667658</t>
  </si>
  <si>
    <t>carmelina barone</t>
  </si>
  <si>
    <t>celine barton</t>
  </si>
  <si>
    <t>A5070712495</t>
  </si>
  <si>
    <t>A5086551641</t>
  </si>
  <si>
    <t>cÃ©cile bullock</t>
  </si>
  <si>
    <t>cÃ©cile sabatier bullock</t>
  </si>
  <si>
    <t>A5109673885</t>
  </si>
  <si>
    <t>A5103921231</t>
  </si>
  <si>
    <t>jil a busmann</t>
  </si>
  <si>
    <t>jil busmann</t>
  </si>
  <si>
    <t>A5072224327</t>
  </si>
  <si>
    <t>A5074527350</t>
  </si>
  <si>
    <t>adrienne berchtold</t>
  </si>
  <si>
    <t>adrienne barcket</t>
  </si>
  <si>
    <t>A5016375531</t>
  </si>
  <si>
    <t>A5114322973</t>
  </si>
  <si>
    <t>lindsay bochon</t>
  </si>
  <si>
    <t>lindsay babcock</t>
  </si>
  <si>
    <t>A5079541410</t>
  </si>
  <si>
    <t>A5049612023</t>
  </si>
  <si>
    <t>florian baer</t>
  </si>
  <si>
    <t>florian r bÃ¤r</t>
  </si>
  <si>
    <t>A5066677866</t>
  </si>
  <si>
    <t>A5092691914</t>
  </si>
  <si>
    <t>andrew l bickell</t>
  </si>
  <si>
    <t>al bickell</t>
  </si>
  <si>
    <t>A5091568340</t>
  </si>
  <si>
    <t>A5098008944</t>
  </si>
  <si>
    <t>monica bhattacharjee</t>
  </si>
  <si>
    <t>paloma bhattacharjee</t>
  </si>
  <si>
    <t>A5044573188</t>
  </si>
  <si>
    <t>A5010444190</t>
  </si>
  <si>
    <t>zohra bhimani</t>
  </si>
  <si>
    <t>azra bhanji</t>
  </si>
  <si>
    <t>A5047260551</t>
  </si>
  <si>
    <t>A5092223217</t>
  </si>
  <si>
    <t>scott e bernstein</t>
  </si>
  <si>
    <t>scott bernstein</t>
  </si>
  <si>
    <t>A5057881599</t>
  </si>
  <si>
    <t>A5002125273</t>
  </si>
  <si>
    <t>alishba bibal</t>
  </si>
  <si>
    <t>alishba bilal</t>
  </si>
  <si>
    <t>A5115512232</t>
  </si>
  <si>
    <t>A5112957369</t>
  </si>
  <si>
    <t>christoph batist</t>
  </si>
  <si>
    <t>A5100235053</t>
  </si>
  <si>
    <t>ignacio calderon de la barca</t>
  </si>
  <si>
    <t>igacio calderon de la barca</t>
  </si>
  <si>
    <t>A5017248675</t>
  </si>
  <si>
    <t>A5050733708</t>
  </si>
  <si>
    <t>z brumme</t>
  </si>
  <si>
    <t>zl brumme</t>
  </si>
  <si>
    <t>A5075252668</t>
  </si>
  <si>
    <t>A5084001641</t>
  </si>
  <si>
    <t>mirzafaisal beg</t>
  </si>
  <si>
    <t>mirza faisal beg</t>
  </si>
  <si>
    <t>A5104015115</t>
  </si>
  <si>
    <t>A5000972836</t>
  </si>
  <si>
    <t>john j clague</t>
  </si>
  <si>
    <t>j j clague</t>
  </si>
  <si>
    <t>A5090873433</t>
  </si>
  <si>
    <t>A5000296592</t>
  </si>
  <si>
    <t>sheelagh carpendale</t>
  </si>
  <si>
    <t>hannah carpendale</t>
  </si>
  <si>
    <t>A5012561411</t>
  </si>
  <si>
    <t>A5116816635</t>
  </si>
  <si>
    <t>jennifer a chan</t>
  </si>
  <si>
    <t>jennifer c y chan</t>
  </si>
  <si>
    <t>A5067228740</t>
  </si>
  <si>
    <t>A5029500670</t>
  </si>
  <si>
    <t>mo chen</t>
  </si>
  <si>
    <t>j chen</t>
  </si>
  <si>
    <t>A5100387244</t>
  </si>
  <si>
    <t>A5107886267</t>
  </si>
  <si>
    <t>long chen</t>
  </si>
  <si>
    <t>A5100336421</t>
  </si>
  <si>
    <t>imin chen</t>
  </si>
  <si>
    <t>A5024124555</t>
  </si>
  <si>
    <t>caroline colijn</t>
  </si>
  <si>
    <t>caroline coljin</t>
  </si>
  <si>
    <t>A5091754800</t>
  </si>
  <si>
    <t>A5019122524</t>
  </si>
  <si>
    <t>caroline colijin</t>
  </si>
  <si>
    <t>A5092252314</t>
  </si>
  <si>
    <t>sarah l canham</t>
  </si>
  <si>
    <t>rachel canham</t>
  </si>
  <si>
    <t>A5056237664</t>
  </si>
  <si>
    <t>A5034142600</t>
  </si>
  <si>
    <t>jing chen</t>
  </si>
  <si>
    <t>gang chen</t>
  </si>
  <si>
    <t>A5100394876</t>
  </si>
  <si>
    <t>A5100389308</t>
  </si>
  <si>
    <t>si chen</t>
  </si>
  <si>
    <t>A5100366176</t>
  </si>
  <si>
    <t>yi-ting chen</t>
  </si>
  <si>
    <t>A5100348255</t>
  </si>
  <si>
    <t>xi chen</t>
  </si>
  <si>
    <t>A5100690182</t>
  </si>
  <si>
    <t>yuxi chen</t>
  </si>
  <si>
    <t>A5100764265</t>
  </si>
  <si>
    <t>brian e conway</t>
  </si>
  <si>
    <t>brian conway</t>
  </si>
  <si>
    <t>A5109163734</t>
  </si>
  <si>
    <t>A5101537673</t>
  </si>
  <si>
    <t>david c clarke</t>
  </si>
  <si>
    <t>dave clarke</t>
  </si>
  <si>
    <t>A5062270975</t>
  </si>
  <si>
    <t>A5075735110</t>
  </si>
  <si>
    <t>dave c clarke</t>
  </si>
  <si>
    <t>A5112840346</t>
  </si>
  <si>
    <t>julian k christians</t>
  </si>
  <si>
    <t>aisha k christiansen</t>
  </si>
  <si>
    <t>A5076318644</t>
  </si>
  <si>
    <t>A5008836455</t>
  </si>
  <si>
    <t>deborah a connolly</t>
  </si>
  <si>
    <t>deb connolly</t>
  </si>
  <si>
    <t>A5014109821</t>
  </si>
  <si>
    <t>A5066779521</t>
  </si>
  <si>
    <t>teresa cheung</t>
  </si>
  <si>
    <t>tessa cheng</t>
  </si>
  <si>
    <t>A5077739432</t>
  </si>
  <si>
    <t>A5051697024</t>
  </si>
  <si>
    <t>teresa p cheung</t>
  </si>
  <si>
    <t>A5079537793</t>
  </si>
  <si>
    <t>anita t cotÃ©</t>
  </si>
  <si>
    <t>anita cotÃ©</t>
  </si>
  <si>
    <t>A5072214202</t>
  </si>
  <si>
    <t>A5066224186</t>
  </si>
  <si>
    <t>william a cupples</t>
  </si>
  <si>
    <t>w a cupples</t>
  </si>
  <si>
    <t>A5110868279</t>
  </si>
  <si>
    <t>A5110810484</t>
  </si>
  <si>
    <t>rebecca j cobb</t>
  </si>
  <si>
    <t>rebecca d cox</t>
  </si>
  <si>
    <t>A5000846228</t>
  </si>
  <si>
    <t>A5024026724</t>
  </si>
  <si>
    <t>john f chant</t>
  </si>
  <si>
    <t>john p canal</t>
  </si>
  <si>
    <t>A5010169014</t>
  </si>
  <si>
    <t>A5054278216</t>
  </si>
  <si>
    <t>stephen choi</t>
  </si>
  <si>
    <t>stephen collis</t>
  </si>
  <si>
    <t>A5046677225</t>
  </si>
  <si>
    <t>A5015481958</t>
  </si>
  <si>
    <t>stephen chastain</t>
  </si>
  <si>
    <t>A5016082339</t>
  </si>
  <si>
    <t>daniel chang</t>
  </si>
  <si>
    <t>dave chang</t>
  </si>
  <si>
    <t>A5044668950</t>
  </si>
  <si>
    <t>A5011390842</t>
  </si>
  <si>
    <t>daniel chiang</t>
  </si>
  <si>
    <t>A5006979877</t>
  </si>
  <si>
    <t>julia carr</t>
  </si>
  <si>
    <t>a carr</t>
  </si>
  <si>
    <t>A5033404204</t>
  </si>
  <si>
    <t>A5081082111</t>
  </si>
  <si>
    <t>kristin chong</t>
  </si>
  <si>
    <t>christine chuong</t>
  </si>
  <si>
    <t>A5104109440</t>
  </si>
  <si>
    <t>A5083724661</t>
  </si>
  <si>
    <t>vanessa cheung</t>
  </si>
  <si>
    <t>A5119532228</t>
  </si>
  <si>
    <t>im cÃ´tÃ©</t>
  </si>
  <si>
    <t>a m cÃ´tÃ©</t>
  </si>
  <si>
    <t>A5027736032</t>
  </si>
  <si>
    <t>A5011587569</t>
  </si>
  <si>
    <t>qimin chen</t>
  </si>
  <si>
    <t>A5069419461</t>
  </si>
  <si>
    <t>maude comtoisâ€cabana</t>
  </si>
  <si>
    <t>maude comtois cabana</t>
  </si>
  <si>
    <t>A5071955961</t>
  </si>
  <si>
    <t>A5007654876</t>
  </si>
  <si>
    <t>dani chu</t>
  </si>
  <si>
    <t>annica chu</t>
  </si>
  <si>
    <t>A5083177316</t>
  </si>
  <si>
    <t>A5065197663</t>
  </si>
  <si>
    <t>a carter</t>
  </si>
  <si>
    <t>A5004107679</t>
  </si>
  <si>
    <t>stephanie j cooper</t>
  </si>
  <si>
    <t>stephanie cooper</t>
  </si>
  <si>
    <t>A5103638663</t>
  </si>
  <si>
    <t>A5111618796</t>
  </si>
  <si>
    <t>avneet k chhina</t>
  </si>
  <si>
    <t>navneet kaur chana</t>
  </si>
  <si>
    <t>A5042285024</t>
  </si>
  <si>
    <t>A5004230309</t>
  </si>
  <si>
    <t>cherlene chang</t>
  </si>
  <si>
    <t>helen chong</t>
  </si>
  <si>
    <t>A5077809227</t>
  </si>
  <si>
    <t>A5110538120</t>
  </si>
  <si>
    <t>alexander ciok</t>
  </si>
  <si>
    <t>alex ciok</t>
  </si>
  <si>
    <t>A5106492693</t>
  </si>
  <si>
    <t>A5087730138</t>
  </si>
  <si>
    <t>hugo cardoso</t>
  </si>
  <si>
    <t>hugo fv cardoso</t>
  </si>
  <si>
    <t>A5102492080</t>
  </si>
  <si>
    <t>A5078265907</t>
  </si>
  <si>
    <t>nicole chan</t>
  </si>
  <si>
    <t>michelle chan</t>
  </si>
  <si>
    <t>A5118116197</t>
  </si>
  <si>
    <t>A5113170352</t>
  </si>
  <si>
    <t>b davids</t>
  </si>
  <si>
    <t>l davis</t>
  </si>
  <si>
    <t>A5065529657</t>
  </si>
  <si>
    <t>A5103103853</t>
  </si>
  <si>
    <t>sam m doesburg</t>
  </si>
  <si>
    <t>sam doesburg</t>
  </si>
  <si>
    <t>A5081393957</t>
  </si>
  <si>
    <t>A5022796523</t>
  </si>
  <si>
    <t>j maxwell donelan</t>
  </si>
  <si>
    <t>max donelan</t>
  </si>
  <si>
    <t>A5069056622</t>
  </si>
  <si>
    <t>A5082745401</t>
  </si>
  <si>
    <t>garth w p davies</t>
  </si>
  <si>
    <t>garth davies</t>
  </si>
  <si>
    <t>A5061377171</t>
  </si>
  <si>
    <t>A5104079126</t>
  </si>
  <si>
    <t>eric deal</t>
  </si>
  <si>
    <t>eric d digel</t>
  </si>
  <si>
    <t>A5013341553</t>
  </si>
  <si>
    <t>A5086535026</t>
  </si>
  <si>
    <t>nilgun donmez</t>
  </si>
  <si>
    <t>anil donmez</t>
  </si>
  <si>
    <t>A5053611147</t>
  </si>
  <si>
    <t>A5027106147</t>
  </si>
  <si>
    <t>andrÃ©anne doyon</t>
  </si>
  <si>
    <t>andrÃ© doyon</t>
  </si>
  <si>
    <t>A5020845547</t>
  </si>
  <si>
    <t>A5066893131</t>
  </si>
  <si>
    <t>andreanne doyon</t>
  </si>
  <si>
    <t>A5106389029</t>
  </si>
  <si>
    <t>paul delany</t>
  </si>
  <si>
    <t>kat delany</t>
  </si>
  <si>
    <t>A5016079579</t>
  </si>
  <si>
    <t>A5115511041</t>
  </si>
  <si>
    <t>thomas donaldson</t>
  </si>
  <si>
    <t>tom donaldson</t>
  </si>
  <si>
    <t>A5002800300</t>
  </si>
  <si>
    <t>A5046128130</t>
  </si>
  <si>
    <t>maggie c duncan</t>
  </si>
  <si>
    <t>mc duncan</t>
  </si>
  <si>
    <t>A5064094828</t>
  </si>
  <si>
    <t>A5024929830</t>
  </si>
  <si>
    <t>danielle h derrick</t>
  </si>
  <si>
    <t>danielle n devries</t>
  </si>
  <si>
    <t>A5059440078</t>
  </si>
  <si>
    <t>A5066747131</t>
  </si>
  <si>
    <t>sebastian dille</t>
  </si>
  <si>
    <t>sebastian damin</t>
  </si>
  <si>
    <t>A5049760941</t>
  </si>
  <si>
    <t>A5038535256</t>
  </si>
  <si>
    <t>lloyd t elliott</t>
  </si>
  <si>
    <t>lt elliott</t>
  </si>
  <si>
    <t>A5088544768</t>
  </si>
  <si>
    <t>A5114020486</t>
  </si>
  <si>
    <t>clara vada etter</t>
  </si>
  <si>
    <t>clara v etter</t>
  </si>
  <si>
    <t>A5077611536</t>
  </si>
  <si>
    <t>A5068946645</t>
  </si>
  <si>
    <t>alain fischer</t>
  </si>
  <si>
    <t>kayla fischler</t>
  </si>
  <si>
    <t>A5029004287</t>
  </si>
  <si>
    <t>A5016098002</t>
  </si>
  <si>
    <t>richard g frank</t>
  </si>
  <si>
    <t>richard frank</t>
  </si>
  <si>
    <t>A5018486913</t>
  </si>
  <si>
    <t>A5030367930</t>
  </si>
  <si>
    <t>faranak farzan</t>
  </si>
  <si>
    <t>farnak farzan</t>
  </si>
  <si>
    <t>A5015821361</t>
  </si>
  <si>
    <t>A5016330282</t>
  </si>
  <si>
    <t>ryan j fitzgerald</t>
  </si>
  <si>
    <t>f fitzgerald</t>
  </si>
  <si>
    <t>A5080346382</t>
  </si>
  <si>
    <t>A5075379813</t>
  </si>
  <si>
    <t>andrei v frolov</t>
  </si>
  <si>
    <t>andrei v frolovand</t>
  </si>
  <si>
    <t>A5036300411</t>
  </si>
  <si>
    <t>A5047401072</t>
  </si>
  <si>
    <t>henry a finn</t>
  </si>
  <si>
    <t>henry finn</t>
  </si>
  <si>
    <t>A5029860397</t>
  </si>
  <si>
    <t>A5080374417</t>
  </si>
  <si>
    <t>hao fang</t>
  </si>
  <si>
    <t>hope fan</t>
  </si>
  <si>
    <t>A5109283863</t>
  </si>
  <si>
    <t>A5019203096</t>
  </si>
  <si>
    <t>ron ferguson</t>
  </si>
  <si>
    <t>arron ferguson</t>
  </si>
  <si>
    <t>A5113563751</t>
  </si>
  <si>
    <t>A5037222281</t>
  </si>
  <si>
    <t>sherri ferguson</t>
  </si>
  <si>
    <t>A5057406263</t>
  </si>
  <si>
    <t>sandra fernandes</t>
  </si>
  <si>
    <t>tara fernando</t>
  </si>
  <si>
    <t>A5113455210</t>
  </si>
  <si>
    <t>A5113740746</t>
  </si>
  <si>
    <t>sina fatolahzadeh</t>
  </si>
  <si>
    <t>s fatolahzadeh</t>
  </si>
  <si>
    <t>A5028619456</t>
  </si>
  <si>
    <t>A5106384340</t>
  </si>
  <si>
    <t>sheri fabian</t>
  </si>
  <si>
    <t>sheryl c fabian</t>
  </si>
  <si>
    <t>A5076158895</t>
  </si>
  <si>
    <t>A5092626911</t>
  </si>
  <si>
    <t>reza farzam</t>
  </si>
  <si>
    <t>r farzam</t>
  </si>
  <si>
    <t>A5061603743</t>
  </si>
  <si>
    <t>A5092972281</t>
  </si>
  <si>
    <t>bill t fischer</t>
  </si>
  <si>
    <t>w t fischer</t>
  </si>
  <si>
    <t>A5057550186</t>
  </si>
  <si>
    <t>A5032463725</t>
  </si>
  <si>
    <t>anita feng</t>
  </si>
  <si>
    <t>cai feng</t>
  </si>
  <si>
    <t>A5119583570</t>
  </si>
  <si>
    <t>A5095742090</t>
  </si>
  <si>
    <t>henry fu</t>
  </si>
  <si>
    <t>A5011082676</t>
  </si>
  <si>
    <t>susanne w fietz</t>
  </si>
  <si>
    <t>w susanne fietz</t>
  </si>
  <si>
    <t>A5093010858</t>
  </si>
  <si>
    <t>A5052771299</t>
  </si>
  <si>
    <t>mitsu cai feng</t>
  </si>
  <si>
    <t>mitsu fang</t>
  </si>
  <si>
    <t>A5015238772</t>
  </si>
  <si>
    <t>A5101394760</t>
  </si>
  <si>
    <t>michael f graves</t>
  </si>
  <si>
    <t>michael gilraine</t>
  </si>
  <si>
    <t>A5001443059</t>
  </si>
  <si>
    <t>A5060169499</t>
  </si>
  <si>
    <t>darren grant</t>
  </si>
  <si>
    <t>margaret grant</t>
  </si>
  <si>
    <t>A5031508239</t>
  </si>
  <si>
    <t>A5113804601</t>
  </si>
  <si>
    <t>birutÃ© m f galdikas</t>
  </si>
  <si>
    <t>birute mary f galdikas</t>
  </si>
  <si>
    <t>A5110301419</t>
  </si>
  <si>
    <t>A5110389729</t>
  </si>
  <si>
    <t>alissa greer</t>
  </si>
  <si>
    <t>alissa m greer</t>
  </si>
  <si>
    <t>A5037509232</t>
  </si>
  <si>
    <t>A5102942084</t>
  </si>
  <si>
    <t>alyssa greco</t>
  </si>
  <si>
    <t>A5024837621</t>
  </si>
  <si>
    <t>daniel r y gan</t>
  </si>
  <si>
    <t>daniel ry gan</t>
  </si>
  <si>
    <t>A5075926575</t>
  </si>
  <si>
    <t>A5091261371</t>
  </si>
  <si>
    <t>thomas gunton</t>
  </si>
  <si>
    <t>tom gunton</t>
  </si>
  <si>
    <t>A5059560375</t>
  </si>
  <si>
    <t>A5113412320</t>
  </si>
  <si>
    <t>shreemouna gurung</t>
  </si>
  <si>
    <t>sheemouna gurung</t>
  </si>
  <si>
    <t>A5088826260</t>
  </si>
  <si>
    <t>A5114125674</t>
  </si>
  <si>
    <t>bhargav gadhvi</t>
  </si>
  <si>
    <t>bhargav gadhavi</t>
  </si>
  <si>
    <t>A5024718097</t>
  </si>
  <si>
    <t>A5067698309</t>
  </si>
  <si>
    <t>paneet gill</t>
  </si>
  <si>
    <t>pavreet k gill</t>
  </si>
  <si>
    <t>A5104096209</t>
  </si>
  <si>
    <t>A5014787119</t>
  </si>
  <si>
    <t>h dan gibson</t>
  </si>
  <si>
    <t>h daniel gibson</t>
  </si>
  <si>
    <t>A5062475859</t>
  </si>
  <si>
    <t>A5022558865</t>
  </si>
  <si>
    <t>hayley grey</t>
  </si>
  <si>
    <t>haley p goren</t>
  </si>
  <si>
    <t>A5037295020</t>
  </si>
  <si>
    <t>A5069426643</t>
  </si>
  <si>
    <t>e green</t>
  </si>
  <si>
    <t>d j green</t>
  </si>
  <si>
    <t>A5014407450</t>
  </si>
  <si>
    <t>A5022328570</t>
  </si>
  <si>
    <t>david j green</t>
  </si>
  <si>
    <t>A5027361434</t>
  </si>
  <si>
    <t>emma griggs</t>
  </si>
  <si>
    <t>e griggs</t>
  </si>
  <si>
    <t>A5048222452</t>
  </si>
  <si>
    <t>A5096227643</t>
  </si>
  <si>
    <t>wanhaoyi geng</t>
  </si>
  <si>
    <t>wanhayoi geng</t>
  </si>
  <si>
    <t>A5069750402</t>
  </si>
  <si>
    <t>A5058844042</t>
  </si>
  <si>
    <t>fh garcia</t>
  </si>
  <si>
    <t>f h garcia</t>
  </si>
  <si>
    <t>A5085198235</t>
  </si>
  <si>
    <t>A5006750915</t>
  </si>
  <si>
    <t>m gascoine</t>
  </si>
  <si>
    <t>melanie gascoine</t>
  </si>
  <si>
    <t>A5085393464</t>
  </si>
  <si>
    <t>A5093479866</t>
  </si>
  <si>
    <t>ghassan hamarneh</t>
  </si>
  <si>
    <t>g hamarneh</t>
  </si>
  <si>
    <t>A5072684302</t>
  </si>
  <si>
    <t>A5057856831</t>
  </si>
  <si>
    <t>andrew b harris</t>
  </si>
  <si>
    <t>andrew harries</t>
  </si>
  <si>
    <t>A5011644095</t>
  </si>
  <si>
    <t>A5002454592</t>
  </si>
  <si>
    <t>marek hatala</t>
  </si>
  <si>
    <t>mark hart</t>
  </si>
  <si>
    <t>A5051581150</t>
  </si>
  <si>
    <t>A5031961637</t>
  </si>
  <si>
    <t>j m ham</t>
  </si>
  <si>
    <t>c m hamm</t>
  </si>
  <si>
    <t>A5110345426</t>
  </si>
  <si>
    <t>A5109802582</t>
  </si>
  <si>
    <t>b heinrich</t>
  </si>
  <si>
    <t>brett heinrich</t>
  </si>
  <si>
    <t>A5062467718</t>
  </si>
  <si>
    <t>A5113965832</t>
  </si>
  <si>
    <t>laura k hilton</t>
  </si>
  <si>
    <t>l k hilton</t>
  </si>
  <si>
    <t>A5013858831</t>
  </si>
  <si>
    <t>A5088639771</t>
  </si>
  <si>
    <t>michael w hart</t>
  </si>
  <si>
    <t>michael d hathaway</t>
  </si>
  <si>
    <t>A5053201473</t>
  </si>
  <si>
    <t>A5035254678</t>
  </si>
  <si>
    <t>michael j hathaway</t>
  </si>
  <si>
    <t>A5006660476</t>
  </si>
  <si>
    <t>x joan hu</t>
  </si>
  <si>
    <t>joan hu</t>
  </si>
  <si>
    <t>A5045961414</t>
  </si>
  <si>
    <t>A5111259476</t>
  </si>
  <si>
    <t>nicholas harden</t>
  </si>
  <si>
    <t>nicholas m hein</t>
  </si>
  <si>
    <t>A5006841677</t>
  </si>
  <si>
    <t>A5001499829</t>
  </si>
  <si>
    <t>yang he</t>
  </si>
  <si>
    <t>yuliang he</t>
  </si>
  <si>
    <t>A5101932345</t>
  </si>
  <si>
    <t>A5075080679</t>
  </si>
  <si>
    <t>andrew heard</t>
  </si>
  <si>
    <t>A5065480698</t>
  </si>
  <si>
    <t>chuqiao huang</t>
  </si>
  <si>
    <t>yutao huang</t>
  </si>
  <si>
    <t>A5101632423</t>
  </si>
  <si>
    <t>A5029984357</t>
  </si>
  <si>
    <t>da-yuan huang</t>
  </si>
  <si>
    <t>A5061023381</t>
  </si>
  <si>
    <t>sarah henzi</t>
  </si>
  <si>
    <t>sara hosseini</t>
  </si>
  <si>
    <t>A5073357101</t>
  </si>
  <si>
    <t>A5114160830</t>
  </si>
  <si>
    <t>richard e hohn</t>
  </si>
  <si>
    <t>ric e hohn</t>
  </si>
  <si>
    <t>A5046358294</t>
  </si>
  <si>
    <t>A5110946665</t>
  </si>
  <si>
    <t>william g honer</t>
  </si>
  <si>
    <t>william w l ho</t>
  </si>
  <si>
    <t>A5109962474</t>
  </si>
  <si>
    <t>A5113237959</t>
  </si>
  <si>
    <t>carlos a sierra hernandez</t>
  </si>
  <si>
    <t>carlos sierra hernandez</t>
  </si>
  <si>
    <t>A5019781908</t>
  </si>
  <si>
    <t>A5002843048</t>
  </si>
  <si>
    <t>yuchen han</t>
  </si>
  <si>
    <t>yueyang han</t>
  </si>
  <si>
    <t>A5100310588</t>
  </si>
  <si>
    <t>A5109667788</t>
  </si>
  <si>
    <t>kevan hudson</t>
  </si>
  <si>
    <t>k hudson</t>
  </si>
  <si>
    <t>A5024609808</t>
  </si>
  <si>
    <t>A5006846901</t>
  </si>
  <si>
    <t>kh hudson</t>
  </si>
  <si>
    <t>A5035794293</t>
  </si>
  <si>
    <t>stephanie hunter</t>
  </si>
  <si>
    <t>paige hunter</t>
  </si>
  <si>
    <t>A5039706257</t>
  </si>
  <si>
    <t>A5056585670</t>
  </si>
  <si>
    <t>dina hosseini</t>
  </si>
  <si>
    <t>A5098534719</t>
  </si>
  <si>
    <t>atia hamidizadeh</t>
  </si>
  <si>
    <t>hadi hadizadeh</t>
  </si>
  <si>
    <t>A5019406573</t>
  </si>
  <si>
    <t>A5114636679</t>
  </si>
  <si>
    <t>milad seifnejad haghighi</t>
  </si>
  <si>
    <t>milad s haghighi</t>
  </si>
  <si>
    <t>A5115513710</t>
  </si>
  <si>
    <t>A5115513744</t>
  </si>
  <si>
    <t>kassia hayek</t>
  </si>
  <si>
    <t>kassia hyek</t>
  </si>
  <si>
    <t>A5009358287</t>
  </si>
  <si>
    <t>A5086460354</t>
  </si>
  <si>
    <t>kevin harter</t>
  </si>
  <si>
    <t>kevin hemmat</t>
  </si>
  <si>
    <t>A5114041366</t>
  </si>
  <si>
    <t>A5116466249</t>
  </si>
  <si>
    <t>jonathan han</t>
  </si>
  <si>
    <t>jonathan hartt</t>
  </si>
  <si>
    <t>A5081367616</t>
  </si>
  <si>
    <t>A5093496417</t>
  </si>
  <si>
    <t>ric hohn</t>
  </si>
  <si>
    <t>A5082680867</t>
  </si>
  <si>
    <t>kimia haghighi</t>
  </si>
  <si>
    <t>A5083799867</t>
  </si>
  <si>
    <t>roumi ilieva</t>
  </si>
  <si>
    <t>roumiana ilieva</t>
  </si>
  <si>
    <t>A5059056746</t>
  </si>
  <si>
    <t>A5107019523</t>
  </si>
  <si>
    <t>feng jiang</t>
  </si>
  <si>
    <t>baofeng jia</t>
  </si>
  <si>
    <t>A5032337854</t>
  </si>
  <si>
    <t>A5025864936</t>
  </si>
  <si>
    <t>ali jamali</t>
  </si>
  <si>
    <t>sima jamali</t>
  </si>
  <si>
    <t>A5046120119</t>
  </si>
  <si>
    <t>A5062532823</t>
  </si>
  <si>
    <t>valentin jaumouillÃ©</t>
  </si>
  <si>
    <t>valentin jamouille</t>
  </si>
  <si>
    <t>A5001004675</t>
  </si>
  <si>
    <t>A5108922685</t>
  </si>
  <si>
    <t>ka johnson</t>
  </si>
  <si>
    <t>hamish johnson</t>
  </si>
  <si>
    <t>A5112188947</t>
  </si>
  <si>
    <t>A5050884636</t>
  </si>
  <si>
    <t>ng jensen</t>
  </si>
  <si>
    <t>g jensen</t>
  </si>
  <si>
    <t>A5086281143</t>
  </si>
  <si>
    <t>A5003321247</t>
  </si>
  <si>
    <t>gaby jensen</t>
  </si>
  <si>
    <t>A5020431334</t>
  </si>
  <si>
    <t>worawee janpongsri</t>
  </si>
  <si>
    <t>worawee japongsori</t>
  </si>
  <si>
    <t>A5062405993</t>
  </si>
  <si>
    <t>A5001455481</t>
  </si>
  <si>
    <t>dominic j jaworski</t>
  </si>
  <si>
    <t>dominic jaworiski</t>
  </si>
  <si>
    <t>A5085766291</t>
  </si>
  <si>
    <t>A5119544262</t>
  </si>
  <si>
    <t>mohammad mahdi jahanara</t>
  </si>
  <si>
    <t>mohammadmahdi jahanara</t>
  </si>
  <si>
    <t>A5069061274</t>
  </si>
  <si>
    <t>A5089156226</t>
  </si>
  <si>
    <t>shujian jin</t>
  </si>
  <si>
    <t>shifan jia</t>
  </si>
  <si>
    <t>A5101371170</t>
  </si>
  <si>
    <t>A5115462057</t>
  </si>
  <si>
    <t>nitish kumar</t>
  </si>
  <si>
    <t>hitesh kumar</t>
  </si>
  <si>
    <t>A5039262439</t>
  </si>
  <si>
    <t>A5110959612</t>
  </si>
  <si>
    <t>brahmjot kaur</t>
  </si>
  <si>
    <t>taranjot kaur</t>
  </si>
  <si>
    <t>A5017398687</t>
  </si>
  <si>
    <t>A5052022588</t>
  </si>
  <si>
    <t>t kim</t>
  </si>
  <si>
    <t>j kim</t>
  </si>
  <si>
    <t>A5108486202</t>
  </si>
  <si>
    <t>A5070841883</t>
  </si>
  <si>
    <t>katrina koehn</t>
  </si>
  <si>
    <t>katerina kwon</t>
  </si>
  <si>
    <t>A5013903764</t>
  </si>
  <si>
    <t>A5113195379</t>
  </si>
  <si>
    <t>suyoung kim</t>
  </si>
  <si>
    <t>hoyoung kim</t>
  </si>
  <si>
    <t>A5081300303</t>
  </si>
  <si>
    <t>A5053435865</t>
  </si>
  <si>
    <t>joshua kanaganayagam</t>
  </si>
  <si>
    <t>josh kanaganayagam</t>
  </si>
  <si>
    <t>A5039370835</t>
  </si>
  <si>
    <t>A5034727559</t>
  </si>
  <si>
    <t>raminder kaur</t>
  </si>
  <si>
    <t>raminderjeet kaur</t>
  </si>
  <si>
    <t>A5114211742</t>
  </si>
  <si>
    <t>A5028102520</t>
  </si>
  <si>
    <t>jacob kemp</t>
  </si>
  <si>
    <t>jacob m kemp</t>
  </si>
  <si>
    <t>A5103256265</t>
  </si>
  <si>
    <t>A5087289082</t>
  </si>
  <si>
    <t>isabelle kim</t>
  </si>
  <si>
    <t>isabelle kwan</t>
  </si>
  <si>
    <t>A5046423982</t>
  </si>
  <si>
    <t>A5117279033</t>
  </si>
  <si>
    <t>nn kinloch</t>
  </si>
  <si>
    <t>n kinloch</t>
  </si>
  <si>
    <t>A5055547267</t>
  </si>
  <si>
    <t>A5071349214</t>
  </si>
  <si>
    <t>kauÊ»i keliipio</t>
  </si>
  <si>
    <t>m kaui keliipio</t>
  </si>
  <si>
    <t>A5059859936</t>
  </si>
  <si>
    <t>A5045101026</t>
  </si>
  <si>
    <t>farhaan muhammad khan</t>
  </si>
  <si>
    <t>farhaan m khan</t>
  </si>
  <si>
    <t>A5064198016</t>
  </si>
  <si>
    <t>A5014608443</t>
  </si>
  <si>
    <t>charles krieger</t>
  </si>
  <si>
    <t>charles kriel</t>
  </si>
  <si>
    <t>A5064602809</t>
  </si>
  <si>
    <t>A5098723401</t>
  </si>
  <si>
    <t>angela kaida</t>
  </si>
  <si>
    <t>angela kaidaon</t>
  </si>
  <si>
    <t>A5091089188</t>
  </si>
  <si>
    <t>A5095333481</t>
  </si>
  <si>
    <t>b liu</t>
  </si>
  <si>
    <t>z liu</t>
  </si>
  <si>
    <t>A5114378471</t>
  </si>
  <si>
    <t>A5075830845</t>
  </si>
  <si>
    <t>b lu</t>
  </si>
  <si>
    <t>A5067826387</t>
  </si>
  <si>
    <t>k liu</t>
  </si>
  <si>
    <t>A5069328618</t>
  </si>
  <si>
    <t>b x liu</t>
  </si>
  <si>
    <t>A5114290805</t>
  </si>
  <si>
    <t>jia li</t>
  </si>
  <si>
    <t>jiayi liu</t>
  </si>
  <si>
    <t>A5100405681</t>
  </si>
  <si>
    <t>A5100370772</t>
  </si>
  <si>
    <t>jiaqi lei</t>
  </si>
  <si>
    <t>A5100904643</t>
  </si>
  <si>
    <t>yejia liu</t>
  </si>
  <si>
    <t>A5077085197</t>
  </si>
  <si>
    <t>cheng li</t>
  </si>
  <si>
    <t>feng lin</t>
  </si>
  <si>
    <t>A5100354297</t>
  </si>
  <si>
    <t>A5101414835</t>
  </si>
  <si>
    <t>cheng lit</t>
  </si>
  <si>
    <t>A5094001550</t>
  </si>
  <si>
    <t>kelley lee</t>
  </si>
  <si>
    <t>chelsey lee</t>
  </si>
  <si>
    <t>A5019363540</t>
  </si>
  <si>
    <t>A5037459113</t>
  </si>
  <si>
    <t>kelsey lee</t>
  </si>
  <si>
    <t>A5047999240</t>
  </si>
  <si>
    <t>ming li</t>
  </si>
  <si>
    <t>tingan li</t>
  </si>
  <si>
    <t>A5100351426</t>
  </si>
  <si>
    <t>A5034308738</t>
  </si>
  <si>
    <t>ying lei</t>
  </si>
  <si>
    <t>A5071997927</t>
  </si>
  <si>
    <t>amy lee</t>
  </si>
  <si>
    <t>gem y lee</t>
  </si>
  <si>
    <t>A5100686477</t>
  </si>
  <si>
    <t>A5017994508</t>
  </si>
  <si>
    <t>amy hy lee</t>
  </si>
  <si>
    <t>A5102626370</t>
  </si>
  <si>
    <t>a lee</t>
  </si>
  <si>
    <t>A5079846513</t>
  </si>
  <si>
    <t>david b lank</t>
  </si>
  <si>
    <t>david a lawson</t>
  </si>
  <si>
    <t>A5026174358</t>
  </si>
  <si>
    <t>A5060402346</t>
  </si>
  <si>
    <t>thomas m loughin</t>
  </si>
  <si>
    <t>tom loughin</t>
  </si>
  <si>
    <t>A5113992995</t>
  </si>
  <si>
    <t>A5025177465</t>
  </si>
  <si>
    <t>amy hueiâ€yi lee</t>
  </si>
  <si>
    <t>A5029495209</t>
  </si>
  <si>
    <t>paul c h li</t>
  </si>
  <si>
    <t>paul li</t>
  </si>
  <si>
    <t>A5088254081</t>
  </si>
  <si>
    <t>A5029788647</t>
  </si>
  <si>
    <t>richard lockhart</t>
  </si>
  <si>
    <t>richard loat</t>
  </si>
  <si>
    <t>A5035238514</t>
  </si>
  <si>
    <t>A5052159696</t>
  </si>
  <si>
    <t>daniel c lee</t>
  </si>
  <si>
    <t>angelica lee</t>
  </si>
  <si>
    <t>A5100392989</t>
  </si>
  <si>
    <t>A5064843057</t>
  </si>
  <si>
    <t>qi lin</t>
  </si>
  <si>
    <t>zi lin</t>
  </si>
  <si>
    <t>A5102608112</t>
  </si>
  <si>
    <t>A5110229964</t>
  </si>
  <si>
    <t>qiushi lin</t>
  </si>
  <si>
    <t>A5101410782</t>
  </si>
  <si>
    <t>angelica lim</t>
  </si>
  <si>
    <t>A5054803584</t>
  </si>
  <si>
    <t>alexandra lysova</t>
  </si>
  <si>
    <t>alexandra v lysova</t>
  </si>
  <si>
    <t>A5088763872</t>
  </si>
  <si>
    <t>A5096742315</t>
  </si>
  <si>
    <t>eric lin</t>
  </si>
  <si>
    <t>eric lee</t>
  </si>
  <si>
    <t>A5012158443</t>
  </si>
  <si>
    <t>A5087425453</t>
  </si>
  <si>
    <t>sabrina s m lee</t>
  </si>
  <si>
    <t>sabrina sm lee</t>
  </si>
  <si>
    <t>A5080857003</t>
  </si>
  <si>
    <t>A5079701172</t>
  </si>
  <si>
    <t>ziv levin</t>
  </si>
  <si>
    <t>A5117287733</t>
  </si>
  <si>
    <t>linyi li</t>
  </si>
  <si>
    <t>li yi lim</t>
  </si>
  <si>
    <t>A5101915882</t>
  </si>
  <si>
    <t>A5108281017</t>
  </si>
  <si>
    <t>bingfan liu</t>
  </si>
  <si>
    <t>A5025258144</t>
  </si>
  <si>
    <t>qingcan li</t>
  </si>
  <si>
    <t>A5014078397</t>
  </si>
  <si>
    <t>ke li</t>
  </si>
  <si>
    <t>A5100343528</t>
  </si>
  <si>
    <t>n lehmann</t>
  </si>
  <si>
    <t>k lehmann</t>
  </si>
  <si>
    <t>A5107889357</t>
  </si>
  <si>
    <t>A5105764596</t>
  </si>
  <si>
    <t>zhi yih lim</t>
  </si>
  <si>
    <t>A5112501593</t>
  </si>
  <si>
    <t>j lee</t>
  </si>
  <si>
    <t>A5020077930</t>
  </si>
  <si>
    <t>bing lu</t>
  </si>
  <si>
    <t>A5055319860</t>
  </si>
  <si>
    <t>luyao lin</t>
  </si>
  <si>
    <t>leyao lin</t>
  </si>
  <si>
    <t>A5062615947</t>
  </si>
  <si>
    <t>A5025114845</t>
  </si>
  <si>
    <t>laura luo</t>
  </si>
  <si>
    <t>laura laura</t>
  </si>
  <si>
    <t>A5112893128</t>
  </si>
  <si>
    <t>A5081524343</t>
  </si>
  <si>
    <t>jiangchuan liu</t>
  </si>
  <si>
    <t>A5039311485</t>
  </si>
  <si>
    <t>c li</t>
  </si>
  <si>
    <t>x li</t>
  </si>
  <si>
    <t>A5017873395</t>
  </si>
  <si>
    <t>A5106716334</t>
  </si>
  <si>
    <t>elfituri s lahemer</t>
  </si>
  <si>
    <t>elfituri lahamer</t>
  </si>
  <si>
    <t>A5032341373</t>
  </si>
  <si>
    <t>A5055198520</t>
  </si>
  <si>
    <t>ryan d morin</t>
  </si>
  <si>
    <t>r d morin</t>
  </si>
  <si>
    <t>A5081644676</t>
  </si>
  <si>
    <t>A5027417971</t>
  </si>
  <si>
    <t>iain mckenzie</t>
  </si>
  <si>
    <t>will mckenzie</t>
  </si>
  <si>
    <t>A5069964985</t>
  </si>
  <si>
    <t>A5034954560</t>
  </si>
  <si>
    <t>john j mcdonald</t>
  </si>
  <si>
    <t>john a macdonald</t>
  </si>
  <si>
    <t>A5077824553</t>
  </si>
  <si>
    <t>A5103468821</t>
  </si>
  <si>
    <t>ian w mcdonald</t>
  </si>
  <si>
    <t>A5013915655</t>
  </si>
  <si>
    <t>shaun mcdonald</t>
  </si>
  <si>
    <t>A5058388442</t>
  </si>
  <si>
    <t>paul meyer</t>
  </si>
  <si>
    <t>p meyer</t>
  </si>
  <si>
    <t>A5019323500</t>
  </si>
  <si>
    <t>A5109005649</t>
  </si>
  <si>
    <t>gordon mctaggart-cowan</t>
  </si>
  <si>
    <t>gp mctaggart-cowan</t>
  </si>
  <si>
    <t>A5040189249</t>
  </si>
  <si>
    <t>A5108717311</t>
  </si>
  <si>
    <t>elicia maine</t>
  </si>
  <si>
    <t>alicia massie</t>
  </si>
  <si>
    <t>A5026047261</t>
  </si>
  <si>
    <t>A5005330408</t>
  </si>
  <si>
    <t>helen mctaggartâ€cowan</t>
  </si>
  <si>
    <t>A5034664713</t>
  </si>
  <si>
    <t>alexander moens</t>
  </si>
  <si>
    <t>alexander moiseev</t>
  </si>
  <si>
    <t>A5025859917</t>
  </si>
  <si>
    <t>A5103429954</t>
  </si>
  <si>
    <t>daniel d marshall</t>
  </si>
  <si>
    <t>dan marshall</t>
  </si>
  <si>
    <t>A5112642773</t>
  </si>
  <si>
    <t>A5112003754</t>
  </si>
  <si>
    <t>kyle macdonald</t>
  </si>
  <si>
    <t>ja macdonald</t>
  </si>
  <si>
    <t>A5043902791</t>
  </si>
  <si>
    <t>A5000418425</t>
  </si>
  <si>
    <t>ailene macpherson</t>
  </si>
  <si>
    <t>donald macpherson</t>
  </si>
  <si>
    <t>A5025766873</t>
  </si>
  <si>
    <t>A5042387035</t>
  </si>
  <si>
    <t>kathleen m millar</t>
  </si>
  <si>
    <t>kathleen p moriarty</t>
  </si>
  <si>
    <t>A5024729816</t>
  </si>
  <si>
    <t>A5014447300</t>
  </si>
  <si>
    <t>rebecca macdonald</t>
  </si>
  <si>
    <t>A5081821382</t>
  </si>
  <si>
    <t>eve meyer</t>
  </si>
  <si>
    <t>A5111063368</t>
  </si>
  <si>
    <t>afagh mohagheghi</t>
  </si>
  <si>
    <t>a mohaghegi</t>
  </si>
  <si>
    <t>A5005637686</t>
  </si>
  <si>
    <t>A5107013738</t>
  </si>
  <si>
    <t>cameron mcrae</t>
  </si>
  <si>
    <t>cameron michels</t>
  </si>
  <si>
    <t>A5049686352</t>
  </si>
  <si>
    <t>A5080344862</t>
  </si>
  <si>
    <t>zarah monfaredi</t>
  </si>
  <si>
    <t>aryan monfared</t>
  </si>
  <si>
    <t>A5082693605</t>
  </si>
  <si>
    <t>A5079493724</t>
  </si>
  <si>
    <t>m momtahen</t>
  </si>
  <si>
    <t>shadi momtahen</t>
  </si>
  <si>
    <t>A5113723884</t>
  </si>
  <si>
    <t>A5043840244</t>
  </si>
  <si>
    <t>maryam momtahen</t>
  </si>
  <si>
    <t>A5092009233</t>
  </si>
  <si>
    <t>cassia l mcintyre</t>
  </si>
  <si>
    <t>david l mcintyre</t>
  </si>
  <si>
    <t>A5020371516</t>
  </si>
  <si>
    <t>A5011031991</t>
  </si>
  <si>
    <t>mark mahadeo</t>
  </si>
  <si>
    <t>mark n mahadeo</t>
  </si>
  <si>
    <t>A5012970291</t>
  </si>
  <si>
    <t>A5086131135</t>
  </si>
  <si>
    <t>klinsmann j coelho silva meneses</t>
  </si>
  <si>
    <t>klinsmann j coelho silva menes</t>
  </si>
  <si>
    <t>A5062290806</t>
  </si>
  <si>
    <t>A5093260777</t>
  </si>
  <si>
    <t>finlay c macnab</t>
  </si>
  <si>
    <t>finlay macnab</t>
  </si>
  <si>
    <t>A5067609189</t>
  </si>
  <si>
    <t>A5054475200</t>
  </si>
  <si>
    <t>mohammad reza mohammadzadeh</t>
  </si>
  <si>
    <t>mohammad reza mostaan</t>
  </si>
  <si>
    <t>A5113391147</t>
  </si>
  <si>
    <t>A5007770340</t>
  </si>
  <si>
    <t>fiona margaret mackellar</t>
  </si>
  <si>
    <t>fiona m mackellar</t>
  </si>
  <si>
    <t>A5001691873</t>
  </si>
  <si>
    <t>A5045703529</t>
  </si>
  <si>
    <t>d mori</t>
  </si>
  <si>
    <t>A5044331480</t>
  </si>
  <si>
    <t>mohammadhadi mohandes</t>
  </si>
  <si>
    <t>hadi mohandes</t>
  </si>
  <si>
    <t>A5034050548</t>
  </si>
  <si>
    <t>A5063739195</t>
  </si>
  <si>
    <t>megan a macgregor</t>
  </si>
  <si>
    <t>glenna mcgregor</t>
  </si>
  <si>
    <t>A5111270307</t>
  </si>
  <si>
    <t>A5114186386</t>
  </si>
  <si>
    <t>masahiro niikura</t>
  </si>
  <si>
    <t>masa niikura</t>
  </si>
  <si>
    <t>A5089335621</t>
  </si>
  <si>
    <t>A5108740660</t>
  </si>
  <si>
    <t>anneâ€marie nicol</t>
  </si>
  <si>
    <t>anne marie nicol</t>
  </si>
  <si>
    <t>A5110840814</t>
  </si>
  <si>
    <t>A5113313391</t>
  </si>
  <si>
    <t>anne-marie nicole</t>
  </si>
  <si>
    <t>A5113360973</t>
  </si>
  <si>
    <t>william odom</t>
  </si>
  <si>
    <t>will odom</t>
  </si>
  <si>
    <t>A5073024818</t>
  </si>
  <si>
    <t>A5056121536</t>
  </si>
  <si>
    <t>marlena ornowska</t>
  </si>
  <si>
    <t>m ornowska</t>
  </si>
  <si>
    <t>A5064059636</t>
  </si>
  <si>
    <t>A5010244072</t>
  </si>
  <si>
    <t>ms marlena ornowska</t>
  </si>
  <si>
    <t>A5109595986</t>
  </si>
  <si>
    <t>katherine oâ€™donnell</t>
  </si>
  <si>
    <t>katherine a oâ€™donnell</t>
  </si>
  <si>
    <t>A5066229322</t>
  </si>
  <si>
    <t>A5103744218</t>
  </si>
  <si>
    <t>kimberly oâ€™donnell</t>
  </si>
  <si>
    <t>emeralde oâ€™donnell</t>
  </si>
  <si>
    <t>A5004670586</t>
  </si>
  <si>
    <t>A5067539481</t>
  </si>
  <si>
    <t>jf ogilvie</t>
  </si>
  <si>
    <t>j f ogilvie</t>
  </si>
  <si>
    <t>A5006142451</t>
  </si>
  <si>
    <t>A5023738667</t>
  </si>
  <si>
    <t>d c oâ€™neil</t>
  </si>
  <si>
    <t>dc oneil</t>
  </si>
  <si>
    <t>A5103713192</t>
  </si>
  <si>
    <t>A5045650275</t>
  </si>
  <si>
    <t>david j price</t>
  </si>
  <si>
    <t>david price</t>
  </si>
  <si>
    <t>A5057027392</t>
  </si>
  <si>
    <t>A5102969601</t>
  </si>
  <si>
    <t>david j prime</t>
  </si>
  <si>
    <t>A5103543042</t>
  </si>
  <si>
    <t>david prime</t>
  </si>
  <si>
    <t>A5009690588</t>
  </si>
  <si>
    <t>zamir k punja</t>
  </si>
  <si>
    <t>zk punja</t>
  </si>
  <si>
    <t>A5075578532</t>
  </si>
  <si>
    <t>A5029438719</t>
  </si>
  <si>
    <t>michael plischke</t>
  </si>
  <si>
    <t>michal pavlik</t>
  </si>
  <si>
    <t>A5029590221</t>
  </si>
  <si>
    <t>A5117484595</t>
  </si>
  <si>
    <t>s panchapakesan</t>
  </si>
  <si>
    <t>sathish panchapakesan</t>
  </si>
  <si>
    <t>A5043684828</t>
  </si>
  <si>
    <t>A5103910853</t>
  </si>
  <si>
    <t>raymond a patterson</t>
  </si>
  <si>
    <t>da patterson</t>
  </si>
  <si>
    <t>A5020415508</t>
  </si>
  <si>
    <t>A5110248522</t>
  </si>
  <si>
    <t>david a patterson</t>
  </si>
  <si>
    <t>A5077202069</t>
  </si>
  <si>
    <t>edward j park</t>
  </si>
  <si>
    <t>edward park</t>
  </si>
  <si>
    <t>A5027049699</t>
  </si>
  <si>
    <t>A5111270872</t>
  </si>
  <si>
    <t>michael parent</t>
  </si>
  <si>
    <t>michael pruner</t>
  </si>
  <si>
    <t>A5070692307</t>
  </si>
  <si>
    <t>A5083754503</t>
  </si>
  <si>
    <t>shichong peng</t>
  </si>
  <si>
    <t>chaopeng peng</t>
  </si>
  <si>
    <t>A5033008869</t>
  </si>
  <si>
    <t>A5115067275</t>
  </si>
  <si>
    <t>david pham</t>
  </si>
  <si>
    <t>A5001385396</t>
  </si>
  <si>
    <t>mn prentice</t>
  </si>
  <si>
    <t>m prentice</t>
  </si>
  <si>
    <t>A5114055326</t>
  </si>
  <si>
    <t>A5112929889</t>
  </si>
  <si>
    <t>makaela prentice</t>
  </si>
  <si>
    <t>A5109611455</t>
  </si>
  <si>
    <t>michael p richards</t>
  </si>
  <si>
    <t>michael richards</t>
  </si>
  <si>
    <t>A5005684483</t>
  </si>
  <si>
    <t>A5019215400</t>
  </si>
  <si>
    <t>bernhard e riecke</t>
  </si>
  <si>
    <t>bernhard rieke</t>
  </si>
  <si>
    <t>A5016706227</t>
  </si>
  <si>
    <t>A5108830512</t>
  </si>
  <si>
    <t>stephen n robinovitch</t>
  </si>
  <si>
    <t>s robinovitch</t>
  </si>
  <si>
    <t>A5017663407</t>
  </si>
  <si>
    <t>A5053472736</t>
  </si>
  <si>
    <t>stephen n robinovich</t>
  </si>
  <si>
    <t>A5007182790</t>
  </si>
  <si>
    <t>arthur j robson</t>
  </si>
  <si>
    <t>sarah j robinson</t>
  </si>
  <si>
    <t>A5032114320</t>
  </si>
  <si>
    <t>A5034966587</t>
  </si>
  <si>
    <t>steven reynolds</t>
  </si>
  <si>
    <t>steve reynolds</t>
  </si>
  <si>
    <t>A5009546214</t>
  </si>
  <si>
    <t>A5109852452</t>
  </si>
  <si>
    <t>s reynolds</t>
  </si>
  <si>
    <t>A5060207717</t>
  </si>
  <si>
    <t>sarah robinson</t>
  </si>
  <si>
    <t>A5086557273</t>
  </si>
  <si>
    <t>richard routledge</t>
  </si>
  <si>
    <t>rick routledge</t>
  </si>
  <si>
    <t>A5027424447</t>
  </si>
  <si>
    <t>A5110179990</t>
  </si>
  <si>
    <t>eline a de rooij</t>
  </si>
  <si>
    <t>eline de rooij</t>
  </si>
  <si>
    <t>A5021349143</t>
  </si>
  <si>
    <t>A5053298356</t>
  </si>
  <si>
    <t>stephanie l rayner</t>
  </si>
  <si>
    <t>stephanie l renkers</t>
  </si>
  <si>
    <t>A5028857421</t>
  </si>
  <si>
    <t>A5106797872</t>
  </si>
  <si>
    <t>saleh riahi</t>
  </si>
  <si>
    <t>fatemeh riahi</t>
  </si>
  <si>
    <t>A5010299595</t>
  </si>
  <si>
    <t>A5052195170</t>
  </si>
  <si>
    <t>chase l radford</t>
  </si>
  <si>
    <t>chase radford</t>
  </si>
  <si>
    <t>A5007555900</t>
  </si>
  <si>
    <t>A5035799498</t>
  </si>
  <si>
    <t>ramani ramaseshan</t>
  </si>
  <si>
    <t>ramani remaseshan</t>
  </si>
  <si>
    <t>A5103840556</t>
  </si>
  <si>
    <t>A5092835365</t>
  </si>
  <si>
    <t>lauren faulkner rossi</t>
  </si>
  <si>
    <t>lauren n faulkner rossi</t>
  </si>
  <si>
    <t>A5023044639</t>
  </si>
  <si>
    <t>A5072640534</t>
  </si>
  <si>
    <t>richard rosenthal</t>
  </si>
  <si>
    <t>chelsea rosenthal</t>
  </si>
  <si>
    <t>A5086599116</t>
  </si>
  <si>
    <t>A5059802709</t>
  </si>
  <si>
    <t>patrick morgan ritchie</t>
  </si>
  <si>
    <t>patrick m ritchie</t>
  </si>
  <si>
    <t>A5040169002</t>
  </si>
  <si>
    <t>A5086371059</t>
  </si>
  <si>
    <t>pulindu ratnasekera</t>
  </si>
  <si>
    <t>p ratnasekera</t>
  </si>
  <si>
    <t>A5046908479</t>
  </si>
  <si>
    <t>A5051949366</t>
  </si>
  <si>
    <t>mohammad zaki rezwan</t>
  </si>
  <si>
    <t>mohammad h rezaie</t>
  </si>
  <si>
    <t>A5058753827</t>
  </si>
  <si>
    <t>A5111449300</t>
  </si>
  <si>
    <t>javairia rahim</t>
  </si>
  <si>
    <t>javaria f rahim</t>
  </si>
  <si>
    <t>A5006521692</t>
  </si>
  <si>
    <t>A5055183771</t>
  </si>
  <si>
    <t>g rossi</t>
  </si>
  <si>
    <t>sp rossi</t>
  </si>
  <si>
    <t>A5054516428</t>
  </si>
  <si>
    <t>A5107070954</t>
  </si>
  <si>
    <t>andrea c roman-torres</t>
  </si>
  <si>
    <t>camila a roman-torres</t>
  </si>
  <si>
    <t>A5093131536</t>
  </si>
  <si>
    <t>A5119241352</t>
  </si>
  <si>
    <t>z john shen</t>
  </si>
  <si>
    <t>john shen</t>
  </si>
  <si>
    <t>A5013766145</t>
  </si>
  <si>
    <t>A5063633720</t>
  </si>
  <si>
    <t>wolfgang stuerzlinger</t>
  </si>
  <si>
    <t>wolfgang stÃ¼rzlinger</t>
  </si>
  <si>
    <t>A5085460170</t>
  </si>
  <si>
    <t>A5106113183</t>
  </si>
  <si>
    <t>nadine schuurman</t>
  </si>
  <si>
    <t>nadine schuurmann</t>
  </si>
  <si>
    <t>A5071764220</t>
  </si>
  <si>
    <t>A5014876465</t>
  </si>
  <si>
    <t>doug stead</t>
  </si>
  <si>
    <t>d stead</t>
  </si>
  <si>
    <t>A5004942062</t>
  </si>
  <si>
    <t>A5110425840</t>
  </si>
  <si>
    <t>xiangyu sun</t>
  </si>
  <si>
    <t>xiaoting sun</t>
  </si>
  <si>
    <t>A5060002954</t>
  </si>
  <si>
    <t>A5076953547</t>
  </si>
  <si>
    <t>bingyun sun</t>
  </si>
  <si>
    <t>A5030344959</t>
  </si>
  <si>
    <t>dingyi sun</t>
  </si>
  <si>
    <t>A5102751737</t>
  </si>
  <si>
    <t>sergio a sepÃºlveda</t>
  </si>
  <si>
    <t>g sepÃºlveda</t>
  </si>
  <si>
    <t>A5036506208</t>
  </si>
  <si>
    <t>A5003757835</t>
  </si>
  <si>
    <t>hasina samji</t>
  </si>
  <si>
    <t>hasina shamji</t>
  </si>
  <si>
    <t>A5032853894</t>
  </si>
  <si>
    <t>A5003602094</t>
  </si>
  <si>
    <t>s sonea</t>
  </si>
  <si>
    <t>ana sonea</t>
  </si>
  <si>
    <t>A5064139665</t>
  </si>
  <si>
    <t>A5032471432</t>
  </si>
  <si>
    <t>bp singh</t>
  </si>
  <si>
    <t>s singh</t>
  </si>
  <si>
    <t>A5103582429</t>
  </si>
  <si>
    <t>A5108064129</t>
  </si>
  <si>
    <t>heather stewart</t>
  </si>
  <si>
    <t>matthew c stewart</t>
  </si>
  <si>
    <t>A5062879863</t>
  </si>
  <si>
    <t>A5080991728</t>
  </si>
  <si>
    <t>aniqa shahid</t>
  </si>
  <si>
    <t>abid shahid</t>
  </si>
  <si>
    <t>A5057060792</t>
  </si>
  <si>
    <t>A5102484347</t>
  </si>
  <si>
    <t>jialin song</t>
  </si>
  <si>
    <t>ian y song</t>
  </si>
  <si>
    <t>A5003382415</t>
  </si>
  <si>
    <t>A5109703294</t>
  </si>
  <si>
    <t>michÃ¨le schmidt</t>
  </si>
  <si>
    <t>michelle schmidt</t>
  </si>
  <si>
    <t>A5091617213</t>
  </si>
  <si>
    <t>A5039633290</t>
  </si>
  <si>
    <t>debbie sheehan</t>
  </si>
  <si>
    <t>debbie sheenan</t>
  </si>
  <si>
    <t>A5109036918</t>
  </si>
  <si>
    <t>A5055687264</t>
  </si>
  <si>
    <t>nafiseh sedaghat</t>
  </si>
  <si>
    <t>ali sedaghati</t>
  </si>
  <si>
    <t>A5021888945</t>
  </si>
  <si>
    <t>A5008114266</t>
  </si>
  <si>
    <t>vahideh shirmohammadli</t>
  </si>
  <si>
    <t>a h shirmohammadi</t>
  </si>
  <si>
    <t>A5009499082</t>
  </si>
  <si>
    <t>A5074222454</t>
  </si>
  <si>
    <t>david swanlund</t>
  </si>
  <si>
    <t>david sun</t>
  </si>
  <si>
    <t>A5074444977</t>
  </si>
  <si>
    <t>A5112389755</t>
  </si>
  <si>
    <t>david l shen</t>
  </si>
  <si>
    <t>david g schell</t>
  </si>
  <si>
    <t>A5040209382</t>
  </si>
  <si>
    <t>A5074921563</t>
  </si>
  <si>
    <t>victor song</t>
  </si>
  <si>
    <t>victor soares</t>
  </si>
  <si>
    <t>A5008590238</t>
  </si>
  <si>
    <t>A5113114976</t>
  </si>
  <si>
    <t>thushani de silva</t>
  </si>
  <si>
    <t>gl thushani de silva</t>
  </si>
  <si>
    <t>A5068060581</t>
  </si>
  <si>
    <t>A5013022283</t>
  </si>
  <si>
    <t>mohammad amin shabani</t>
  </si>
  <si>
    <t>mohammadhadi salari</t>
  </si>
  <si>
    <t>A5016935099</t>
  </si>
  <si>
    <t>A5011097236</t>
  </si>
  <si>
    <t>neha sharma</t>
  </si>
  <si>
    <t>neha shivhare</t>
  </si>
  <si>
    <t>A5101585562</t>
  </si>
  <si>
    <t>A5050482813</t>
  </si>
  <si>
    <t>anand sagar</t>
  </si>
  <si>
    <t>anand shah</t>
  </si>
  <si>
    <t>A5037644440</t>
  </si>
  <si>
    <t>A5108225499</t>
  </si>
  <si>
    <t>jeffrey van santen</t>
  </si>
  <si>
    <t>jeffrey a van santen</t>
  </si>
  <si>
    <t>A5058603439</t>
  </si>
  <si>
    <t>A5071037562</t>
  </si>
  <si>
    <t>akhmedkhan shabanov</t>
  </si>
  <si>
    <t>akhmedkhan ahan shabanov</t>
  </si>
  <si>
    <t>A5108762255</t>
  </si>
  <si>
    <t>A5108988979</t>
  </si>
  <si>
    <t>mohamad sadri</t>
  </si>
  <si>
    <t>A5015687690</t>
  </si>
  <si>
    <t>hamide sharifi</t>
  </si>
  <si>
    <t>hamida safi</t>
  </si>
  <si>
    <t>A5012898139</t>
  </si>
  <si>
    <t>A5078761388</t>
  </si>
  <si>
    <t>k a salters</t>
  </si>
  <si>
    <t>kate salters</t>
  </si>
  <si>
    <t>A5109249088</t>
  </si>
  <si>
    <t>A5080431297</t>
  </si>
  <si>
    <t>stephanie c stelmaschuk</t>
  </si>
  <si>
    <t>stephanie c stelmachuk</t>
  </si>
  <si>
    <t>A5020197736</t>
  </si>
  <si>
    <t>A5075274634</t>
  </si>
  <si>
    <t>a sixsmith</t>
  </si>
  <si>
    <t>andrew sixsmith</t>
  </si>
  <si>
    <t>A5061578981</t>
  </si>
  <si>
    <t>A5062744892</t>
  </si>
  <si>
    <t>andrew j sixsmith</t>
  </si>
  <si>
    <t>A5109634693</t>
  </si>
  <si>
    <t>victor ht soares</t>
  </si>
  <si>
    <t>A5113007020</t>
  </si>
  <si>
    <t>david c thomas</t>
  </si>
  <si>
    <t>david c thompson</t>
  </si>
  <si>
    <t>A5101577676</t>
  </si>
  <si>
    <t>A5083128208</t>
  </si>
  <si>
    <t>paul tupper</t>
  </si>
  <si>
    <t>p tupper</t>
  </si>
  <si>
    <t>A5078121912</t>
  </si>
  <si>
    <t>A5025327252</t>
  </si>
  <si>
    <t>kimberly thomson</t>
  </si>
  <si>
    <t>ker c thomson</t>
  </si>
  <si>
    <t>A5013264197</t>
  </si>
  <si>
    <t>A5034514284</t>
  </si>
  <si>
    <t>sian hsiangâ€te tsuei</t>
  </si>
  <si>
    <t>sian h tsuei</t>
  </si>
  <si>
    <t>A5018575289</t>
  </si>
  <si>
    <t>A5094180071</t>
  </si>
  <si>
    <t>michael j trimble</t>
  </si>
  <si>
    <t>michael trimble</t>
  </si>
  <si>
    <t>A5059892142</t>
  </si>
  <si>
    <t>A5114186388</t>
  </si>
  <si>
    <t>shitao tang</t>
  </si>
  <si>
    <t>jingtao tang</t>
  </si>
  <si>
    <t>A5110510798</t>
  </si>
  <si>
    <t>A5090440775</t>
  </si>
  <si>
    <t>trevor j thomson</t>
  </si>
  <si>
    <t>A5068383320</t>
  </si>
  <si>
    <t>paige tuttÃ¶sÃ­</t>
  </si>
  <si>
    <t>paige tuttosi</t>
  </si>
  <si>
    <t>A5064388924</t>
  </si>
  <si>
    <t>A5020759758</t>
  </si>
  <si>
    <t>daniel tay</t>
  </si>
  <si>
    <t>daniel tarnu</t>
  </si>
  <si>
    <t>A5019604712</t>
  </si>
  <si>
    <t>A5011155609</t>
  </si>
  <si>
    <t>sara taghipour</t>
  </si>
  <si>
    <t>parnian taghipour</t>
  </si>
  <si>
    <t>A5089099162</t>
  </si>
  <si>
    <t>A5092503488</t>
  </si>
  <si>
    <t>omnia taha</t>
  </si>
  <si>
    <t>omnia m taha</t>
  </si>
  <si>
    <t>A5089318544</t>
  </si>
  <si>
    <t>A5055623045</t>
  </si>
  <si>
    <t>brittni thompson</t>
  </si>
  <si>
    <t>brian s thomson</t>
  </si>
  <si>
    <t>A5083662163</t>
  </si>
  <si>
    <t>A5102327370</t>
  </si>
  <si>
    <t>kamala todd</t>
  </si>
  <si>
    <t>par kamala todd</t>
  </si>
  <si>
    <t>A5093134137</t>
  </si>
  <si>
    <t>A5111063660</t>
  </si>
  <si>
    <t>deniz ugur</t>
  </si>
  <si>
    <t>deniz g ural</t>
  </si>
  <si>
    <t>A5077892929</t>
  </si>
  <si>
    <t>A5117273249</t>
  </si>
  <si>
    <t>natasha vitkin</t>
  </si>
  <si>
    <t>natasha virginkar</t>
  </si>
  <si>
    <t>A5032369400</t>
  </si>
  <si>
    <t>A5074408591</t>
  </si>
  <si>
    <t>meghan winters</t>
  </si>
  <si>
    <t>m winters</t>
  </si>
  <si>
    <t>A5023136423</t>
  </si>
  <si>
    <t>A5112062797</t>
  </si>
  <si>
    <t>megan walter</t>
  </si>
  <si>
    <t>A5104283805</t>
  </si>
  <si>
    <t>jennifer s wong</t>
  </si>
  <si>
    <t>jennifer wang</t>
  </si>
  <si>
    <t>A5018101953</t>
  </si>
  <si>
    <t>A5023442198</t>
  </si>
  <si>
    <t>vance e williams</t>
  </si>
  <si>
    <t>jack g williams</t>
  </si>
  <si>
    <t>A5010948237</t>
  </si>
  <si>
    <t>A5114230064</t>
  </si>
  <si>
    <t>qi wang</t>
  </si>
  <si>
    <t>j wang</t>
  </si>
  <si>
    <t>A5100341251</t>
  </si>
  <si>
    <t>A5064909746</t>
  </si>
  <si>
    <t>r wang</t>
  </si>
  <si>
    <t>A5045307948</t>
  </si>
  <si>
    <t>g wang</t>
  </si>
  <si>
    <t>A5061444400</t>
  </si>
  <si>
    <t>h wang</t>
  </si>
  <si>
    <t>A5009973876</t>
  </si>
  <si>
    <t>c wang</t>
  </si>
  <si>
    <t>A5030973280</t>
  </si>
  <si>
    <t>yi wang</t>
  </si>
  <si>
    <t>A5071864494</t>
  </si>
  <si>
    <t>ruiqi wang</t>
  </si>
  <si>
    <t>A5047012415</t>
  </si>
  <si>
    <t>xin wang</t>
  </si>
  <si>
    <t>A5087074091</t>
  </si>
  <si>
    <t>jiacheng wang</t>
  </si>
  <si>
    <t>tianzheng wang</t>
  </si>
  <si>
    <t>A5100727957</t>
  </si>
  <si>
    <t>A5101598171</t>
  </si>
  <si>
    <t>david g t whitehurst</t>
  </si>
  <si>
    <t>david gt whitehirst</t>
  </si>
  <si>
    <t>A5045933977</t>
  </si>
  <si>
    <t>A5113131774</t>
  </si>
  <si>
    <t>yang wang</t>
  </si>
  <si>
    <t>yitong wang</t>
  </si>
  <si>
    <t>A5100322922</t>
  </si>
  <si>
    <t>A5118608059</t>
  </si>
  <si>
    <t>yuepeng wang</t>
  </si>
  <si>
    <t>A5024695395</t>
  </si>
  <si>
    <t>bixia wang</t>
  </si>
  <si>
    <t>A5052919764</t>
  </si>
  <si>
    <t>bi-xia wang</t>
  </si>
  <si>
    <t>A5113040768</t>
  </si>
  <si>
    <t>kenneth kin lam wong</t>
  </si>
  <si>
    <t>kenneth c k wong</t>
  </si>
  <si>
    <t>A5045319854</t>
  </si>
  <si>
    <t>A5047375842</t>
  </si>
  <si>
    <t>sara williamson</t>
  </si>
  <si>
    <t>katrina williams</t>
  </si>
  <si>
    <t>A5062588698</t>
  </si>
  <si>
    <t>A5053056729</t>
  </si>
  <si>
    <t>xiaoying wang</t>
  </si>
  <si>
    <t>A5075566936</t>
  </si>
  <si>
    <t>erin l williams</t>
  </si>
  <si>
    <t>A5068345285</t>
  </si>
  <si>
    <t>zhengqing wang</t>
  </si>
  <si>
    <t>mengqin wang</t>
  </si>
  <si>
    <t>A5005632299</t>
  </si>
  <si>
    <t>A5109697714</t>
  </si>
  <si>
    <t>yue wang</t>
  </si>
  <si>
    <t>A5100371992</t>
  </si>
  <si>
    <t>noelle warkentin</t>
  </si>
  <si>
    <t>luke warkentin</t>
  </si>
  <si>
    <t>A5036298542</t>
  </si>
  <si>
    <t>A5069332430</t>
  </si>
  <si>
    <t>kevin wagner</t>
  </si>
  <si>
    <t>kevin winther</t>
  </si>
  <si>
    <t>A5043519692</t>
  </si>
  <si>
    <t>A5106621638</t>
  </si>
  <si>
    <t>amanda wallace</t>
  </si>
  <si>
    <t>alannah wallace</t>
  </si>
  <si>
    <t>A5083012202</t>
  </si>
  <si>
    <t>A5055356925</t>
  </si>
  <si>
    <t>lucas wu</t>
  </si>
  <si>
    <t>lucas y wu</t>
  </si>
  <si>
    <t>A5000594667</t>
  </si>
  <si>
    <t>A5052301741</t>
  </si>
  <si>
    <t>ke wang</t>
  </si>
  <si>
    <t>A5100360129</t>
  </si>
  <si>
    <t>a woinoski</t>
  </si>
  <si>
    <t>tim woinoski</t>
  </si>
  <si>
    <t>A5031293841</t>
  </si>
  <si>
    <t>A5112857475</t>
  </si>
  <si>
    <t>timothy woinoski</t>
  </si>
  <si>
    <t>A5112497827</t>
  </si>
  <si>
    <t>tianbi wu</t>
  </si>
  <si>
    <t>tianbu wu</t>
  </si>
  <si>
    <t>A5077851516</t>
  </si>
  <si>
    <t>A5113986242</t>
  </si>
  <si>
    <t>xiaolei wang</t>
  </si>
  <si>
    <t>A5012106743</t>
  </si>
  <si>
    <t>calvert woodruff</t>
  </si>
  <si>
    <t>cal woodruff</t>
  </si>
  <si>
    <t>A5007490784</t>
  </si>
  <si>
    <t>A5058077634</t>
  </si>
  <si>
    <t>fangxing wang</t>
  </si>
  <si>
    <t>A5055564425</t>
  </si>
  <si>
    <t>hui xie</t>
  </si>
  <si>
    <t>h xie</t>
  </si>
  <si>
    <t>A5035823220</t>
  </si>
  <si>
    <t>A5057652444</t>
  </si>
  <si>
    <t>minghao yin</t>
  </si>
  <si>
    <t>ming yin</t>
  </si>
  <si>
    <t>A5023555343</t>
  </si>
  <si>
    <t>A5101273683</t>
  </si>
  <si>
    <t>ronald c ydenberg</t>
  </si>
  <si>
    <t>ron ydenberg</t>
  </si>
  <si>
    <t>A5060793104</t>
  </si>
  <si>
    <t>A5109944350</t>
  </si>
  <si>
    <t>xing-dong yang</t>
  </si>
  <si>
    <t>xingdong yang</t>
  </si>
  <si>
    <t>A5084933066</t>
  </si>
  <si>
    <t>A5111939848</t>
  </si>
  <si>
    <t>jie yang</t>
  </si>
  <si>
    <t>sen yang</t>
  </si>
  <si>
    <t>A5050953909</t>
  </si>
  <si>
    <t>A5101842208</t>
  </si>
  <si>
    <t>wen yang</t>
  </si>
  <si>
    <t>A5100592332</t>
  </si>
  <si>
    <t>kangkang yin</t>
  </si>
  <si>
    <t>zhangyang ying</t>
  </si>
  <si>
    <t>A5066958130</t>
  </si>
  <si>
    <t>A5099178243</t>
  </si>
  <si>
    <t>jeffrey yip</t>
  </si>
  <si>
    <t>jefferey yue</t>
  </si>
  <si>
    <t>A5060169756</t>
  </si>
  <si>
    <t>A5069306754</t>
  </si>
  <si>
    <t>zhang yu</t>
  </si>
  <si>
    <t>hogan yu</t>
  </si>
  <si>
    <t>A5113746120</t>
  </si>
  <si>
    <t>A5075818003</t>
  </si>
  <si>
    <t>kefan yang</t>
  </si>
  <si>
    <t>A5076463655</t>
  </si>
  <si>
    <t>nancy yang</t>
  </si>
  <si>
    <t>andy yan</t>
  </si>
  <si>
    <t>A5015559101</t>
  </si>
  <si>
    <t>A5050260428</t>
  </si>
  <si>
    <t>andy yoon</t>
  </si>
  <si>
    <t>A5036756377</t>
  </si>
  <si>
    <t>m a yakovlev</t>
  </si>
  <si>
    <t>m yakovlev</t>
  </si>
  <si>
    <t>A5050510999</t>
  </si>
  <si>
    <t>A5085376161</t>
  </si>
  <si>
    <t>michael yakovlev</t>
  </si>
  <si>
    <t>A5020948201</t>
  </si>
  <si>
    <t>nastaran yousefi</t>
  </si>
  <si>
    <t>baharak yousefi</t>
  </si>
  <si>
    <t>A5085862809</t>
  </si>
  <si>
    <t>A5035873436</t>
  </si>
  <si>
    <t>hao zhang</t>
  </si>
  <si>
    <t>ray zhang</t>
  </si>
  <si>
    <t>A5100397026</t>
  </si>
  <si>
    <t>A5072911375</t>
  </si>
  <si>
    <t>howard zhang</t>
  </si>
  <si>
    <t>A5055622169</t>
  </si>
  <si>
    <t>z zhang</t>
  </si>
  <si>
    <t>A5009011522</t>
  </si>
  <si>
    <t>n zhang</t>
  </si>
  <si>
    <t>A5061007955</t>
  </si>
  <si>
    <t>j zhang</t>
  </si>
  <si>
    <t>A5070372260</t>
  </si>
  <si>
    <t>miao zhang</t>
  </si>
  <si>
    <t>A5100376451</t>
  </si>
  <si>
    <t>di zhao</t>
  </si>
  <si>
    <t>jia zhao</t>
  </si>
  <si>
    <t>A5025337002</t>
  </si>
  <si>
    <t>A5101724268</t>
  </si>
  <si>
    <t>kino zhao</t>
  </si>
  <si>
    <t>A5038065482</t>
  </si>
  <si>
    <t>sida zhao</t>
  </si>
  <si>
    <t>A5070688108</t>
  </si>
  <si>
    <t>wen zhou</t>
  </si>
  <si>
    <t>yan zhou</t>
  </si>
  <si>
    <t>A5112896510</t>
  </si>
  <si>
    <t>A5100735888</t>
  </si>
  <si>
    <t>judith lynne zaichkowsky</t>
  </si>
  <si>
    <t>judy zaichkowsky</t>
  </si>
  <si>
    <t>A5067340182</t>
  </si>
  <si>
    <t>A5015084242</t>
  </si>
  <si>
    <t>zhilin zhang</t>
  </si>
  <si>
    <t>zhitian zhang</t>
  </si>
  <si>
    <t>A5100723116</t>
  </si>
  <si>
    <t>A5111217709</t>
  </si>
  <si>
    <t>y v zhou</t>
  </si>
  <si>
    <t>A5031526350</t>
  </si>
  <si>
    <t>yuguo zhang</t>
  </si>
  <si>
    <t>yumeng zhuang</t>
  </si>
  <si>
    <t>A5103035767</t>
  </si>
  <si>
    <t>A5032031550</t>
  </si>
  <si>
    <t>yuxuan zhang</t>
  </si>
  <si>
    <t>A5100319892</t>
  </si>
  <si>
    <t>haoyuan zhao</t>
  </si>
  <si>
    <t>haoxuan zhou</t>
  </si>
  <si>
    <t>A5114832292</t>
  </si>
  <si>
    <t>A5006253199</t>
  </si>
  <si>
    <t>haobin zhou</t>
  </si>
  <si>
    <t>A5108968499</t>
  </si>
  <si>
    <t>peng zhang</t>
  </si>
  <si>
    <t>A5100364110</t>
  </si>
  <si>
    <t>a zare</t>
  </si>
  <si>
    <t>navid zare</t>
  </si>
  <si>
    <t>A5067310881</t>
  </si>
  <si>
    <t>A5116424440</t>
  </si>
  <si>
    <t>maryam zarei</t>
  </si>
  <si>
    <t>maryiam zahoor</t>
  </si>
  <si>
    <t>A5038141267</t>
  </si>
  <si>
    <t>A5115672254</t>
  </si>
  <si>
    <t>vanja zdjelar</t>
  </si>
  <si>
    <t>ivana zdjelar</t>
  </si>
  <si>
    <t>A5025292022</t>
  </si>
  <si>
    <t>A5114472761</t>
  </si>
  <si>
    <t>Ok/no</t>
  </si>
  <si>
    <t>ok</t>
  </si>
  <si>
    <t>no</t>
  </si>
  <si>
    <t>% ok</t>
  </si>
  <si>
    <t>% no</t>
  </si>
  <si>
    <t>ok/no</t>
  </si>
  <si>
    <t>%ok</t>
  </si>
  <si>
    <t>%no</t>
  </si>
  <si>
    <t>`</t>
  </si>
  <si>
    <t>Proportion Correct</t>
  </si>
  <si>
    <t>Proportion Wrong</t>
  </si>
  <si>
    <t>Count Correct</t>
  </si>
  <si>
    <t>Count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</si>
</sst>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Proportion of</a:t>
            </a:r>
            <a:r>
              <a:rPr lang="en-CA" baseline="0"/>
              <a:t> names matched vs. threshold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comparisons!$A$2</c:f>
              <c:strCache>
                <c:ptCount val="1"/>
                <c:pt idx="0">
                  <c:v>Proportion Correct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comparisons!$B$1:$H$1</c:f>
              <c:numCache>
                <c:formatCode>General</c:formatCode>
                <c:ptCount val="7"/>
                <c:pt idx="0">
                  <c:v>75</c:v>
                </c:pt>
                <c:pt idx="1">
                  <c:v>78</c:v>
                </c:pt>
                <c:pt idx="2">
                  <c:v>80</c:v>
                </c:pt>
                <c:pt idx="3">
                  <c:v>82</c:v>
                </c:pt>
                <c:pt idx="4">
                  <c:v>85</c:v>
                </c:pt>
                <c:pt idx="5">
                  <c:v>88</c:v>
                </c:pt>
                <c:pt idx="6">
                  <c:v>90</c:v>
                </c:pt>
              </c:numCache>
            </c:numRef>
          </c:cat>
          <c:val>
            <c:numRef>
              <c:f>comparisons!$B$2:$H$2</c:f>
              <c:numCache>
                <c:formatCode>General</c:formatCode>
                <c:ptCount val="7"/>
                <c:pt idx="0">
                  <c:v>0.37401574803149606</c:v>
                </c:pt>
                <c:pt idx="1">
                  <c:v>0.40532544378698226</c:v>
                </c:pt>
                <c:pt idx="2">
                  <c:v>0.38487972508591067</c:v>
                </c:pt>
                <c:pt idx="3">
                  <c:v>0.40454545454545454</c:v>
                </c:pt>
                <c:pt idx="4">
                  <c:v>0.44936708860759494</c:v>
                </c:pt>
                <c:pt idx="5">
                  <c:v>0.41803278688524592</c:v>
                </c:pt>
                <c:pt idx="6">
                  <c:v>0.40196078431372551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38-4293-854E-65099E90931F}"/>
            </c:ext>
          </c:extLst>
        </c:ser>
        <c:ser>
          <c:idx val="1"/>
          <c:order val="1"/>
          <c:tx>
            <c:strRef>
              <c:f>comparisons!$A$3</c:f>
              <c:strCache>
                <c:ptCount val="1"/>
                <c:pt idx="0">
                  <c:v>Proportion Wrong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comparisons!$B$1:$H$1</c:f>
              <c:numCache>
                <c:formatCode>General</c:formatCode>
                <c:ptCount val="7"/>
                <c:pt idx="0">
                  <c:v>75</c:v>
                </c:pt>
                <c:pt idx="1">
                  <c:v>78</c:v>
                </c:pt>
                <c:pt idx="2">
                  <c:v>80</c:v>
                </c:pt>
                <c:pt idx="3">
                  <c:v>82</c:v>
                </c:pt>
                <c:pt idx="4">
                  <c:v>85</c:v>
                </c:pt>
                <c:pt idx="5">
                  <c:v>88</c:v>
                </c:pt>
                <c:pt idx="6">
                  <c:v>90</c:v>
                </c:pt>
              </c:numCache>
            </c:numRef>
          </c:cat>
          <c:val>
            <c:numRef>
              <c:f>comparisons!$B$3:$H$3</c:f>
              <c:numCache>
                <c:formatCode>General</c:formatCode>
                <c:ptCount val="7"/>
                <c:pt idx="0">
                  <c:v>0.62598425196850394</c:v>
                </c:pt>
                <c:pt idx="1">
                  <c:v>0.59467455621301779</c:v>
                </c:pt>
                <c:pt idx="2">
                  <c:v>0.61512027491408938</c:v>
                </c:pt>
                <c:pt idx="3">
                  <c:v>0.59545454545454546</c:v>
                </c:pt>
                <c:pt idx="4">
                  <c:v>0.55063291139240511</c:v>
                </c:pt>
                <c:pt idx="5">
                  <c:v>0.58196721311475408</c:v>
                </c:pt>
                <c:pt idx="6">
                  <c:v>0.59803921568627449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38-4293-854E-65099E909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265520"/>
        <c:axId val="1038284511"/>
      </c:lineChart>
      <c:catAx>
        <c:axId val="19092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284511"/>
        <c:crosses val="autoZero"/>
        <c:auto val="1"/>
        <c:lblAlgn val="ctr"/>
        <c:lblOffset val="100"/>
        <c:noMultiLvlLbl val="0"/>
      </c:catAx>
      <c:valAx>
        <c:axId val="103828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2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Count of names matched</a:t>
            </a:r>
            <a:r>
              <a:rPr lang="en-CA" baseline="0"/>
              <a:t> vs. threshold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comparisons!$A$6</c:f>
              <c:strCache>
                <c:ptCount val="1"/>
                <c:pt idx="0">
                  <c:v>Count Correct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comparisons!$B$5:$H$5</c:f>
              <c:numCache>
                <c:formatCode>General</c:formatCode>
                <c:ptCount val="7"/>
                <c:pt idx="0">
                  <c:v>75</c:v>
                </c:pt>
                <c:pt idx="1">
                  <c:v>78</c:v>
                </c:pt>
                <c:pt idx="2">
                  <c:v>80</c:v>
                </c:pt>
                <c:pt idx="3">
                  <c:v>82</c:v>
                </c:pt>
                <c:pt idx="4">
                  <c:v>85</c:v>
                </c:pt>
                <c:pt idx="5">
                  <c:v>88</c:v>
                </c:pt>
                <c:pt idx="6">
                  <c:v>90</c:v>
                </c:pt>
              </c:numCache>
            </c:numRef>
          </c:cat>
          <c:val>
            <c:numRef>
              <c:f>comparisons!$B$6:$H$6</c:f>
              <c:numCache>
                <c:formatCode>General</c:formatCode>
                <c:ptCount val="7"/>
                <c:pt idx="0">
                  <c:v>190</c:v>
                </c:pt>
                <c:pt idx="1">
                  <c:v>137</c:v>
                </c:pt>
                <c:pt idx="2">
                  <c:v>112</c:v>
                </c:pt>
                <c:pt idx="3">
                  <c:v>89</c:v>
                </c:pt>
                <c:pt idx="4">
                  <c:v>71</c:v>
                </c:pt>
                <c:pt idx="5">
                  <c:v>51</c:v>
                </c:pt>
                <c:pt idx="6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4-4010-A1AE-FE77BA43F620}"/>
            </c:ext>
          </c:extLst>
        </c:ser>
        <c:ser>
          <c:idx val="1"/>
          <c:order val="1"/>
          <c:tx>
            <c:strRef>
              <c:f>comparisons!$A$7</c:f>
              <c:strCache>
                <c:ptCount val="1"/>
                <c:pt idx="0">
                  <c:v>Count Wrong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comparisons!$B$5:$H$5</c:f>
              <c:numCache>
                <c:formatCode>General</c:formatCode>
                <c:ptCount val="7"/>
                <c:pt idx="0">
                  <c:v>75</c:v>
                </c:pt>
                <c:pt idx="1">
                  <c:v>78</c:v>
                </c:pt>
                <c:pt idx="2">
                  <c:v>80</c:v>
                </c:pt>
                <c:pt idx="3">
                  <c:v>82</c:v>
                </c:pt>
                <c:pt idx="4">
                  <c:v>85</c:v>
                </c:pt>
                <c:pt idx="5">
                  <c:v>88</c:v>
                </c:pt>
                <c:pt idx="6">
                  <c:v>90</c:v>
                </c:pt>
              </c:numCache>
            </c:numRef>
          </c:cat>
          <c:val>
            <c:numRef>
              <c:f>comparisons!$B$7:$H$7</c:f>
              <c:numCache>
                <c:formatCode>General</c:formatCode>
                <c:ptCount val="7"/>
                <c:pt idx="0">
                  <c:v>318</c:v>
                </c:pt>
                <c:pt idx="1">
                  <c:v>201</c:v>
                </c:pt>
                <c:pt idx="2">
                  <c:v>179</c:v>
                </c:pt>
                <c:pt idx="3">
                  <c:v>131</c:v>
                </c:pt>
                <c:pt idx="4">
                  <c:v>87</c:v>
                </c:pt>
                <c:pt idx="5">
                  <c:v>71</c:v>
                </c:pt>
                <c:pt idx="6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4-4010-A1AE-FE77BA43F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399855"/>
        <c:axId val="185405135"/>
      </c:lineChart>
      <c:catAx>
        <c:axId val="18539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05135"/>
        <c:crosses val="autoZero"/>
        <c:auto val="1"/>
        <c:lblAlgn val="ctr"/>
        <c:lblOffset val="100"/>
        <c:noMultiLvlLbl val="0"/>
      </c:catAx>
      <c:valAx>
        <c:axId val="18540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9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559593</xdr:colOff>
      <xdr:row>11</xdr:row>
      <xdr:rowOff>128587</xdr:rowOff>
    </xdr:from>
    <xdr:to>
      <xdr:col>7</xdr:col>
      <xdr:colOff>154780</xdr:colOff>
      <xdr:row>26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08CDF-976A-D634-07EC-CCF1CF6B0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483393</xdr:colOff>
      <xdr:row>11</xdr:row>
      <xdr:rowOff>123825</xdr:rowOff>
    </xdr:from>
    <xdr:to>
      <xdr:col>14</xdr:col>
      <xdr:colOff>521493</xdr:colOff>
      <xdr:row>26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13465D-10F0-0719-4AF6-CCF3FA720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19A0-0C69-4D80-851A-5A8411449AD2}">
  <sheetPr filterMode="1"/>
  <dimension ref="A1:J509"/>
  <sheetViews>
    <sheetView tabSelected="1" workbookViewId="0">
      <selection activeCell="I108" sqref="I108"/>
    </sheetView>
  </sheetViews>
  <sheetFormatPr defaultRowHeight="14.25" x14ac:dyDescent="0.45"/>
  <cols>
    <col min="1" max="1" width="28.53125" bestFit="1" customWidth="1"/>
    <col min="2" max="2" width="25.06640625" bestFit="1" customWidth="1"/>
    <col min="3" max="4" width="11.73046875" bestFit="1" customWidth="1"/>
    <col min="5" max="5" width="13.4648437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1511</v>
      </c>
    </row>
    <row r="2" spans="1:10" x14ac:dyDescent="0.45">
      <c r="A2" t="s">
        <v>5</v>
      </c>
      <c r="B2" t="s">
        <v>6</v>
      </c>
      <c r="C2" t="s">
        <v>7</v>
      </c>
      <c r="D2" t="s">
        <v>8</v>
      </c>
      <c r="E2">
        <v>92</v>
      </c>
      <c r="F2" t="s">
        <v>1512</v>
      </c>
      <c r="H2" t="s">
        <v>1514</v>
      </c>
      <c r="I2" cm="1">
        <f t="array" ref="I2">COUNTIF(F2:F509,"ok")/SUM(IF(ISBLANK(F2:F509),0,1))</f>
        <v>0.37401574803149606</v>
      </c>
      <c r="J2">
        <f>COUNTIF(F2:F509,"ok")</f>
        <v>190</v>
      </c>
    </row>
    <row r="3" spans="1:10" hidden="1" x14ac:dyDescent="0.45">
      <c r="A3" t="s">
        <v>9</v>
      </c>
      <c r="B3" t="s">
        <v>10</v>
      </c>
      <c r="C3" t="s">
        <v>11</v>
      </c>
      <c r="D3" t="s">
        <v>12</v>
      </c>
      <c r="E3">
        <v>81</v>
      </c>
      <c r="F3" t="s">
        <v>1513</v>
      </c>
      <c r="H3" t="s">
        <v>1515</v>
      </c>
      <c r="I3" cm="1">
        <f t="array" ref="I3">COUNTIF(F2:F509,"no")/SUM(IF(ISBLANK(F2:F509),0,1))</f>
        <v>0.62598425196850394</v>
      </c>
      <c r="J3">
        <f>COUNTIF(F2:F509,"no")</f>
        <v>318</v>
      </c>
    </row>
    <row r="4" spans="1:10" hidden="1" x14ac:dyDescent="0.45">
      <c r="A4" t="s">
        <v>9</v>
      </c>
      <c r="B4" t="s">
        <v>13</v>
      </c>
      <c r="C4" t="s">
        <v>11</v>
      </c>
      <c r="D4" t="s">
        <v>14</v>
      </c>
      <c r="E4">
        <v>76</v>
      </c>
      <c r="F4" t="s">
        <v>1513</v>
      </c>
    </row>
    <row r="5" spans="1:10" hidden="1" x14ac:dyDescent="0.45">
      <c r="A5" t="s">
        <v>15</v>
      </c>
      <c r="B5" t="s">
        <v>16</v>
      </c>
      <c r="C5" t="s">
        <v>17</v>
      </c>
      <c r="D5" t="s">
        <v>18</v>
      </c>
      <c r="E5">
        <v>76</v>
      </c>
      <c r="F5" t="s">
        <v>1513</v>
      </c>
    </row>
    <row r="6" spans="1:10" x14ac:dyDescent="0.45">
      <c r="A6" t="s">
        <v>19</v>
      </c>
      <c r="B6" t="s">
        <v>20</v>
      </c>
      <c r="C6" t="s">
        <v>21</v>
      </c>
      <c r="D6" t="s">
        <v>22</v>
      </c>
      <c r="E6">
        <v>94</v>
      </c>
      <c r="F6" t="s">
        <v>1512</v>
      </c>
    </row>
    <row r="7" spans="1:10" hidden="1" x14ac:dyDescent="0.45">
      <c r="A7" t="s">
        <v>23</v>
      </c>
      <c r="B7" t="s">
        <v>24</v>
      </c>
      <c r="C7" t="s">
        <v>25</v>
      </c>
      <c r="D7" t="s">
        <v>26</v>
      </c>
      <c r="E7">
        <v>77</v>
      </c>
      <c r="F7" t="s">
        <v>1513</v>
      </c>
    </row>
    <row r="8" spans="1:10" hidden="1" x14ac:dyDescent="0.45">
      <c r="A8" t="s">
        <v>27</v>
      </c>
      <c r="B8" t="s">
        <v>28</v>
      </c>
      <c r="C8" t="s">
        <v>29</v>
      </c>
      <c r="D8" t="s">
        <v>30</v>
      </c>
      <c r="E8">
        <v>79</v>
      </c>
      <c r="F8" t="s">
        <v>1513</v>
      </c>
    </row>
    <row r="9" spans="1:10" hidden="1" x14ac:dyDescent="0.45">
      <c r="A9" t="s">
        <v>10</v>
      </c>
      <c r="B9" t="s">
        <v>24</v>
      </c>
      <c r="C9" t="s">
        <v>12</v>
      </c>
      <c r="D9" t="s">
        <v>26</v>
      </c>
      <c r="E9">
        <v>81</v>
      </c>
      <c r="F9" t="s">
        <v>1513</v>
      </c>
    </row>
    <row r="10" spans="1:10" hidden="1" x14ac:dyDescent="0.45">
      <c r="A10" t="s">
        <v>10</v>
      </c>
      <c r="B10" t="s">
        <v>13</v>
      </c>
      <c r="C10" t="s">
        <v>12</v>
      </c>
      <c r="D10" t="s">
        <v>14</v>
      </c>
      <c r="E10">
        <v>77</v>
      </c>
      <c r="F10" t="s">
        <v>1513</v>
      </c>
    </row>
    <row r="11" spans="1:10" x14ac:dyDescent="0.45">
      <c r="A11" t="s">
        <v>31</v>
      </c>
      <c r="B11" t="s">
        <v>32</v>
      </c>
      <c r="C11" t="s">
        <v>33</v>
      </c>
      <c r="D11" t="s">
        <v>34</v>
      </c>
      <c r="E11">
        <v>85</v>
      </c>
      <c r="F11" t="s">
        <v>1512</v>
      </c>
    </row>
    <row r="12" spans="1:10" hidden="1" x14ac:dyDescent="0.45">
      <c r="A12" t="s">
        <v>24</v>
      </c>
      <c r="B12" t="s">
        <v>13</v>
      </c>
      <c r="C12" t="s">
        <v>26</v>
      </c>
      <c r="D12" t="s">
        <v>14</v>
      </c>
      <c r="E12">
        <v>83</v>
      </c>
      <c r="F12" t="s">
        <v>1513</v>
      </c>
    </row>
    <row r="13" spans="1:10" hidden="1" x14ac:dyDescent="0.45">
      <c r="A13" t="s">
        <v>28</v>
      </c>
      <c r="B13" t="s">
        <v>35</v>
      </c>
      <c r="C13" t="s">
        <v>30</v>
      </c>
      <c r="D13" t="s">
        <v>36</v>
      </c>
      <c r="E13">
        <v>76</v>
      </c>
      <c r="F13" t="s">
        <v>1513</v>
      </c>
    </row>
    <row r="14" spans="1:10" x14ac:dyDescent="0.45">
      <c r="A14" t="s">
        <v>37</v>
      </c>
      <c r="B14" t="s">
        <v>38</v>
      </c>
      <c r="C14" t="s">
        <v>39</v>
      </c>
      <c r="D14" t="s">
        <v>40</v>
      </c>
      <c r="E14">
        <v>75</v>
      </c>
      <c r="F14" t="s">
        <v>1512</v>
      </c>
    </row>
    <row r="15" spans="1:10" hidden="1" x14ac:dyDescent="0.45">
      <c r="A15" t="s">
        <v>41</v>
      </c>
      <c r="B15" t="s">
        <v>42</v>
      </c>
      <c r="C15" t="s">
        <v>43</v>
      </c>
      <c r="D15" t="s">
        <v>44</v>
      </c>
      <c r="E15">
        <v>78</v>
      </c>
      <c r="F15" t="s">
        <v>1513</v>
      </c>
    </row>
    <row r="16" spans="1:10" hidden="1" x14ac:dyDescent="0.45">
      <c r="A16" t="s">
        <v>45</v>
      </c>
      <c r="B16" t="s">
        <v>46</v>
      </c>
      <c r="C16" t="s">
        <v>47</v>
      </c>
      <c r="D16" t="s">
        <v>48</v>
      </c>
      <c r="E16">
        <v>75</v>
      </c>
      <c r="F16" t="s">
        <v>1513</v>
      </c>
    </row>
    <row r="17" spans="1:6" x14ac:dyDescent="0.45">
      <c r="A17" t="s">
        <v>49</v>
      </c>
      <c r="B17" t="s">
        <v>50</v>
      </c>
      <c r="C17" t="s">
        <v>51</v>
      </c>
      <c r="D17" t="s">
        <v>52</v>
      </c>
      <c r="E17">
        <v>83</v>
      </c>
      <c r="F17" t="s">
        <v>1512</v>
      </c>
    </row>
    <row r="18" spans="1:6" hidden="1" x14ac:dyDescent="0.45">
      <c r="A18" t="s">
        <v>53</v>
      </c>
      <c r="B18" t="s">
        <v>54</v>
      </c>
      <c r="C18" t="s">
        <v>55</v>
      </c>
      <c r="D18" t="s">
        <v>56</v>
      </c>
      <c r="E18">
        <v>76</v>
      </c>
      <c r="F18" t="s">
        <v>1513</v>
      </c>
    </row>
    <row r="19" spans="1:6" x14ac:dyDescent="0.45">
      <c r="A19" t="s">
        <v>57</v>
      </c>
      <c r="B19" t="s">
        <v>58</v>
      </c>
      <c r="C19" t="s">
        <v>59</v>
      </c>
      <c r="D19" t="s">
        <v>60</v>
      </c>
      <c r="E19">
        <v>85</v>
      </c>
      <c r="F19" t="s">
        <v>1512</v>
      </c>
    </row>
    <row r="20" spans="1:6" hidden="1" x14ac:dyDescent="0.45">
      <c r="A20" t="s">
        <v>61</v>
      </c>
      <c r="B20" t="s">
        <v>62</v>
      </c>
      <c r="C20" t="s">
        <v>63</v>
      </c>
      <c r="D20" t="s">
        <v>64</v>
      </c>
      <c r="E20">
        <v>79</v>
      </c>
      <c r="F20" t="s">
        <v>1513</v>
      </c>
    </row>
    <row r="21" spans="1:6" hidden="1" x14ac:dyDescent="0.45">
      <c r="A21" t="s">
        <v>65</v>
      </c>
      <c r="B21" t="s">
        <v>66</v>
      </c>
      <c r="C21" t="s">
        <v>67</v>
      </c>
      <c r="D21" t="s">
        <v>68</v>
      </c>
      <c r="E21">
        <v>80</v>
      </c>
      <c r="F21" t="s">
        <v>1513</v>
      </c>
    </row>
    <row r="22" spans="1:6" hidden="1" x14ac:dyDescent="0.45">
      <c r="A22" t="s">
        <v>69</v>
      </c>
      <c r="B22" t="s">
        <v>54</v>
      </c>
      <c r="C22" t="s">
        <v>70</v>
      </c>
      <c r="D22" t="s">
        <v>56</v>
      </c>
      <c r="E22">
        <v>76</v>
      </c>
      <c r="F22" t="s">
        <v>1513</v>
      </c>
    </row>
    <row r="23" spans="1:6" x14ac:dyDescent="0.45">
      <c r="A23" t="s">
        <v>71</v>
      </c>
      <c r="B23" t="s">
        <v>72</v>
      </c>
      <c r="C23" t="s">
        <v>73</v>
      </c>
      <c r="D23" t="s">
        <v>74</v>
      </c>
      <c r="E23">
        <v>83</v>
      </c>
      <c r="F23" t="s">
        <v>1512</v>
      </c>
    </row>
    <row r="24" spans="1:6" hidden="1" x14ac:dyDescent="0.45">
      <c r="A24" t="s">
        <v>75</v>
      </c>
      <c r="B24" t="s">
        <v>76</v>
      </c>
      <c r="C24" t="s">
        <v>77</v>
      </c>
      <c r="D24" t="s">
        <v>78</v>
      </c>
      <c r="E24">
        <v>80</v>
      </c>
      <c r="F24" t="s">
        <v>1513</v>
      </c>
    </row>
    <row r="25" spans="1:6" hidden="1" x14ac:dyDescent="0.45">
      <c r="A25" t="s">
        <v>79</v>
      </c>
      <c r="B25" t="s">
        <v>80</v>
      </c>
      <c r="C25" t="s">
        <v>81</v>
      </c>
      <c r="D25" t="s">
        <v>82</v>
      </c>
      <c r="E25">
        <v>76</v>
      </c>
      <c r="F25" t="s">
        <v>1513</v>
      </c>
    </row>
    <row r="26" spans="1:6" hidden="1" x14ac:dyDescent="0.45">
      <c r="A26" t="s">
        <v>79</v>
      </c>
      <c r="B26" t="s">
        <v>83</v>
      </c>
      <c r="C26" t="s">
        <v>81</v>
      </c>
      <c r="D26" t="s">
        <v>84</v>
      </c>
      <c r="E26">
        <v>90</v>
      </c>
      <c r="F26" t="s">
        <v>1513</v>
      </c>
    </row>
    <row r="27" spans="1:6" x14ac:dyDescent="0.45">
      <c r="A27" t="s">
        <v>85</v>
      </c>
      <c r="B27" t="s">
        <v>86</v>
      </c>
      <c r="C27" t="s">
        <v>87</v>
      </c>
      <c r="D27" t="s">
        <v>88</v>
      </c>
      <c r="E27">
        <v>90</v>
      </c>
      <c r="F27" t="s">
        <v>1512</v>
      </c>
    </row>
    <row r="28" spans="1:6" x14ac:dyDescent="0.45">
      <c r="A28" t="s">
        <v>89</v>
      </c>
      <c r="B28" t="s">
        <v>90</v>
      </c>
      <c r="C28" t="s">
        <v>91</v>
      </c>
      <c r="D28" t="s">
        <v>92</v>
      </c>
      <c r="E28">
        <v>94</v>
      </c>
      <c r="F28" t="s">
        <v>1512</v>
      </c>
    </row>
    <row r="29" spans="1:6" hidden="1" x14ac:dyDescent="0.45">
      <c r="A29" t="s">
        <v>93</v>
      </c>
      <c r="B29" t="s">
        <v>94</v>
      </c>
      <c r="C29" t="s">
        <v>95</v>
      </c>
      <c r="D29" t="s">
        <v>96</v>
      </c>
      <c r="E29">
        <v>81</v>
      </c>
      <c r="F29" t="s">
        <v>1513</v>
      </c>
    </row>
    <row r="30" spans="1:6" x14ac:dyDescent="0.45">
      <c r="A30" t="s">
        <v>97</v>
      </c>
      <c r="B30" t="s">
        <v>98</v>
      </c>
      <c r="C30" t="s">
        <v>99</v>
      </c>
      <c r="D30" t="s">
        <v>100</v>
      </c>
      <c r="E30">
        <v>92</v>
      </c>
      <c r="F30" t="s">
        <v>1512</v>
      </c>
    </row>
    <row r="31" spans="1:6" x14ac:dyDescent="0.45">
      <c r="A31" t="s">
        <v>101</v>
      </c>
      <c r="B31" t="s">
        <v>102</v>
      </c>
      <c r="C31" t="s">
        <v>103</v>
      </c>
      <c r="D31" t="s">
        <v>104</v>
      </c>
      <c r="E31">
        <v>88</v>
      </c>
      <c r="F31" t="s">
        <v>1512</v>
      </c>
    </row>
    <row r="32" spans="1:6" hidden="1" x14ac:dyDescent="0.45">
      <c r="A32" t="s">
        <v>105</v>
      </c>
      <c r="B32" t="s">
        <v>106</v>
      </c>
      <c r="C32" t="s">
        <v>107</v>
      </c>
      <c r="D32" t="s">
        <v>108</v>
      </c>
      <c r="E32">
        <v>76</v>
      </c>
      <c r="F32" t="s">
        <v>1513</v>
      </c>
    </row>
    <row r="33" spans="1:6" hidden="1" x14ac:dyDescent="0.45">
      <c r="A33" t="s">
        <v>109</v>
      </c>
      <c r="B33" t="s">
        <v>110</v>
      </c>
      <c r="C33" t="s">
        <v>111</v>
      </c>
      <c r="D33" t="s">
        <v>112</v>
      </c>
      <c r="E33">
        <v>85</v>
      </c>
      <c r="F33" t="s">
        <v>1513</v>
      </c>
    </row>
    <row r="34" spans="1:6" hidden="1" x14ac:dyDescent="0.45">
      <c r="A34" t="s">
        <v>113</v>
      </c>
      <c r="B34" t="s">
        <v>114</v>
      </c>
      <c r="C34" t="s">
        <v>115</v>
      </c>
      <c r="D34" t="s">
        <v>116</v>
      </c>
      <c r="E34">
        <v>76</v>
      </c>
      <c r="F34" t="s">
        <v>1513</v>
      </c>
    </row>
    <row r="35" spans="1:6" x14ac:dyDescent="0.45">
      <c r="A35" t="s">
        <v>117</v>
      </c>
      <c r="B35" t="s">
        <v>118</v>
      </c>
      <c r="C35" t="s">
        <v>119</v>
      </c>
      <c r="D35" t="s">
        <v>120</v>
      </c>
      <c r="E35">
        <v>76</v>
      </c>
      <c r="F35" t="s">
        <v>1512</v>
      </c>
    </row>
    <row r="36" spans="1:6" x14ac:dyDescent="0.45">
      <c r="A36" t="s">
        <v>121</v>
      </c>
      <c r="B36" t="s">
        <v>122</v>
      </c>
      <c r="C36" t="s">
        <v>123</v>
      </c>
      <c r="D36" t="s">
        <v>124</v>
      </c>
      <c r="E36">
        <v>92</v>
      </c>
      <c r="F36" t="s">
        <v>1512</v>
      </c>
    </row>
    <row r="37" spans="1:6" hidden="1" x14ac:dyDescent="0.45">
      <c r="A37" t="s">
        <v>125</v>
      </c>
      <c r="B37" t="s">
        <v>126</v>
      </c>
      <c r="C37" t="s">
        <v>127</v>
      </c>
      <c r="D37" t="s">
        <v>128</v>
      </c>
      <c r="E37">
        <v>76</v>
      </c>
      <c r="F37" t="s">
        <v>1513</v>
      </c>
    </row>
    <row r="38" spans="1:6" hidden="1" x14ac:dyDescent="0.45">
      <c r="A38" t="s">
        <v>129</v>
      </c>
      <c r="B38" t="s">
        <v>130</v>
      </c>
      <c r="C38" t="s">
        <v>131</v>
      </c>
      <c r="D38" t="s">
        <v>132</v>
      </c>
      <c r="E38">
        <v>76</v>
      </c>
      <c r="F38" t="s">
        <v>1513</v>
      </c>
    </row>
    <row r="39" spans="1:6" x14ac:dyDescent="0.45">
      <c r="A39" t="s">
        <v>133</v>
      </c>
      <c r="B39" t="s">
        <v>134</v>
      </c>
      <c r="C39" t="s">
        <v>135</v>
      </c>
      <c r="D39" t="s">
        <v>136</v>
      </c>
      <c r="E39">
        <v>80</v>
      </c>
      <c r="F39" t="s">
        <v>1512</v>
      </c>
    </row>
    <row r="40" spans="1:6" x14ac:dyDescent="0.45">
      <c r="A40" t="s">
        <v>137</v>
      </c>
      <c r="B40" t="s">
        <v>138</v>
      </c>
      <c r="C40" t="s">
        <v>139</v>
      </c>
      <c r="D40" t="s">
        <v>140</v>
      </c>
      <c r="E40">
        <v>77</v>
      </c>
      <c r="F40" t="s">
        <v>1512</v>
      </c>
    </row>
    <row r="41" spans="1:6" hidden="1" x14ac:dyDescent="0.45">
      <c r="A41" t="s">
        <v>141</v>
      </c>
      <c r="B41" t="s">
        <v>142</v>
      </c>
      <c r="C41" t="s">
        <v>143</v>
      </c>
      <c r="D41" t="s">
        <v>144</v>
      </c>
      <c r="E41">
        <v>80</v>
      </c>
      <c r="F41" t="s">
        <v>1513</v>
      </c>
    </row>
    <row r="42" spans="1:6" hidden="1" x14ac:dyDescent="0.45">
      <c r="A42" t="s">
        <v>145</v>
      </c>
      <c r="B42" t="s">
        <v>146</v>
      </c>
      <c r="C42" t="s">
        <v>147</v>
      </c>
      <c r="D42" t="s">
        <v>148</v>
      </c>
      <c r="E42">
        <v>75</v>
      </c>
      <c r="F42" t="s">
        <v>1513</v>
      </c>
    </row>
    <row r="43" spans="1:6" x14ac:dyDescent="0.45">
      <c r="A43" t="s">
        <v>149</v>
      </c>
      <c r="B43" t="s">
        <v>150</v>
      </c>
      <c r="C43" t="s">
        <v>151</v>
      </c>
      <c r="D43" t="s">
        <v>152</v>
      </c>
      <c r="E43">
        <v>94</v>
      </c>
      <c r="F43" t="s">
        <v>1512</v>
      </c>
    </row>
    <row r="44" spans="1:6" x14ac:dyDescent="0.45">
      <c r="A44" t="s">
        <v>153</v>
      </c>
      <c r="B44" t="s">
        <v>154</v>
      </c>
      <c r="C44" t="s">
        <v>155</v>
      </c>
      <c r="D44" t="s">
        <v>156</v>
      </c>
      <c r="E44">
        <v>92</v>
      </c>
      <c r="F44" t="s">
        <v>1512</v>
      </c>
    </row>
    <row r="45" spans="1:6" hidden="1" x14ac:dyDescent="0.45">
      <c r="A45" t="s">
        <v>83</v>
      </c>
      <c r="B45" t="s">
        <v>157</v>
      </c>
      <c r="C45" t="s">
        <v>84</v>
      </c>
      <c r="D45" t="s">
        <v>158</v>
      </c>
      <c r="E45">
        <v>75</v>
      </c>
      <c r="F45" t="s">
        <v>1513</v>
      </c>
    </row>
    <row r="46" spans="1:6" x14ac:dyDescent="0.45">
      <c r="A46" t="s">
        <v>159</v>
      </c>
      <c r="B46" t="s">
        <v>160</v>
      </c>
      <c r="C46" t="s">
        <v>161</v>
      </c>
      <c r="D46" t="s">
        <v>162</v>
      </c>
      <c r="E46">
        <v>98</v>
      </c>
      <c r="F46" t="s">
        <v>1512</v>
      </c>
    </row>
    <row r="47" spans="1:6" x14ac:dyDescent="0.45">
      <c r="A47" t="s">
        <v>163</v>
      </c>
      <c r="B47" t="s">
        <v>164</v>
      </c>
      <c r="C47" t="s">
        <v>165</v>
      </c>
      <c r="D47" t="s">
        <v>166</v>
      </c>
      <c r="E47">
        <v>94</v>
      </c>
      <c r="F47" t="s">
        <v>1512</v>
      </c>
    </row>
    <row r="48" spans="1:6" x14ac:dyDescent="0.45">
      <c r="A48" t="s">
        <v>167</v>
      </c>
      <c r="B48" t="s">
        <v>168</v>
      </c>
      <c r="C48" t="s">
        <v>169</v>
      </c>
      <c r="D48" t="s">
        <v>170</v>
      </c>
      <c r="E48">
        <v>97</v>
      </c>
      <c r="F48" t="s">
        <v>1512</v>
      </c>
    </row>
    <row r="49" spans="1:6" x14ac:dyDescent="0.45">
      <c r="A49" t="s">
        <v>171</v>
      </c>
      <c r="B49" t="s">
        <v>172</v>
      </c>
      <c r="C49" t="s">
        <v>173</v>
      </c>
      <c r="D49" t="s">
        <v>174</v>
      </c>
      <c r="E49">
        <v>87</v>
      </c>
      <c r="F49" t="s">
        <v>1512</v>
      </c>
    </row>
    <row r="50" spans="1:6" hidden="1" x14ac:dyDescent="0.45">
      <c r="A50" t="s">
        <v>175</v>
      </c>
      <c r="B50" t="s">
        <v>176</v>
      </c>
      <c r="C50" t="s">
        <v>177</v>
      </c>
      <c r="D50" t="s">
        <v>178</v>
      </c>
      <c r="E50">
        <v>78</v>
      </c>
      <c r="F50" t="s">
        <v>1513</v>
      </c>
    </row>
    <row r="51" spans="1:6" hidden="1" x14ac:dyDescent="0.45">
      <c r="A51" t="s">
        <v>179</v>
      </c>
      <c r="B51" t="s">
        <v>180</v>
      </c>
      <c r="C51" t="s">
        <v>181</v>
      </c>
      <c r="D51" t="s">
        <v>182</v>
      </c>
      <c r="E51">
        <v>88</v>
      </c>
      <c r="F51" t="s">
        <v>1513</v>
      </c>
    </row>
    <row r="52" spans="1:6" hidden="1" x14ac:dyDescent="0.45">
      <c r="A52" t="s">
        <v>183</v>
      </c>
      <c r="B52" t="s">
        <v>184</v>
      </c>
      <c r="C52" t="s">
        <v>185</v>
      </c>
      <c r="D52" t="s">
        <v>186</v>
      </c>
      <c r="E52">
        <v>77</v>
      </c>
      <c r="F52" t="s">
        <v>1513</v>
      </c>
    </row>
    <row r="53" spans="1:6" hidden="1" x14ac:dyDescent="0.45">
      <c r="A53" t="s">
        <v>183</v>
      </c>
      <c r="B53" t="s">
        <v>187</v>
      </c>
      <c r="C53" t="s">
        <v>185</v>
      </c>
      <c r="D53" t="s">
        <v>188</v>
      </c>
      <c r="E53">
        <v>75</v>
      </c>
      <c r="F53" t="s">
        <v>1513</v>
      </c>
    </row>
    <row r="54" spans="1:6" hidden="1" x14ac:dyDescent="0.45">
      <c r="A54" t="s">
        <v>183</v>
      </c>
      <c r="B54" t="s">
        <v>189</v>
      </c>
      <c r="C54" t="s">
        <v>185</v>
      </c>
      <c r="D54" t="s">
        <v>190</v>
      </c>
      <c r="E54">
        <v>75</v>
      </c>
      <c r="F54" t="s">
        <v>1513</v>
      </c>
    </row>
    <row r="55" spans="1:6" x14ac:dyDescent="0.45">
      <c r="A55" t="s">
        <v>191</v>
      </c>
      <c r="B55" t="s">
        <v>192</v>
      </c>
      <c r="C55" t="s">
        <v>193</v>
      </c>
      <c r="D55" t="s">
        <v>194</v>
      </c>
      <c r="E55">
        <v>93</v>
      </c>
      <c r="F55" t="s">
        <v>1512</v>
      </c>
    </row>
    <row r="56" spans="1:6" x14ac:dyDescent="0.45">
      <c r="A56" t="s">
        <v>191</v>
      </c>
      <c r="B56" t="s">
        <v>195</v>
      </c>
      <c r="C56" t="s">
        <v>193</v>
      </c>
      <c r="D56" t="s">
        <v>196</v>
      </c>
      <c r="E56">
        <v>97</v>
      </c>
      <c r="F56" t="s">
        <v>1512</v>
      </c>
    </row>
    <row r="57" spans="1:6" x14ac:dyDescent="0.45">
      <c r="A57" t="s">
        <v>197</v>
      </c>
      <c r="B57" t="s">
        <v>198</v>
      </c>
      <c r="C57" t="s">
        <v>199</v>
      </c>
      <c r="D57" t="s">
        <v>200</v>
      </c>
      <c r="E57">
        <v>81</v>
      </c>
      <c r="F57" t="s">
        <v>1512</v>
      </c>
    </row>
    <row r="58" spans="1:6" hidden="1" x14ac:dyDescent="0.45">
      <c r="A58" t="s">
        <v>201</v>
      </c>
      <c r="B58" t="s">
        <v>202</v>
      </c>
      <c r="C58" t="s">
        <v>203</v>
      </c>
      <c r="D58" t="s">
        <v>204</v>
      </c>
      <c r="E58">
        <v>78</v>
      </c>
      <c r="F58" t="s">
        <v>1513</v>
      </c>
    </row>
    <row r="59" spans="1:6" hidden="1" x14ac:dyDescent="0.45">
      <c r="A59" t="s">
        <v>201</v>
      </c>
      <c r="B59" t="s">
        <v>205</v>
      </c>
      <c r="C59" t="s">
        <v>203</v>
      </c>
      <c r="D59" t="s">
        <v>206</v>
      </c>
      <c r="E59">
        <v>75</v>
      </c>
      <c r="F59" t="s">
        <v>1513</v>
      </c>
    </row>
    <row r="60" spans="1:6" hidden="1" x14ac:dyDescent="0.45">
      <c r="A60" t="s">
        <v>201</v>
      </c>
      <c r="B60" t="s">
        <v>207</v>
      </c>
      <c r="C60" t="s">
        <v>203</v>
      </c>
      <c r="D60" t="s">
        <v>208</v>
      </c>
      <c r="E60">
        <v>76</v>
      </c>
      <c r="F60" t="s">
        <v>1513</v>
      </c>
    </row>
    <row r="61" spans="1:6" x14ac:dyDescent="0.45">
      <c r="A61" t="s">
        <v>201</v>
      </c>
      <c r="B61" t="s">
        <v>184</v>
      </c>
      <c r="C61" t="s">
        <v>203</v>
      </c>
      <c r="D61" t="s">
        <v>186</v>
      </c>
      <c r="E61">
        <v>80</v>
      </c>
      <c r="F61" t="s">
        <v>1512</v>
      </c>
    </row>
    <row r="62" spans="1:6" hidden="1" x14ac:dyDescent="0.45">
      <c r="A62" t="s">
        <v>201</v>
      </c>
      <c r="B62" t="s">
        <v>209</v>
      </c>
      <c r="C62" t="s">
        <v>203</v>
      </c>
      <c r="D62" t="s">
        <v>210</v>
      </c>
      <c r="E62">
        <v>75</v>
      </c>
      <c r="F62" t="s">
        <v>1513</v>
      </c>
    </row>
    <row r="63" spans="1:6" hidden="1" x14ac:dyDescent="0.45">
      <c r="A63" t="s">
        <v>201</v>
      </c>
      <c r="B63" t="s">
        <v>187</v>
      </c>
      <c r="C63" t="s">
        <v>203</v>
      </c>
      <c r="D63" t="s">
        <v>188</v>
      </c>
      <c r="E63">
        <v>78</v>
      </c>
      <c r="F63" t="s">
        <v>1513</v>
      </c>
    </row>
    <row r="64" spans="1:6" hidden="1" x14ac:dyDescent="0.45">
      <c r="A64" t="s">
        <v>201</v>
      </c>
      <c r="B64" t="s">
        <v>189</v>
      </c>
      <c r="C64" t="s">
        <v>203</v>
      </c>
      <c r="D64" t="s">
        <v>190</v>
      </c>
      <c r="E64">
        <v>78</v>
      </c>
      <c r="F64" t="s">
        <v>1513</v>
      </c>
    </row>
    <row r="65" spans="1:6" hidden="1" x14ac:dyDescent="0.45">
      <c r="A65" t="s">
        <v>211</v>
      </c>
      <c r="B65" t="s">
        <v>205</v>
      </c>
      <c r="C65" t="s">
        <v>212</v>
      </c>
      <c r="D65" t="s">
        <v>206</v>
      </c>
      <c r="E65">
        <v>75</v>
      </c>
      <c r="F65" t="s">
        <v>1513</v>
      </c>
    </row>
    <row r="66" spans="1:6" hidden="1" x14ac:dyDescent="0.45">
      <c r="A66" t="s">
        <v>211</v>
      </c>
      <c r="B66" t="s">
        <v>209</v>
      </c>
      <c r="C66" t="s">
        <v>212</v>
      </c>
      <c r="D66" t="s">
        <v>210</v>
      </c>
      <c r="E66">
        <v>88</v>
      </c>
      <c r="F66" t="s">
        <v>1513</v>
      </c>
    </row>
    <row r="67" spans="1:6" x14ac:dyDescent="0.45">
      <c r="A67" t="s">
        <v>213</v>
      </c>
      <c r="B67" t="s">
        <v>214</v>
      </c>
      <c r="C67" t="s">
        <v>215</v>
      </c>
      <c r="D67" t="s">
        <v>216</v>
      </c>
      <c r="E67">
        <v>92</v>
      </c>
      <c r="F67" t="s">
        <v>1512</v>
      </c>
    </row>
    <row r="68" spans="1:6" x14ac:dyDescent="0.45">
      <c r="A68" t="s">
        <v>217</v>
      </c>
      <c r="B68" t="s">
        <v>218</v>
      </c>
      <c r="C68" t="s">
        <v>219</v>
      </c>
      <c r="D68" t="s">
        <v>220</v>
      </c>
      <c r="E68">
        <v>80</v>
      </c>
      <c r="F68" t="s">
        <v>1512</v>
      </c>
    </row>
    <row r="69" spans="1:6" x14ac:dyDescent="0.45">
      <c r="A69" t="s">
        <v>217</v>
      </c>
      <c r="B69" t="s">
        <v>221</v>
      </c>
      <c r="C69" t="s">
        <v>219</v>
      </c>
      <c r="D69" t="s">
        <v>222</v>
      </c>
      <c r="E69">
        <v>89</v>
      </c>
      <c r="F69" t="s">
        <v>1512</v>
      </c>
    </row>
    <row r="70" spans="1:6" hidden="1" x14ac:dyDescent="0.45">
      <c r="A70" t="s">
        <v>223</v>
      </c>
      <c r="B70" t="s">
        <v>224</v>
      </c>
      <c r="C70" t="s">
        <v>225</v>
      </c>
      <c r="D70" t="s">
        <v>226</v>
      </c>
      <c r="E70">
        <v>77</v>
      </c>
      <c r="F70" t="s">
        <v>1513</v>
      </c>
    </row>
    <row r="71" spans="1:6" x14ac:dyDescent="0.45">
      <c r="A71" t="s">
        <v>227</v>
      </c>
      <c r="B71" t="s">
        <v>228</v>
      </c>
      <c r="C71" t="s">
        <v>229</v>
      </c>
      <c r="D71" t="s">
        <v>230</v>
      </c>
      <c r="E71">
        <v>80</v>
      </c>
      <c r="F71" t="s">
        <v>1512</v>
      </c>
    </row>
    <row r="72" spans="1:6" hidden="1" x14ac:dyDescent="0.45">
      <c r="A72" t="s">
        <v>202</v>
      </c>
      <c r="B72" t="s">
        <v>187</v>
      </c>
      <c r="C72" t="s">
        <v>204</v>
      </c>
      <c r="D72" t="s">
        <v>188</v>
      </c>
      <c r="E72">
        <v>78</v>
      </c>
      <c r="F72" t="s">
        <v>1513</v>
      </c>
    </row>
    <row r="73" spans="1:6" hidden="1" x14ac:dyDescent="0.45">
      <c r="A73" t="s">
        <v>231</v>
      </c>
      <c r="B73" t="s">
        <v>232</v>
      </c>
      <c r="C73" t="s">
        <v>233</v>
      </c>
      <c r="D73" t="s">
        <v>234</v>
      </c>
      <c r="E73">
        <v>83</v>
      </c>
      <c r="F73" t="s">
        <v>1513</v>
      </c>
    </row>
    <row r="74" spans="1:6" x14ac:dyDescent="0.45">
      <c r="A74" t="s">
        <v>231</v>
      </c>
      <c r="B74" t="s">
        <v>235</v>
      </c>
      <c r="C74" t="s">
        <v>233</v>
      </c>
      <c r="D74" t="s">
        <v>236</v>
      </c>
      <c r="E74">
        <v>93</v>
      </c>
      <c r="F74" t="s">
        <v>1512</v>
      </c>
    </row>
    <row r="75" spans="1:6" x14ac:dyDescent="0.45">
      <c r="A75" t="s">
        <v>237</v>
      </c>
      <c r="B75" t="s">
        <v>238</v>
      </c>
      <c r="C75" t="s">
        <v>239</v>
      </c>
      <c r="D75" t="s">
        <v>240</v>
      </c>
      <c r="E75">
        <v>91</v>
      </c>
      <c r="F75" t="s">
        <v>1512</v>
      </c>
    </row>
    <row r="76" spans="1:6" x14ac:dyDescent="0.45">
      <c r="A76" t="s">
        <v>241</v>
      </c>
      <c r="B76" t="s">
        <v>242</v>
      </c>
      <c r="C76" t="s">
        <v>243</v>
      </c>
      <c r="D76" t="s">
        <v>244</v>
      </c>
      <c r="E76">
        <v>79</v>
      </c>
      <c r="F76" t="s">
        <v>1512</v>
      </c>
    </row>
    <row r="77" spans="1:6" hidden="1" x14ac:dyDescent="0.45">
      <c r="A77" t="s">
        <v>245</v>
      </c>
      <c r="B77" t="s">
        <v>246</v>
      </c>
      <c r="C77" t="s">
        <v>247</v>
      </c>
      <c r="D77" t="s">
        <v>248</v>
      </c>
      <c r="E77">
        <v>81</v>
      </c>
      <c r="F77" t="s">
        <v>1513</v>
      </c>
    </row>
    <row r="78" spans="1:6" hidden="1" x14ac:dyDescent="0.45">
      <c r="A78" t="s">
        <v>249</v>
      </c>
      <c r="B78" t="s">
        <v>250</v>
      </c>
      <c r="C78" t="s">
        <v>251</v>
      </c>
      <c r="D78" t="s">
        <v>252</v>
      </c>
      <c r="E78">
        <v>75</v>
      </c>
      <c r="F78" t="s">
        <v>1513</v>
      </c>
    </row>
    <row r="79" spans="1:6" hidden="1" x14ac:dyDescent="0.45">
      <c r="A79" t="s">
        <v>253</v>
      </c>
      <c r="B79" t="s">
        <v>254</v>
      </c>
      <c r="C79" t="s">
        <v>255</v>
      </c>
      <c r="D79" t="s">
        <v>256</v>
      </c>
      <c r="E79">
        <v>85</v>
      </c>
      <c r="F79" t="s">
        <v>1513</v>
      </c>
    </row>
    <row r="80" spans="1:6" hidden="1" x14ac:dyDescent="0.45">
      <c r="A80" t="s">
        <v>253</v>
      </c>
      <c r="B80" t="s">
        <v>257</v>
      </c>
      <c r="C80" t="s">
        <v>255</v>
      </c>
      <c r="D80" t="s">
        <v>258</v>
      </c>
      <c r="E80">
        <v>79</v>
      </c>
      <c r="F80" t="s">
        <v>1513</v>
      </c>
    </row>
    <row r="81" spans="1:6" hidden="1" x14ac:dyDescent="0.45">
      <c r="A81" t="s">
        <v>259</v>
      </c>
      <c r="B81" t="s">
        <v>260</v>
      </c>
      <c r="C81" t="s">
        <v>261</v>
      </c>
      <c r="D81" t="s">
        <v>262</v>
      </c>
      <c r="E81">
        <v>82</v>
      </c>
      <c r="F81" t="s">
        <v>1513</v>
      </c>
    </row>
    <row r="82" spans="1:6" hidden="1" x14ac:dyDescent="0.45">
      <c r="A82" t="s">
        <v>259</v>
      </c>
      <c r="B82" t="s">
        <v>263</v>
      </c>
      <c r="C82" t="s">
        <v>261</v>
      </c>
      <c r="D82" t="s">
        <v>264</v>
      </c>
      <c r="E82">
        <v>96</v>
      </c>
      <c r="F82" t="s">
        <v>1513</v>
      </c>
    </row>
    <row r="83" spans="1:6" hidden="1" x14ac:dyDescent="0.45">
      <c r="A83" t="s">
        <v>205</v>
      </c>
      <c r="B83" t="s">
        <v>184</v>
      </c>
      <c r="C83" t="s">
        <v>206</v>
      </c>
      <c r="D83" t="s">
        <v>186</v>
      </c>
      <c r="E83">
        <v>77</v>
      </c>
      <c r="F83" t="s">
        <v>1513</v>
      </c>
    </row>
    <row r="84" spans="1:6" hidden="1" x14ac:dyDescent="0.45">
      <c r="A84" t="s">
        <v>205</v>
      </c>
      <c r="B84" t="s">
        <v>209</v>
      </c>
      <c r="C84" t="s">
        <v>206</v>
      </c>
      <c r="D84" t="s">
        <v>210</v>
      </c>
      <c r="E84">
        <v>86</v>
      </c>
      <c r="F84" t="s">
        <v>1513</v>
      </c>
    </row>
    <row r="85" spans="1:6" hidden="1" x14ac:dyDescent="0.45">
      <c r="A85" t="s">
        <v>205</v>
      </c>
      <c r="B85" t="s">
        <v>189</v>
      </c>
      <c r="C85" t="s">
        <v>206</v>
      </c>
      <c r="D85" t="s">
        <v>190</v>
      </c>
      <c r="E85">
        <v>75</v>
      </c>
      <c r="F85" t="s">
        <v>1513</v>
      </c>
    </row>
    <row r="86" spans="1:6" hidden="1" x14ac:dyDescent="0.45">
      <c r="A86" t="s">
        <v>207</v>
      </c>
      <c r="B86" t="s">
        <v>189</v>
      </c>
      <c r="C86" t="s">
        <v>208</v>
      </c>
      <c r="D86" t="s">
        <v>190</v>
      </c>
      <c r="E86">
        <v>76</v>
      </c>
      <c r="F86" t="s">
        <v>1513</v>
      </c>
    </row>
    <row r="87" spans="1:6" hidden="1" x14ac:dyDescent="0.45">
      <c r="A87" t="s">
        <v>265</v>
      </c>
      <c r="B87" t="s">
        <v>266</v>
      </c>
      <c r="C87" t="s">
        <v>267</v>
      </c>
      <c r="D87" t="s">
        <v>268</v>
      </c>
      <c r="E87">
        <v>75</v>
      </c>
      <c r="F87" t="s">
        <v>1513</v>
      </c>
    </row>
    <row r="88" spans="1:6" hidden="1" x14ac:dyDescent="0.45">
      <c r="A88" t="s">
        <v>269</v>
      </c>
      <c r="B88" t="s">
        <v>270</v>
      </c>
      <c r="C88" t="s">
        <v>271</v>
      </c>
      <c r="D88" t="s">
        <v>272</v>
      </c>
      <c r="E88">
        <v>83</v>
      </c>
      <c r="F88" t="s">
        <v>1513</v>
      </c>
    </row>
    <row r="89" spans="1:6" hidden="1" x14ac:dyDescent="0.45">
      <c r="A89" t="s">
        <v>232</v>
      </c>
      <c r="B89" t="s">
        <v>235</v>
      </c>
      <c r="C89" t="s">
        <v>234</v>
      </c>
      <c r="D89" t="s">
        <v>236</v>
      </c>
      <c r="E89">
        <v>77</v>
      </c>
      <c r="F89" t="s">
        <v>1513</v>
      </c>
    </row>
    <row r="90" spans="1:6" hidden="1" x14ac:dyDescent="0.45">
      <c r="A90" t="s">
        <v>232</v>
      </c>
      <c r="B90" t="s">
        <v>273</v>
      </c>
      <c r="C90" t="s">
        <v>234</v>
      </c>
      <c r="D90" t="s">
        <v>274</v>
      </c>
      <c r="E90">
        <v>80</v>
      </c>
      <c r="F90" t="s">
        <v>1513</v>
      </c>
    </row>
    <row r="91" spans="1:6" x14ac:dyDescent="0.45">
      <c r="A91" t="s">
        <v>275</v>
      </c>
      <c r="B91" t="s">
        <v>276</v>
      </c>
      <c r="C91" t="s">
        <v>277</v>
      </c>
      <c r="D91" t="s">
        <v>278</v>
      </c>
      <c r="E91">
        <v>80</v>
      </c>
      <c r="F91" t="s">
        <v>1512</v>
      </c>
    </row>
    <row r="92" spans="1:6" hidden="1" x14ac:dyDescent="0.45">
      <c r="A92" t="s">
        <v>279</v>
      </c>
      <c r="B92" t="s">
        <v>189</v>
      </c>
      <c r="C92" t="s">
        <v>280</v>
      </c>
      <c r="D92" t="s">
        <v>190</v>
      </c>
      <c r="E92">
        <v>95</v>
      </c>
      <c r="F92" t="s">
        <v>1513</v>
      </c>
    </row>
    <row r="93" spans="1:6" x14ac:dyDescent="0.45">
      <c r="A93" t="s">
        <v>281</v>
      </c>
      <c r="B93" t="s">
        <v>282</v>
      </c>
      <c r="C93" t="s">
        <v>283</v>
      </c>
      <c r="D93" t="s">
        <v>284</v>
      </c>
      <c r="E93">
        <v>95</v>
      </c>
      <c r="F93" t="s">
        <v>1512</v>
      </c>
    </row>
    <row r="94" spans="1:6" hidden="1" x14ac:dyDescent="0.45">
      <c r="A94" t="s">
        <v>285</v>
      </c>
      <c r="B94" t="s">
        <v>286</v>
      </c>
      <c r="C94" t="s">
        <v>287</v>
      </c>
      <c r="D94" t="s">
        <v>288</v>
      </c>
      <c r="E94">
        <v>78</v>
      </c>
      <c r="F94" t="s">
        <v>1513</v>
      </c>
    </row>
    <row r="95" spans="1:6" hidden="1" x14ac:dyDescent="0.45">
      <c r="A95" t="s">
        <v>266</v>
      </c>
      <c r="B95" t="s">
        <v>289</v>
      </c>
      <c r="C95" t="s">
        <v>268</v>
      </c>
      <c r="D95" t="s">
        <v>290</v>
      </c>
      <c r="E95">
        <v>86</v>
      </c>
      <c r="F95" t="s">
        <v>1513</v>
      </c>
    </row>
    <row r="96" spans="1:6" x14ac:dyDescent="0.45">
      <c r="A96" t="s">
        <v>291</v>
      </c>
      <c r="B96" t="s">
        <v>292</v>
      </c>
      <c r="C96" t="s">
        <v>293</v>
      </c>
      <c r="D96" t="s">
        <v>294</v>
      </c>
      <c r="E96">
        <v>94</v>
      </c>
      <c r="F96" t="s">
        <v>1512</v>
      </c>
    </row>
    <row r="97" spans="1:6" hidden="1" x14ac:dyDescent="0.45">
      <c r="A97" t="s">
        <v>260</v>
      </c>
      <c r="B97" t="s">
        <v>263</v>
      </c>
      <c r="C97" t="s">
        <v>262</v>
      </c>
      <c r="D97" t="s">
        <v>264</v>
      </c>
      <c r="E97">
        <v>78</v>
      </c>
      <c r="F97" t="s">
        <v>1513</v>
      </c>
    </row>
    <row r="98" spans="1:6" hidden="1" x14ac:dyDescent="0.45">
      <c r="A98" t="s">
        <v>295</v>
      </c>
      <c r="B98" t="s">
        <v>296</v>
      </c>
      <c r="C98" t="s">
        <v>297</v>
      </c>
      <c r="D98" t="s">
        <v>298</v>
      </c>
      <c r="E98">
        <v>79</v>
      </c>
      <c r="F98" t="s">
        <v>1513</v>
      </c>
    </row>
    <row r="99" spans="1:6" x14ac:dyDescent="0.45">
      <c r="A99" t="s">
        <v>218</v>
      </c>
      <c r="B99" t="s">
        <v>221</v>
      </c>
      <c r="C99" t="s">
        <v>220</v>
      </c>
      <c r="D99" t="s">
        <v>222</v>
      </c>
      <c r="E99">
        <v>92</v>
      </c>
      <c r="F99" t="s">
        <v>1512</v>
      </c>
    </row>
    <row r="100" spans="1:6" hidden="1" x14ac:dyDescent="0.45">
      <c r="A100" t="s">
        <v>299</v>
      </c>
      <c r="B100" t="s">
        <v>300</v>
      </c>
      <c r="C100" t="s">
        <v>301</v>
      </c>
      <c r="D100" t="s">
        <v>302</v>
      </c>
      <c r="E100">
        <v>80</v>
      </c>
      <c r="F100" t="s">
        <v>1513</v>
      </c>
    </row>
    <row r="101" spans="1:6" x14ac:dyDescent="0.45">
      <c r="A101" t="s">
        <v>303</v>
      </c>
      <c r="B101" t="s">
        <v>304</v>
      </c>
      <c r="C101" t="s">
        <v>305</v>
      </c>
      <c r="D101" t="s">
        <v>306</v>
      </c>
      <c r="E101">
        <v>78</v>
      </c>
      <c r="F101" t="s">
        <v>1512</v>
      </c>
    </row>
    <row r="102" spans="1:6" x14ac:dyDescent="0.45">
      <c r="A102" t="s">
        <v>192</v>
      </c>
      <c r="B102" t="s">
        <v>195</v>
      </c>
      <c r="C102" t="s">
        <v>194</v>
      </c>
      <c r="D102" t="s">
        <v>196</v>
      </c>
      <c r="E102">
        <v>97</v>
      </c>
      <c r="F102" t="s">
        <v>1512</v>
      </c>
    </row>
    <row r="103" spans="1:6" x14ac:dyDescent="0.45">
      <c r="A103" t="s">
        <v>307</v>
      </c>
      <c r="B103" t="s">
        <v>308</v>
      </c>
      <c r="C103" t="s">
        <v>309</v>
      </c>
      <c r="D103" t="s">
        <v>310</v>
      </c>
      <c r="E103">
        <v>89</v>
      </c>
      <c r="F103" t="s">
        <v>1512</v>
      </c>
    </row>
    <row r="104" spans="1:6" hidden="1" x14ac:dyDescent="0.45">
      <c r="A104" t="s">
        <v>311</v>
      </c>
      <c r="B104" t="s">
        <v>312</v>
      </c>
      <c r="C104" t="s">
        <v>313</v>
      </c>
      <c r="D104" t="s">
        <v>314</v>
      </c>
      <c r="E104">
        <v>75</v>
      </c>
      <c r="F104" t="s">
        <v>1513</v>
      </c>
    </row>
    <row r="105" spans="1:6" hidden="1" x14ac:dyDescent="0.45">
      <c r="A105" t="s">
        <v>184</v>
      </c>
      <c r="B105" t="s">
        <v>209</v>
      </c>
      <c r="C105" t="s">
        <v>186</v>
      </c>
      <c r="D105" t="s">
        <v>210</v>
      </c>
      <c r="E105">
        <v>77</v>
      </c>
      <c r="F105" t="s">
        <v>1513</v>
      </c>
    </row>
    <row r="106" spans="1:6" hidden="1" x14ac:dyDescent="0.45">
      <c r="A106" t="s">
        <v>209</v>
      </c>
      <c r="B106" t="s">
        <v>189</v>
      </c>
      <c r="C106" t="s">
        <v>210</v>
      </c>
      <c r="D106" t="s">
        <v>190</v>
      </c>
      <c r="E106">
        <v>75</v>
      </c>
      <c r="F106" t="s">
        <v>1513</v>
      </c>
    </row>
    <row r="107" spans="1:6" hidden="1" x14ac:dyDescent="0.45">
      <c r="A107" t="s">
        <v>315</v>
      </c>
      <c r="B107" t="s">
        <v>316</v>
      </c>
      <c r="C107" t="s">
        <v>317</v>
      </c>
      <c r="D107" t="s">
        <v>318</v>
      </c>
      <c r="E107">
        <v>80</v>
      </c>
      <c r="F107" t="s">
        <v>1513</v>
      </c>
    </row>
    <row r="108" spans="1:6" x14ac:dyDescent="0.45">
      <c r="A108" t="s">
        <v>319</v>
      </c>
      <c r="B108" t="s">
        <v>320</v>
      </c>
      <c r="C108" t="s">
        <v>321</v>
      </c>
      <c r="D108" t="s">
        <v>322</v>
      </c>
      <c r="E108">
        <v>92</v>
      </c>
      <c r="F108" t="s">
        <v>1512</v>
      </c>
    </row>
    <row r="109" spans="1:6" x14ac:dyDescent="0.45">
      <c r="A109" t="s">
        <v>323</v>
      </c>
      <c r="B109" t="s">
        <v>324</v>
      </c>
      <c r="C109" t="s">
        <v>325</v>
      </c>
      <c r="D109" t="s">
        <v>326</v>
      </c>
      <c r="E109">
        <v>79</v>
      </c>
      <c r="F109" t="s">
        <v>1512</v>
      </c>
    </row>
    <row r="110" spans="1:6" x14ac:dyDescent="0.45">
      <c r="A110" t="s">
        <v>327</v>
      </c>
      <c r="B110" t="s">
        <v>328</v>
      </c>
      <c r="C110" t="s">
        <v>329</v>
      </c>
      <c r="D110" t="s">
        <v>330</v>
      </c>
      <c r="E110">
        <v>86</v>
      </c>
      <c r="F110" t="s">
        <v>1512</v>
      </c>
    </row>
    <row r="111" spans="1:6" hidden="1" x14ac:dyDescent="0.45">
      <c r="A111" t="s">
        <v>331</v>
      </c>
      <c r="B111" t="s">
        <v>332</v>
      </c>
      <c r="C111" t="s">
        <v>333</v>
      </c>
      <c r="D111" t="s">
        <v>334</v>
      </c>
      <c r="E111">
        <v>76</v>
      </c>
      <c r="F111" t="s">
        <v>1513</v>
      </c>
    </row>
    <row r="112" spans="1:6" hidden="1" x14ac:dyDescent="0.45">
      <c r="A112" t="s">
        <v>335</v>
      </c>
      <c r="B112" t="s">
        <v>336</v>
      </c>
      <c r="C112" t="s">
        <v>337</v>
      </c>
      <c r="D112" t="s">
        <v>338</v>
      </c>
      <c r="E112">
        <v>83</v>
      </c>
      <c r="F112" t="s">
        <v>1513</v>
      </c>
    </row>
    <row r="113" spans="1:6" x14ac:dyDescent="0.45">
      <c r="A113" t="s">
        <v>339</v>
      </c>
      <c r="B113" t="s">
        <v>340</v>
      </c>
      <c r="C113" t="s">
        <v>341</v>
      </c>
      <c r="D113" t="s">
        <v>342</v>
      </c>
      <c r="E113">
        <v>85</v>
      </c>
      <c r="F113" t="s">
        <v>1512</v>
      </c>
    </row>
    <row r="114" spans="1:6" x14ac:dyDescent="0.45">
      <c r="A114" t="s">
        <v>339</v>
      </c>
      <c r="B114" t="s">
        <v>343</v>
      </c>
      <c r="C114" t="s">
        <v>341</v>
      </c>
      <c r="D114" t="s">
        <v>344</v>
      </c>
      <c r="E114">
        <v>93</v>
      </c>
      <c r="F114" t="s">
        <v>1512</v>
      </c>
    </row>
    <row r="115" spans="1:6" hidden="1" x14ac:dyDescent="0.45">
      <c r="A115" t="s">
        <v>345</v>
      </c>
      <c r="B115" t="s">
        <v>346</v>
      </c>
      <c r="C115" t="s">
        <v>347</v>
      </c>
      <c r="D115" t="s">
        <v>348</v>
      </c>
      <c r="E115">
        <v>76</v>
      </c>
      <c r="F115" t="s">
        <v>1513</v>
      </c>
    </row>
    <row r="116" spans="1:6" x14ac:dyDescent="0.45">
      <c r="A116" t="s">
        <v>349</v>
      </c>
      <c r="B116" t="s">
        <v>350</v>
      </c>
      <c r="C116" t="s">
        <v>351</v>
      </c>
      <c r="D116" t="s">
        <v>352</v>
      </c>
      <c r="E116">
        <v>90</v>
      </c>
      <c r="F116" t="s">
        <v>1512</v>
      </c>
    </row>
    <row r="117" spans="1:6" x14ac:dyDescent="0.45">
      <c r="A117" t="s">
        <v>353</v>
      </c>
      <c r="B117" t="s">
        <v>354</v>
      </c>
      <c r="C117" t="s">
        <v>355</v>
      </c>
      <c r="D117" t="s">
        <v>356</v>
      </c>
      <c r="E117">
        <v>75</v>
      </c>
      <c r="F117" t="s">
        <v>1512</v>
      </c>
    </row>
    <row r="118" spans="1:6" hidden="1" x14ac:dyDescent="0.45">
      <c r="A118" t="s">
        <v>357</v>
      </c>
      <c r="B118" t="s">
        <v>358</v>
      </c>
      <c r="C118" t="s">
        <v>359</v>
      </c>
      <c r="D118" t="s">
        <v>360</v>
      </c>
      <c r="E118">
        <v>78</v>
      </c>
      <c r="F118" t="s">
        <v>1513</v>
      </c>
    </row>
    <row r="119" spans="1:6" x14ac:dyDescent="0.45">
      <c r="A119" t="s">
        <v>340</v>
      </c>
      <c r="B119" t="s">
        <v>343</v>
      </c>
      <c r="C119" t="s">
        <v>342</v>
      </c>
      <c r="D119" t="s">
        <v>344</v>
      </c>
      <c r="E119">
        <v>77</v>
      </c>
      <c r="F119" t="s">
        <v>1512</v>
      </c>
    </row>
    <row r="120" spans="1:6" hidden="1" x14ac:dyDescent="0.45">
      <c r="A120" t="s">
        <v>361</v>
      </c>
      <c r="B120" t="s">
        <v>362</v>
      </c>
      <c r="C120" t="s">
        <v>363</v>
      </c>
      <c r="D120" t="s">
        <v>364</v>
      </c>
      <c r="E120">
        <v>80</v>
      </c>
      <c r="F120" t="s">
        <v>1513</v>
      </c>
    </row>
    <row r="121" spans="1:6" x14ac:dyDescent="0.45">
      <c r="A121" t="s">
        <v>365</v>
      </c>
      <c r="B121" t="s">
        <v>366</v>
      </c>
      <c r="C121" t="s">
        <v>367</v>
      </c>
      <c r="D121" t="s">
        <v>368</v>
      </c>
      <c r="E121">
        <v>80</v>
      </c>
      <c r="F121" t="s">
        <v>1512</v>
      </c>
    </row>
    <row r="122" spans="1:6" x14ac:dyDescent="0.45">
      <c r="A122" t="s">
        <v>369</v>
      </c>
      <c r="B122" t="s">
        <v>370</v>
      </c>
      <c r="C122" t="s">
        <v>371</v>
      </c>
      <c r="D122" t="s">
        <v>372</v>
      </c>
      <c r="E122">
        <v>90</v>
      </c>
      <c r="F122" t="s">
        <v>1512</v>
      </c>
    </row>
    <row r="123" spans="1:6" hidden="1" x14ac:dyDescent="0.45">
      <c r="A123" t="s">
        <v>373</v>
      </c>
      <c r="B123" t="s">
        <v>374</v>
      </c>
      <c r="C123" t="s">
        <v>375</v>
      </c>
      <c r="D123" t="s">
        <v>376</v>
      </c>
      <c r="E123">
        <v>81</v>
      </c>
      <c r="F123" t="s">
        <v>1513</v>
      </c>
    </row>
    <row r="124" spans="1:6" x14ac:dyDescent="0.45">
      <c r="A124" t="s">
        <v>377</v>
      </c>
      <c r="B124" t="s">
        <v>378</v>
      </c>
      <c r="C124" t="s">
        <v>379</v>
      </c>
      <c r="D124" t="s">
        <v>380</v>
      </c>
      <c r="E124">
        <v>93</v>
      </c>
      <c r="F124" t="s">
        <v>1512</v>
      </c>
    </row>
    <row r="125" spans="1:6" x14ac:dyDescent="0.45">
      <c r="A125" t="s">
        <v>381</v>
      </c>
      <c r="B125" t="s">
        <v>382</v>
      </c>
      <c r="C125" t="s">
        <v>383</v>
      </c>
      <c r="D125" t="s">
        <v>384</v>
      </c>
      <c r="E125">
        <v>96</v>
      </c>
      <c r="F125" t="s">
        <v>1512</v>
      </c>
    </row>
    <row r="126" spans="1:6" hidden="1" x14ac:dyDescent="0.45">
      <c r="A126" t="s">
        <v>385</v>
      </c>
      <c r="B126" t="s">
        <v>386</v>
      </c>
      <c r="C126" t="s">
        <v>387</v>
      </c>
      <c r="D126" t="s">
        <v>388</v>
      </c>
      <c r="E126">
        <v>76</v>
      </c>
      <c r="F126" t="s">
        <v>1513</v>
      </c>
    </row>
    <row r="127" spans="1:6" x14ac:dyDescent="0.45">
      <c r="A127" t="s">
        <v>389</v>
      </c>
      <c r="B127" t="s">
        <v>390</v>
      </c>
      <c r="C127" t="s">
        <v>391</v>
      </c>
      <c r="D127" t="s">
        <v>392</v>
      </c>
      <c r="E127">
        <v>91</v>
      </c>
      <c r="F127" t="s">
        <v>1512</v>
      </c>
    </row>
    <row r="128" spans="1:6" x14ac:dyDescent="0.45">
      <c r="A128" t="s">
        <v>393</v>
      </c>
      <c r="B128" t="s">
        <v>394</v>
      </c>
      <c r="C128" t="s">
        <v>395</v>
      </c>
      <c r="D128" t="s">
        <v>396</v>
      </c>
      <c r="E128">
        <v>91</v>
      </c>
      <c r="F128" t="s">
        <v>1512</v>
      </c>
    </row>
    <row r="129" spans="1:6" hidden="1" x14ac:dyDescent="0.45">
      <c r="A129" t="s">
        <v>397</v>
      </c>
      <c r="B129" t="s">
        <v>398</v>
      </c>
      <c r="C129" t="s">
        <v>399</v>
      </c>
      <c r="D129" t="s">
        <v>400</v>
      </c>
      <c r="E129">
        <v>75</v>
      </c>
      <c r="F129" t="s">
        <v>1513</v>
      </c>
    </row>
    <row r="130" spans="1:6" x14ac:dyDescent="0.45">
      <c r="A130" t="s">
        <v>401</v>
      </c>
      <c r="B130" t="s">
        <v>402</v>
      </c>
      <c r="C130" t="s">
        <v>403</v>
      </c>
      <c r="D130" t="s">
        <v>404</v>
      </c>
      <c r="E130">
        <v>92</v>
      </c>
      <c r="F130" t="s">
        <v>1512</v>
      </c>
    </row>
    <row r="131" spans="1:6" hidden="1" x14ac:dyDescent="0.45">
      <c r="A131" t="s">
        <v>405</v>
      </c>
      <c r="B131" t="s">
        <v>402</v>
      </c>
      <c r="C131" t="s">
        <v>406</v>
      </c>
      <c r="D131" t="s">
        <v>404</v>
      </c>
      <c r="E131">
        <v>76</v>
      </c>
      <c r="F131" t="s">
        <v>1513</v>
      </c>
    </row>
    <row r="132" spans="1:6" hidden="1" x14ac:dyDescent="0.45">
      <c r="A132" t="s">
        <v>407</v>
      </c>
      <c r="B132" t="s">
        <v>408</v>
      </c>
      <c r="C132" t="s">
        <v>409</v>
      </c>
      <c r="D132" t="s">
        <v>410</v>
      </c>
      <c r="E132">
        <v>76</v>
      </c>
      <c r="F132" t="s">
        <v>1513</v>
      </c>
    </row>
    <row r="133" spans="1:6" x14ac:dyDescent="0.45">
      <c r="A133" t="s">
        <v>411</v>
      </c>
      <c r="B133" t="s">
        <v>412</v>
      </c>
      <c r="C133" t="s">
        <v>413</v>
      </c>
      <c r="D133" t="s">
        <v>414</v>
      </c>
      <c r="E133">
        <v>90</v>
      </c>
      <c r="F133" t="s">
        <v>1512</v>
      </c>
    </row>
    <row r="134" spans="1:6" hidden="1" x14ac:dyDescent="0.45">
      <c r="A134" t="s">
        <v>415</v>
      </c>
      <c r="B134" t="s">
        <v>416</v>
      </c>
      <c r="C134" t="s">
        <v>417</v>
      </c>
      <c r="D134" t="s">
        <v>418</v>
      </c>
      <c r="E134">
        <v>81</v>
      </c>
      <c r="F134" t="s">
        <v>1513</v>
      </c>
    </row>
    <row r="135" spans="1:6" x14ac:dyDescent="0.45">
      <c r="A135" t="s">
        <v>419</v>
      </c>
      <c r="B135" t="s">
        <v>420</v>
      </c>
      <c r="C135" t="s">
        <v>421</v>
      </c>
      <c r="D135" t="s">
        <v>422</v>
      </c>
      <c r="E135">
        <v>84</v>
      </c>
      <c r="F135" t="s">
        <v>1512</v>
      </c>
    </row>
    <row r="136" spans="1:6" x14ac:dyDescent="0.45">
      <c r="A136" t="s">
        <v>423</v>
      </c>
      <c r="B136" t="s">
        <v>424</v>
      </c>
      <c r="C136" t="s">
        <v>425</v>
      </c>
      <c r="D136" t="s">
        <v>426</v>
      </c>
      <c r="E136">
        <v>80</v>
      </c>
      <c r="F136" t="s">
        <v>1512</v>
      </c>
    </row>
    <row r="137" spans="1:6" hidden="1" x14ac:dyDescent="0.45">
      <c r="A137" t="s">
        <v>427</v>
      </c>
      <c r="B137" t="s">
        <v>428</v>
      </c>
      <c r="C137" t="s">
        <v>429</v>
      </c>
      <c r="D137" t="s">
        <v>430</v>
      </c>
      <c r="E137">
        <v>78</v>
      </c>
      <c r="F137" t="s">
        <v>1513</v>
      </c>
    </row>
    <row r="138" spans="1:6" hidden="1" x14ac:dyDescent="0.45">
      <c r="A138" t="s">
        <v>431</v>
      </c>
      <c r="B138" t="s">
        <v>394</v>
      </c>
      <c r="C138" t="s">
        <v>432</v>
      </c>
      <c r="D138" t="s">
        <v>396</v>
      </c>
      <c r="E138">
        <v>78</v>
      </c>
      <c r="F138" t="s">
        <v>1513</v>
      </c>
    </row>
    <row r="139" spans="1:6" x14ac:dyDescent="0.45">
      <c r="A139" t="s">
        <v>433</v>
      </c>
      <c r="B139" t="s">
        <v>434</v>
      </c>
      <c r="C139" t="s">
        <v>435</v>
      </c>
      <c r="D139" t="s">
        <v>436</v>
      </c>
      <c r="E139">
        <v>87</v>
      </c>
      <c r="F139" t="s">
        <v>1512</v>
      </c>
    </row>
    <row r="140" spans="1:6" x14ac:dyDescent="0.45">
      <c r="A140" t="s">
        <v>437</v>
      </c>
      <c r="B140" t="s">
        <v>438</v>
      </c>
      <c r="C140" t="s">
        <v>439</v>
      </c>
      <c r="D140" t="s">
        <v>440</v>
      </c>
      <c r="E140">
        <v>75</v>
      </c>
      <c r="F140" t="s">
        <v>1512</v>
      </c>
    </row>
    <row r="141" spans="1:6" hidden="1" x14ac:dyDescent="0.45">
      <c r="A141" t="s">
        <v>441</v>
      </c>
      <c r="B141" t="s">
        <v>442</v>
      </c>
      <c r="C141" t="s">
        <v>443</v>
      </c>
      <c r="D141" t="s">
        <v>444</v>
      </c>
      <c r="E141">
        <v>75</v>
      </c>
      <c r="F141" t="s">
        <v>1513</v>
      </c>
    </row>
    <row r="142" spans="1:6" hidden="1" x14ac:dyDescent="0.45">
      <c r="A142" t="s">
        <v>445</v>
      </c>
      <c r="B142" t="s">
        <v>446</v>
      </c>
      <c r="C142" t="s">
        <v>447</v>
      </c>
      <c r="D142" t="s">
        <v>448</v>
      </c>
      <c r="E142">
        <v>77</v>
      </c>
      <c r="F142" t="s">
        <v>1513</v>
      </c>
    </row>
    <row r="143" spans="1:6" x14ac:dyDescent="0.45">
      <c r="A143" t="s">
        <v>449</v>
      </c>
      <c r="B143" t="s">
        <v>450</v>
      </c>
      <c r="C143" t="s">
        <v>451</v>
      </c>
      <c r="D143" t="s">
        <v>452</v>
      </c>
      <c r="E143">
        <v>88</v>
      </c>
      <c r="F143" t="s">
        <v>1512</v>
      </c>
    </row>
    <row r="144" spans="1:6" x14ac:dyDescent="0.45">
      <c r="A144" t="s">
        <v>453</v>
      </c>
      <c r="B144" t="s">
        <v>454</v>
      </c>
      <c r="C144" t="s">
        <v>455</v>
      </c>
      <c r="D144" t="s">
        <v>456</v>
      </c>
      <c r="E144">
        <v>92</v>
      </c>
      <c r="F144" t="s">
        <v>1512</v>
      </c>
    </row>
    <row r="145" spans="1:6" hidden="1" x14ac:dyDescent="0.45">
      <c r="A145" t="s">
        <v>453</v>
      </c>
      <c r="B145" t="s">
        <v>457</v>
      </c>
      <c r="C145" t="s">
        <v>455</v>
      </c>
      <c r="D145" t="s">
        <v>458</v>
      </c>
      <c r="E145">
        <v>75</v>
      </c>
      <c r="F145" t="s">
        <v>1513</v>
      </c>
    </row>
    <row r="146" spans="1:6" x14ac:dyDescent="0.45">
      <c r="A146" t="s">
        <v>459</v>
      </c>
      <c r="B146" t="s">
        <v>460</v>
      </c>
      <c r="C146" t="s">
        <v>461</v>
      </c>
      <c r="D146" t="s">
        <v>462</v>
      </c>
      <c r="E146">
        <v>96</v>
      </c>
      <c r="F146" t="s">
        <v>1512</v>
      </c>
    </row>
    <row r="147" spans="1:6" x14ac:dyDescent="0.45">
      <c r="A147" t="s">
        <v>463</v>
      </c>
      <c r="B147" t="s">
        <v>464</v>
      </c>
      <c r="C147" t="s">
        <v>465</v>
      </c>
      <c r="D147" t="s">
        <v>466</v>
      </c>
      <c r="E147">
        <v>87</v>
      </c>
      <c r="F147" t="s">
        <v>1512</v>
      </c>
    </row>
    <row r="148" spans="1:6" x14ac:dyDescent="0.45">
      <c r="A148" t="s">
        <v>467</v>
      </c>
      <c r="B148" t="s">
        <v>468</v>
      </c>
      <c r="C148" t="s">
        <v>469</v>
      </c>
      <c r="D148" t="s">
        <v>470</v>
      </c>
      <c r="E148">
        <v>97</v>
      </c>
      <c r="F148" t="s">
        <v>1512</v>
      </c>
    </row>
    <row r="149" spans="1:6" x14ac:dyDescent="0.45">
      <c r="A149" t="s">
        <v>471</v>
      </c>
      <c r="B149" t="s">
        <v>472</v>
      </c>
      <c r="C149" t="s">
        <v>473</v>
      </c>
      <c r="D149" t="s">
        <v>474</v>
      </c>
      <c r="E149">
        <v>97</v>
      </c>
      <c r="F149" t="s">
        <v>1512</v>
      </c>
    </row>
    <row r="150" spans="1:6" hidden="1" x14ac:dyDescent="0.45">
      <c r="A150" t="s">
        <v>475</v>
      </c>
      <c r="B150" t="s">
        <v>476</v>
      </c>
      <c r="C150" t="s">
        <v>477</v>
      </c>
      <c r="D150" t="s">
        <v>478</v>
      </c>
      <c r="E150">
        <v>80</v>
      </c>
      <c r="F150" t="s">
        <v>1513</v>
      </c>
    </row>
    <row r="151" spans="1:6" x14ac:dyDescent="0.45">
      <c r="A151" t="s">
        <v>479</v>
      </c>
      <c r="B151" t="s">
        <v>480</v>
      </c>
      <c r="C151" t="s">
        <v>481</v>
      </c>
      <c r="D151" t="s">
        <v>482</v>
      </c>
      <c r="E151">
        <v>89</v>
      </c>
      <c r="F151" t="s">
        <v>1512</v>
      </c>
    </row>
    <row r="152" spans="1:6" hidden="1" x14ac:dyDescent="0.45">
      <c r="A152" t="s">
        <v>483</v>
      </c>
      <c r="B152" t="s">
        <v>484</v>
      </c>
      <c r="C152" t="s">
        <v>485</v>
      </c>
      <c r="D152" t="s">
        <v>486</v>
      </c>
      <c r="E152">
        <v>75</v>
      </c>
      <c r="F152" t="s">
        <v>1513</v>
      </c>
    </row>
    <row r="153" spans="1:6" hidden="1" x14ac:dyDescent="0.45">
      <c r="A153" t="s">
        <v>487</v>
      </c>
      <c r="B153" t="s">
        <v>488</v>
      </c>
      <c r="C153" t="s">
        <v>489</v>
      </c>
      <c r="D153" t="s">
        <v>490</v>
      </c>
      <c r="E153">
        <v>75</v>
      </c>
      <c r="F153" t="s">
        <v>1513</v>
      </c>
    </row>
    <row r="154" spans="1:6" x14ac:dyDescent="0.45">
      <c r="A154" t="s">
        <v>491</v>
      </c>
      <c r="B154" t="s">
        <v>488</v>
      </c>
      <c r="C154" t="s">
        <v>492</v>
      </c>
      <c r="D154" t="s">
        <v>490</v>
      </c>
      <c r="E154">
        <v>82</v>
      </c>
      <c r="F154" t="s">
        <v>1512</v>
      </c>
    </row>
    <row r="155" spans="1:6" x14ac:dyDescent="0.45">
      <c r="A155" t="s">
        <v>493</v>
      </c>
      <c r="B155" t="s">
        <v>494</v>
      </c>
      <c r="C155" t="s">
        <v>495</v>
      </c>
      <c r="D155" t="s">
        <v>496</v>
      </c>
      <c r="E155">
        <v>84</v>
      </c>
      <c r="F155" t="s">
        <v>1512</v>
      </c>
    </row>
    <row r="156" spans="1:6" x14ac:dyDescent="0.45">
      <c r="A156" t="s">
        <v>497</v>
      </c>
      <c r="B156" t="s">
        <v>498</v>
      </c>
      <c r="C156" t="s">
        <v>499</v>
      </c>
      <c r="D156" t="s">
        <v>500</v>
      </c>
      <c r="E156">
        <v>92</v>
      </c>
      <c r="F156" t="s">
        <v>1512</v>
      </c>
    </row>
    <row r="157" spans="1:6" x14ac:dyDescent="0.45">
      <c r="A157" t="s">
        <v>501</v>
      </c>
      <c r="B157" t="s">
        <v>502</v>
      </c>
      <c r="C157" t="s">
        <v>503</v>
      </c>
      <c r="D157" t="s">
        <v>504</v>
      </c>
      <c r="E157">
        <v>95</v>
      </c>
      <c r="F157" t="s">
        <v>1512</v>
      </c>
    </row>
    <row r="158" spans="1:6" x14ac:dyDescent="0.45">
      <c r="A158" t="s">
        <v>505</v>
      </c>
      <c r="B158" t="s">
        <v>506</v>
      </c>
      <c r="C158" t="s">
        <v>507</v>
      </c>
      <c r="D158" t="s">
        <v>508</v>
      </c>
      <c r="E158">
        <v>77</v>
      </c>
      <c r="F158" t="s">
        <v>1512</v>
      </c>
    </row>
    <row r="159" spans="1:6" x14ac:dyDescent="0.45">
      <c r="A159" t="s">
        <v>509</v>
      </c>
      <c r="B159" t="s">
        <v>510</v>
      </c>
      <c r="C159" t="s">
        <v>511</v>
      </c>
      <c r="D159" t="s">
        <v>512</v>
      </c>
      <c r="E159">
        <v>77</v>
      </c>
      <c r="F159" t="s">
        <v>1512</v>
      </c>
    </row>
    <row r="160" spans="1:6" hidden="1" x14ac:dyDescent="0.45">
      <c r="A160" t="s">
        <v>513</v>
      </c>
      <c r="B160" t="s">
        <v>514</v>
      </c>
      <c r="C160" t="s">
        <v>515</v>
      </c>
      <c r="D160" t="s">
        <v>516</v>
      </c>
      <c r="E160">
        <v>90</v>
      </c>
      <c r="F160" t="s">
        <v>1513</v>
      </c>
    </row>
    <row r="161" spans="1:6" hidden="1" x14ac:dyDescent="0.45">
      <c r="A161" t="s">
        <v>517</v>
      </c>
      <c r="B161" t="s">
        <v>518</v>
      </c>
      <c r="C161" t="s">
        <v>519</v>
      </c>
      <c r="D161" t="s">
        <v>520</v>
      </c>
      <c r="E161">
        <v>76</v>
      </c>
      <c r="F161" t="s">
        <v>1513</v>
      </c>
    </row>
    <row r="162" spans="1:6" hidden="1" x14ac:dyDescent="0.45">
      <c r="A162" t="s">
        <v>521</v>
      </c>
      <c r="B162" t="s">
        <v>522</v>
      </c>
      <c r="C162" t="s">
        <v>523</v>
      </c>
      <c r="D162" t="s">
        <v>524</v>
      </c>
      <c r="E162">
        <v>80</v>
      </c>
      <c r="F162" t="s">
        <v>1513</v>
      </c>
    </row>
    <row r="163" spans="1:6" x14ac:dyDescent="0.45">
      <c r="A163" t="s">
        <v>525</v>
      </c>
      <c r="B163" t="s">
        <v>526</v>
      </c>
      <c r="C163" t="s">
        <v>527</v>
      </c>
      <c r="D163" t="s">
        <v>528</v>
      </c>
      <c r="E163">
        <v>83</v>
      </c>
      <c r="F163" t="s">
        <v>1512</v>
      </c>
    </row>
    <row r="164" spans="1:6" x14ac:dyDescent="0.45">
      <c r="A164" t="s">
        <v>529</v>
      </c>
      <c r="B164" t="s">
        <v>530</v>
      </c>
      <c r="C164" t="s">
        <v>531</v>
      </c>
      <c r="D164" t="s">
        <v>532</v>
      </c>
      <c r="E164">
        <v>83</v>
      </c>
      <c r="F164" t="s">
        <v>1512</v>
      </c>
    </row>
    <row r="165" spans="1:6" hidden="1" x14ac:dyDescent="0.45">
      <c r="A165" t="s">
        <v>533</v>
      </c>
      <c r="B165" t="s">
        <v>534</v>
      </c>
      <c r="C165" t="s">
        <v>535</v>
      </c>
      <c r="D165" t="s">
        <v>536</v>
      </c>
      <c r="E165">
        <v>75</v>
      </c>
      <c r="F165" t="s">
        <v>1513</v>
      </c>
    </row>
    <row r="166" spans="1:6" hidden="1" x14ac:dyDescent="0.45">
      <c r="A166" t="s">
        <v>533</v>
      </c>
      <c r="B166" t="s">
        <v>537</v>
      </c>
      <c r="C166" t="s">
        <v>535</v>
      </c>
      <c r="D166" t="s">
        <v>538</v>
      </c>
      <c r="E166">
        <v>75</v>
      </c>
      <c r="F166" t="s">
        <v>1513</v>
      </c>
    </row>
    <row r="167" spans="1:6" x14ac:dyDescent="0.45">
      <c r="A167" t="s">
        <v>534</v>
      </c>
      <c r="B167" t="s">
        <v>537</v>
      </c>
      <c r="C167" t="s">
        <v>536</v>
      </c>
      <c r="D167" t="s">
        <v>538</v>
      </c>
      <c r="E167">
        <v>94</v>
      </c>
      <c r="F167" t="s">
        <v>1512</v>
      </c>
    </row>
    <row r="168" spans="1:6" x14ac:dyDescent="0.45">
      <c r="A168" t="s">
        <v>539</v>
      </c>
      <c r="B168" t="s">
        <v>540</v>
      </c>
      <c r="C168" t="s">
        <v>541</v>
      </c>
      <c r="D168" t="s">
        <v>542</v>
      </c>
      <c r="E168">
        <v>88</v>
      </c>
      <c r="F168" t="s">
        <v>1512</v>
      </c>
    </row>
    <row r="169" spans="1:6" hidden="1" x14ac:dyDescent="0.45">
      <c r="A169" t="s">
        <v>543</v>
      </c>
      <c r="B169" t="s">
        <v>544</v>
      </c>
      <c r="C169" t="s">
        <v>545</v>
      </c>
      <c r="D169" t="s">
        <v>546</v>
      </c>
      <c r="E169">
        <v>80</v>
      </c>
      <c r="F169" t="s">
        <v>1513</v>
      </c>
    </row>
    <row r="170" spans="1:6" hidden="1" x14ac:dyDescent="0.45">
      <c r="A170" t="s">
        <v>547</v>
      </c>
      <c r="B170" t="s">
        <v>548</v>
      </c>
      <c r="C170" t="s">
        <v>549</v>
      </c>
      <c r="D170" t="s">
        <v>550</v>
      </c>
      <c r="E170">
        <v>82</v>
      </c>
      <c r="F170" t="s">
        <v>1513</v>
      </c>
    </row>
    <row r="171" spans="1:6" hidden="1" x14ac:dyDescent="0.45">
      <c r="A171" t="s">
        <v>551</v>
      </c>
      <c r="B171" t="s">
        <v>514</v>
      </c>
      <c r="C171" t="s">
        <v>552</v>
      </c>
      <c r="D171" t="s">
        <v>516</v>
      </c>
      <c r="E171">
        <v>77</v>
      </c>
      <c r="F171" t="s">
        <v>1513</v>
      </c>
    </row>
    <row r="172" spans="1:6" hidden="1" x14ac:dyDescent="0.45">
      <c r="A172" t="s">
        <v>553</v>
      </c>
      <c r="B172" t="s">
        <v>554</v>
      </c>
      <c r="C172" t="s">
        <v>555</v>
      </c>
      <c r="D172" t="s">
        <v>556</v>
      </c>
      <c r="E172">
        <v>75</v>
      </c>
      <c r="F172" t="s">
        <v>1513</v>
      </c>
    </row>
    <row r="173" spans="1:6" hidden="1" x14ac:dyDescent="0.45">
      <c r="A173" t="s">
        <v>554</v>
      </c>
      <c r="B173" t="s">
        <v>557</v>
      </c>
      <c r="C173" t="s">
        <v>556</v>
      </c>
      <c r="D173" t="s">
        <v>558</v>
      </c>
      <c r="E173">
        <v>75</v>
      </c>
      <c r="F173" t="s">
        <v>1513</v>
      </c>
    </row>
    <row r="174" spans="1:6" hidden="1" x14ac:dyDescent="0.45">
      <c r="A174" t="s">
        <v>559</v>
      </c>
      <c r="B174" t="s">
        <v>560</v>
      </c>
      <c r="C174" t="s">
        <v>561</v>
      </c>
      <c r="D174" t="s">
        <v>562</v>
      </c>
      <c r="E174">
        <v>75</v>
      </c>
      <c r="F174" t="s">
        <v>1513</v>
      </c>
    </row>
    <row r="175" spans="1:6" x14ac:dyDescent="0.45">
      <c r="A175" t="s">
        <v>563</v>
      </c>
      <c r="B175" t="s">
        <v>564</v>
      </c>
      <c r="C175" t="s">
        <v>565</v>
      </c>
      <c r="D175" t="s">
        <v>566</v>
      </c>
      <c r="E175">
        <v>83</v>
      </c>
      <c r="F175" t="s">
        <v>1512</v>
      </c>
    </row>
    <row r="176" spans="1:6" hidden="1" x14ac:dyDescent="0.45">
      <c r="A176" t="s">
        <v>567</v>
      </c>
      <c r="B176" t="s">
        <v>568</v>
      </c>
      <c r="C176" t="s">
        <v>569</v>
      </c>
      <c r="D176" t="s">
        <v>570</v>
      </c>
      <c r="E176">
        <v>76</v>
      </c>
      <c r="F176" t="s">
        <v>1513</v>
      </c>
    </row>
    <row r="177" spans="1:6" x14ac:dyDescent="0.45">
      <c r="A177" t="s">
        <v>571</v>
      </c>
      <c r="B177" t="s">
        <v>572</v>
      </c>
      <c r="C177" t="s">
        <v>573</v>
      </c>
      <c r="D177" t="s">
        <v>574</v>
      </c>
      <c r="E177">
        <v>96</v>
      </c>
      <c r="F177" t="s">
        <v>1512</v>
      </c>
    </row>
    <row r="178" spans="1:6" hidden="1" x14ac:dyDescent="0.45">
      <c r="A178" t="s">
        <v>575</v>
      </c>
      <c r="B178" t="s">
        <v>576</v>
      </c>
      <c r="C178" t="s">
        <v>577</v>
      </c>
      <c r="D178" t="s">
        <v>578</v>
      </c>
      <c r="E178">
        <v>76</v>
      </c>
      <c r="F178" t="s">
        <v>1513</v>
      </c>
    </row>
    <row r="179" spans="1:6" x14ac:dyDescent="0.45">
      <c r="A179" t="s">
        <v>579</v>
      </c>
      <c r="B179" t="s">
        <v>580</v>
      </c>
      <c r="C179" t="s">
        <v>581</v>
      </c>
      <c r="D179" t="s">
        <v>582</v>
      </c>
      <c r="E179">
        <v>80</v>
      </c>
      <c r="F179" t="s">
        <v>1512</v>
      </c>
    </row>
    <row r="180" spans="1:6" x14ac:dyDescent="0.45">
      <c r="A180" t="s">
        <v>579</v>
      </c>
      <c r="B180" t="s">
        <v>583</v>
      </c>
      <c r="C180" t="s">
        <v>581</v>
      </c>
      <c r="D180" t="s">
        <v>584</v>
      </c>
      <c r="E180">
        <v>76</v>
      </c>
      <c r="F180" t="s">
        <v>1512</v>
      </c>
    </row>
    <row r="181" spans="1:6" hidden="1" x14ac:dyDescent="0.45">
      <c r="A181" t="s">
        <v>585</v>
      </c>
      <c r="B181" t="s">
        <v>586</v>
      </c>
      <c r="C181" t="s">
        <v>587</v>
      </c>
      <c r="D181" t="s">
        <v>588</v>
      </c>
      <c r="E181">
        <v>79</v>
      </c>
      <c r="F181" t="s">
        <v>1513</v>
      </c>
    </row>
    <row r="182" spans="1:6" hidden="1" x14ac:dyDescent="0.45">
      <c r="A182" t="s">
        <v>560</v>
      </c>
      <c r="B182" t="s">
        <v>589</v>
      </c>
      <c r="C182" t="s">
        <v>562</v>
      </c>
      <c r="D182" t="s">
        <v>590</v>
      </c>
      <c r="E182">
        <v>77</v>
      </c>
      <c r="F182" t="s">
        <v>1513</v>
      </c>
    </row>
    <row r="183" spans="1:6" x14ac:dyDescent="0.45">
      <c r="A183" t="s">
        <v>580</v>
      </c>
      <c r="B183" t="s">
        <v>583</v>
      </c>
      <c r="C183" t="s">
        <v>582</v>
      </c>
      <c r="D183" t="s">
        <v>584</v>
      </c>
      <c r="E183">
        <v>94</v>
      </c>
      <c r="F183" t="s">
        <v>1512</v>
      </c>
    </row>
    <row r="184" spans="1:6" hidden="1" x14ac:dyDescent="0.45">
      <c r="A184" t="s">
        <v>591</v>
      </c>
      <c r="B184" t="s">
        <v>592</v>
      </c>
      <c r="C184" t="s">
        <v>593</v>
      </c>
      <c r="D184" t="s">
        <v>594</v>
      </c>
      <c r="E184">
        <v>80</v>
      </c>
      <c r="F184" t="s">
        <v>1513</v>
      </c>
    </row>
    <row r="185" spans="1:6" x14ac:dyDescent="0.45">
      <c r="A185" t="s">
        <v>595</v>
      </c>
      <c r="B185" t="s">
        <v>596</v>
      </c>
      <c r="C185" t="s">
        <v>597</v>
      </c>
      <c r="D185" t="s">
        <v>598</v>
      </c>
      <c r="E185">
        <v>80</v>
      </c>
      <c r="F185" t="s">
        <v>1512</v>
      </c>
    </row>
    <row r="186" spans="1:6" x14ac:dyDescent="0.45">
      <c r="A186" t="s">
        <v>599</v>
      </c>
      <c r="B186" t="s">
        <v>600</v>
      </c>
      <c r="C186" t="s">
        <v>601</v>
      </c>
      <c r="D186" t="s">
        <v>602</v>
      </c>
      <c r="E186">
        <v>96</v>
      </c>
      <c r="F186" t="s">
        <v>1512</v>
      </c>
    </row>
    <row r="187" spans="1:6" hidden="1" x14ac:dyDescent="0.45">
      <c r="A187" t="s">
        <v>603</v>
      </c>
      <c r="B187" t="s">
        <v>604</v>
      </c>
      <c r="C187" t="s">
        <v>605</v>
      </c>
      <c r="D187" t="s">
        <v>606</v>
      </c>
      <c r="E187">
        <v>75</v>
      </c>
      <c r="F187" t="s">
        <v>1513</v>
      </c>
    </row>
    <row r="188" spans="1:6" hidden="1" x14ac:dyDescent="0.45">
      <c r="A188" t="s">
        <v>607</v>
      </c>
      <c r="B188" t="s">
        <v>608</v>
      </c>
      <c r="C188" t="s">
        <v>609</v>
      </c>
      <c r="D188" t="s">
        <v>610</v>
      </c>
      <c r="E188">
        <v>85</v>
      </c>
      <c r="F188" t="s">
        <v>1513</v>
      </c>
    </row>
    <row r="189" spans="1:6" x14ac:dyDescent="0.45">
      <c r="A189" t="s">
        <v>611</v>
      </c>
      <c r="B189" t="s">
        <v>564</v>
      </c>
      <c r="C189" t="s">
        <v>612</v>
      </c>
      <c r="D189" t="s">
        <v>566</v>
      </c>
      <c r="E189">
        <v>89</v>
      </c>
      <c r="F189" t="s">
        <v>1512</v>
      </c>
    </row>
    <row r="190" spans="1:6" hidden="1" x14ac:dyDescent="0.45">
      <c r="A190" t="s">
        <v>613</v>
      </c>
      <c r="B190" t="s">
        <v>596</v>
      </c>
      <c r="C190" t="s">
        <v>614</v>
      </c>
      <c r="D190" t="s">
        <v>598</v>
      </c>
      <c r="E190">
        <v>80</v>
      </c>
      <c r="F190" t="s">
        <v>1513</v>
      </c>
    </row>
    <row r="191" spans="1:6" x14ac:dyDescent="0.45">
      <c r="A191" t="s">
        <v>615</v>
      </c>
      <c r="B191" t="s">
        <v>616</v>
      </c>
      <c r="C191" t="s">
        <v>617</v>
      </c>
      <c r="D191" t="s">
        <v>618</v>
      </c>
      <c r="E191">
        <v>89</v>
      </c>
      <c r="F191" t="s">
        <v>1512</v>
      </c>
    </row>
    <row r="192" spans="1:6" hidden="1" x14ac:dyDescent="0.45">
      <c r="A192" t="s">
        <v>619</v>
      </c>
      <c r="B192" t="s">
        <v>620</v>
      </c>
      <c r="C192" t="s">
        <v>621</v>
      </c>
      <c r="D192" t="s">
        <v>622</v>
      </c>
      <c r="E192">
        <v>76</v>
      </c>
      <c r="F192" t="s">
        <v>1513</v>
      </c>
    </row>
    <row r="193" spans="1:6" hidden="1" x14ac:dyDescent="0.45">
      <c r="A193" t="s">
        <v>623</v>
      </c>
      <c r="B193" t="s">
        <v>624</v>
      </c>
      <c r="C193" t="s">
        <v>625</v>
      </c>
      <c r="D193" t="s">
        <v>626</v>
      </c>
      <c r="E193">
        <v>76</v>
      </c>
      <c r="F193" t="s">
        <v>1513</v>
      </c>
    </row>
    <row r="194" spans="1:6" x14ac:dyDescent="0.45">
      <c r="A194" t="s">
        <v>627</v>
      </c>
      <c r="B194" t="s">
        <v>628</v>
      </c>
      <c r="C194" t="s">
        <v>629</v>
      </c>
      <c r="D194" t="s">
        <v>630</v>
      </c>
      <c r="E194">
        <v>92</v>
      </c>
      <c r="F194" t="s">
        <v>1512</v>
      </c>
    </row>
    <row r="195" spans="1:6" hidden="1" x14ac:dyDescent="0.45">
      <c r="A195" t="s">
        <v>631</v>
      </c>
      <c r="B195" t="s">
        <v>632</v>
      </c>
      <c r="C195" t="s">
        <v>633</v>
      </c>
      <c r="D195" t="s">
        <v>634</v>
      </c>
      <c r="E195">
        <v>75</v>
      </c>
      <c r="F195" t="s">
        <v>1513</v>
      </c>
    </row>
    <row r="196" spans="1:6" hidden="1" x14ac:dyDescent="0.45">
      <c r="A196" t="s">
        <v>635</v>
      </c>
      <c r="B196" t="s">
        <v>636</v>
      </c>
      <c r="C196" t="s">
        <v>637</v>
      </c>
      <c r="D196" t="s">
        <v>638</v>
      </c>
      <c r="E196">
        <v>94</v>
      </c>
      <c r="F196" t="s">
        <v>1513</v>
      </c>
    </row>
    <row r="197" spans="1:6" hidden="1" x14ac:dyDescent="0.45">
      <c r="A197" t="s">
        <v>635</v>
      </c>
      <c r="B197" t="s">
        <v>639</v>
      </c>
      <c r="C197" t="s">
        <v>637</v>
      </c>
      <c r="D197" t="s">
        <v>640</v>
      </c>
      <c r="E197">
        <v>80</v>
      </c>
      <c r="F197" t="s">
        <v>1513</v>
      </c>
    </row>
    <row r="198" spans="1:6" x14ac:dyDescent="0.45">
      <c r="A198" t="s">
        <v>641</v>
      </c>
      <c r="B198" t="s">
        <v>642</v>
      </c>
      <c r="C198" t="s">
        <v>643</v>
      </c>
      <c r="D198" t="s">
        <v>644</v>
      </c>
      <c r="E198">
        <v>94</v>
      </c>
      <c r="F198" t="s">
        <v>1512</v>
      </c>
    </row>
    <row r="199" spans="1:6" x14ac:dyDescent="0.45">
      <c r="A199" t="s">
        <v>636</v>
      </c>
      <c r="B199" t="s">
        <v>639</v>
      </c>
      <c r="C199" t="s">
        <v>638</v>
      </c>
      <c r="D199" t="s">
        <v>640</v>
      </c>
      <c r="E199">
        <v>84</v>
      </c>
      <c r="F199" t="s">
        <v>1512</v>
      </c>
    </row>
    <row r="200" spans="1:6" x14ac:dyDescent="0.45">
      <c r="A200" t="s">
        <v>645</v>
      </c>
      <c r="B200" t="s">
        <v>646</v>
      </c>
      <c r="C200" t="s">
        <v>647</v>
      </c>
      <c r="D200" t="s">
        <v>648</v>
      </c>
      <c r="E200">
        <v>91</v>
      </c>
      <c r="F200" t="s">
        <v>1512</v>
      </c>
    </row>
    <row r="201" spans="1:6" x14ac:dyDescent="0.45">
      <c r="A201" t="s">
        <v>649</v>
      </c>
      <c r="B201" t="s">
        <v>650</v>
      </c>
      <c r="C201" t="s">
        <v>651</v>
      </c>
      <c r="D201" t="s">
        <v>652</v>
      </c>
      <c r="E201">
        <v>98</v>
      </c>
      <c r="F201" t="s">
        <v>1512</v>
      </c>
    </row>
    <row r="202" spans="1:6" hidden="1" x14ac:dyDescent="0.45">
      <c r="A202" t="s">
        <v>653</v>
      </c>
      <c r="B202" t="s">
        <v>654</v>
      </c>
      <c r="C202" t="s">
        <v>655</v>
      </c>
      <c r="D202" t="s">
        <v>656</v>
      </c>
      <c r="E202">
        <v>76</v>
      </c>
      <c r="F202" t="s">
        <v>1513</v>
      </c>
    </row>
    <row r="203" spans="1:6" hidden="1" x14ac:dyDescent="0.45">
      <c r="A203" t="s">
        <v>657</v>
      </c>
      <c r="B203" t="s">
        <v>658</v>
      </c>
      <c r="C203" t="s">
        <v>659</v>
      </c>
      <c r="D203" t="s">
        <v>660</v>
      </c>
      <c r="E203">
        <v>83</v>
      </c>
      <c r="F203" t="s">
        <v>1513</v>
      </c>
    </row>
    <row r="204" spans="1:6" hidden="1" x14ac:dyDescent="0.45">
      <c r="A204" t="s">
        <v>661</v>
      </c>
      <c r="B204" t="s">
        <v>662</v>
      </c>
      <c r="C204" t="s">
        <v>663</v>
      </c>
      <c r="D204" t="s">
        <v>664</v>
      </c>
      <c r="E204">
        <v>77</v>
      </c>
      <c r="F204" t="s">
        <v>1513</v>
      </c>
    </row>
    <row r="205" spans="1:6" hidden="1" x14ac:dyDescent="0.45">
      <c r="A205" t="s">
        <v>665</v>
      </c>
      <c r="B205" t="s">
        <v>666</v>
      </c>
      <c r="C205" t="s">
        <v>667</v>
      </c>
      <c r="D205" t="s">
        <v>668</v>
      </c>
      <c r="E205">
        <v>80</v>
      </c>
      <c r="F205" t="s">
        <v>1513</v>
      </c>
    </row>
    <row r="206" spans="1:6" hidden="1" x14ac:dyDescent="0.45">
      <c r="A206" t="s">
        <v>669</v>
      </c>
      <c r="B206" t="s">
        <v>670</v>
      </c>
      <c r="C206" t="s">
        <v>671</v>
      </c>
      <c r="D206" t="s">
        <v>672</v>
      </c>
      <c r="E206">
        <v>85</v>
      </c>
      <c r="F206" t="s">
        <v>1513</v>
      </c>
    </row>
    <row r="207" spans="1:6" hidden="1" x14ac:dyDescent="0.45">
      <c r="A207" t="s">
        <v>673</v>
      </c>
      <c r="B207" t="s">
        <v>674</v>
      </c>
      <c r="C207" t="s">
        <v>675</v>
      </c>
      <c r="D207" t="s">
        <v>676</v>
      </c>
      <c r="E207">
        <v>82</v>
      </c>
      <c r="F207" t="s">
        <v>1513</v>
      </c>
    </row>
    <row r="208" spans="1:6" x14ac:dyDescent="0.45">
      <c r="A208" t="s">
        <v>677</v>
      </c>
      <c r="B208" t="s">
        <v>678</v>
      </c>
      <c r="C208" t="s">
        <v>679</v>
      </c>
      <c r="D208" t="s">
        <v>680</v>
      </c>
      <c r="E208">
        <v>95</v>
      </c>
      <c r="F208" t="s">
        <v>1512</v>
      </c>
    </row>
    <row r="209" spans="1:6" x14ac:dyDescent="0.45">
      <c r="A209" t="s">
        <v>681</v>
      </c>
      <c r="B209" t="s">
        <v>682</v>
      </c>
      <c r="C209" t="s">
        <v>683</v>
      </c>
      <c r="D209" t="s">
        <v>684</v>
      </c>
      <c r="E209">
        <v>87</v>
      </c>
      <c r="F209" t="s">
        <v>1512</v>
      </c>
    </row>
    <row r="210" spans="1:6" x14ac:dyDescent="0.45">
      <c r="A210" t="s">
        <v>685</v>
      </c>
      <c r="B210" t="s">
        <v>686</v>
      </c>
      <c r="C210" t="s">
        <v>687</v>
      </c>
      <c r="D210" t="s">
        <v>688</v>
      </c>
      <c r="E210">
        <v>91</v>
      </c>
      <c r="F210" t="s">
        <v>1512</v>
      </c>
    </row>
    <row r="211" spans="1:6" hidden="1" x14ac:dyDescent="0.45">
      <c r="A211" t="s">
        <v>689</v>
      </c>
      <c r="B211" t="s">
        <v>690</v>
      </c>
      <c r="C211" t="s">
        <v>691</v>
      </c>
      <c r="D211" t="s">
        <v>692</v>
      </c>
      <c r="E211">
        <v>80</v>
      </c>
      <c r="F211" t="s">
        <v>1513</v>
      </c>
    </row>
    <row r="212" spans="1:6" x14ac:dyDescent="0.45">
      <c r="A212" t="s">
        <v>693</v>
      </c>
      <c r="B212" t="s">
        <v>694</v>
      </c>
      <c r="C212" t="s">
        <v>695</v>
      </c>
      <c r="D212" t="s">
        <v>696</v>
      </c>
      <c r="E212">
        <v>95</v>
      </c>
      <c r="F212" t="s">
        <v>1512</v>
      </c>
    </row>
    <row r="213" spans="1:6" x14ac:dyDescent="0.45">
      <c r="A213" t="s">
        <v>697</v>
      </c>
      <c r="B213" t="s">
        <v>698</v>
      </c>
      <c r="C213" t="s">
        <v>699</v>
      </c>
      <c r="D213" t="s">
        <v>700</v>
      </c>
      <c r="E213">
        <v>90</v>
      </c>
      <c r="F213" t="s">
        <v>1512</v>
      </c>
    </row>
    <row r="214" spans="1:6" x14ac:dyDescent="0.45">
      <c r="A214" t="s">
        <v>701</v>
      </c>
      <c r="B214" t="s">
        <v>702</v>
      </c>
      <c r="C214" t="s">
        <v>703</v>
      </c>
      <c r="D214" t="s">
        <v>704</v>
      </c>
      <c r="E214">
        <v>80</v>
      </c>
      <c r="F214" t="s">
        <v>1512</v>
      </c>
    </row>
    <row r="215" spans="1:6" hidden="1" x14ac:dyDescent="0.45">
      <c r="A215" t="s">
        <v>705</v>
      </c>
      <c r="B215" t="s">
        <v>706</v>
      </c>
      <c r="C215" t="s">
        <v>707</v>
      </c>
      <c r="D215" t="s">
        <v>708</v>
      </c>
      <c r="E215">
        <v>86</v>
      </c>
      <c r="F215" t="s">
        <v>1513</v>
      </c>
    </row>
    <row r="216" spans="1:6" x14ac:dyDescent="0.45">
      <c r="A216" t="s">
        <v>709</v>
      </c>
      <c r="B216" t="s">
        <v>710</v>
      </c>
      <c r="C216" t="s">
        <v>711</v>
      </c>
      <c r="D216" t="s">
        <v>712</v>
      </c>
      <c r="E216">
        <v>92</v>
      </c>
      <c r="F216" t="s">
        <v>1512</v>
      </c>
    </row>
    <row r="217" spans="1:6" hidden="1" x14ac:dyDescent="0.45">
      <c r="A217" t="s">
        <v>713</v>
      </c>
      <c r="B217" t="s">
        <v>714</v>
      </c>
      <c r="C217" t="s">
        <v>715</v>
      </c>
      <c r="D217" t="s">
        <v>716</v>
      </c>
      <c r="E217">
        <v>80</v>
      </c>
      <c r="F217" t="s">
        <v>1513</v>
      </c>
    </row>
    <row r="218" spans="1:6" hidden="1" x14ac:dyDescent="0.45">
      <c r="A218" t="s">
        <v>713</v>
      </c>
      <c r="B218" t="s">
        <v>717</v>
      </c>
      <c r="C218" t="s">
        <v>715</v>
      </c>
      <c r="D218" t="s">
        <v>718</v>
      </c>
      <c r="E218">
        <v>89</v>
      </c>
      <c r="F218" t="s">
        <v>1513</v>
      </c>
    </row>
    <row r="219" spans="1:6" hidden="1" x14ac:dyDescent="0.45">
      <c r="A219" t="s">
        <v>713</v>
      </c>
      <c r="B219" t="s">
        <v>719</v>
      </c>
      <c r="C219" t="s">
        <v>715</v>
      </c>
      <c r="D219" t="s">
        <v>720</v>
      </c>
      <c r="E219">
        <v>80</v>
      </c>
      <c r="F219" t="s">
        <v>1513</v>
      </c>
    </row>
    <row r="220" spans="1:6" hidden="1" x14ac:dyDescent="0.45">
      <c r="A220" t="s">
        <v>713</v>
      </c>
      <c r="B220" t="s">
        <v>721</v>
      </c>
      <c r="C220" t="s">
        <v>715</v>
      </c>
      <c r="D220" t="s">
        <v>722</v>
      </c>
      <c r="E220">
        <v>83</v>
      </c>
      <c r="F220" t="s">
        <v>1513</v>
      </c>
    </row>
    <row r="221" spans="1:6" hidden="1" x14ac:dyDescent="0.45">
      <c r="A221" t="s">
        <v>723</v>
      </c>
      <c r="B221" t="s">
        <v>724</v>
      </c>
      <c r="C221" t="s">
        <v>725</v>
      </c>
      <c r="D221" t="s">
        <v>726</v>
      </c>
      <c r="E221">
        <v>80</v>
      </c>
      <c r="F221" t="s">
        <v>1513</v>
      </c>
    </row>
    <row r="222" spans="1:6" hidden="1" x14ac:dyDescent="0.45">
      <c r="A222" t="s">
        <v>723</v>
      </c>
      <c r="B222" t="s">
        <v>727</v>
      </c>
      <c r="C222" t="s">
        <v>725</v>
      </c>
      <c r="D222" t="s">
        <v>728</v>
      </c>
      <c r="E222">
        <v>80</v>
      </c>
      <c r="F222" t="s">
        <v>1513</v>
      </c>
    </row>
    <row r="223" spans="1:6" hidden="1" x14ac:dyDescent="0.45">
      <c r="A223" t="s">
        <v>723</v>
      </c>
      <c r="B223" t="s">
        <v>729</v>
      </c>
      <c r="C223" t="s">
        <v>725</v>
      </c>
      <c r="D223" t="s">
        <v>730</v>
      </c>
      <c r="E223">
        <v>80</v>
      </c>
      <c r="F223" t="s">
        <v>1513</v>
      </c>
    </row>
    <row r="224" spans="1:6" hidden="1" x14ac:dyDescent="0.45">
      <c r="A224" t="s">
        <v>731</v>
      </c>
      <c r="B224" t="s">
        <v>732</v>
      </c>
      <c r="C224" t="s">
        <v>733</v>
      </c>
      <c r="D224" t="s">
        <v>734</v>
      </c>
      <c r="E224">
        <v>75</v>
      </c>
      <c r="F224" t="s">
        <v>1513</v>
      </c>
    </row>
    <row r="225" spans="1:6" hidden="1" x14ac:dyDescent="0.45">
      <c r="A225" t="s">
        <v>731</v>
      </c>
      <c r="B225" t="s">
        <v>735</v>
      </c>
      <c r="C225" t="s">
        <v>733</v>
      </c>
      <c r="D225" t="s">
        <v>736</v>
      </c>
      <c r="E225">
        <v>94</v>
      </c>
      <c r="F225" t="s">
        <v>1513</v>
      </c>
    </row>
    <row r="226" spans="1:6" hidden="1" x14ac:dyDescent="0.45">
      <c r="A226" t="s">
        <v>737</v>
      </c>
      <c r="B226" t="s">
        <v>738</v>
      </c>
      <c r="C226" t="s">
        <v>739</v>
      </c>
      <c r="D226" t="s">
        <v>740</v>
      </c>
      <c r="E226">
        <v>76</v>
      </c>
      <c r="F226" t="s">
        <v>1513</v>
      </c>
    </row>
    <row r="227" spans="1:6" hidden="1" x14ac:dyDescent="0.45">
      <c r="A227" t="s">
        <v>737</v>
      </c>
      <c r="B227" t="s">
        <v>741</v>
      </c>
      <c r="C227" t="s">
        <v>739</v>
      </c>
      <c r="D227" t="s">
        <v>742</v>
      </c>
      <c r="E227">
        <v>90</v>
      </c>
      <c r="F227" t="s">
        <v>1513</v>
      </c>
    </row>
    <row r="228" spans="1:6" hidden="1" x14ac:dyDescent="0.45">
      <c r="A228" t="s">
        <v>743</v>
      </c>
      <c r="B228" t="s">
        <v>744</v>
      </c>
      <c r="C228" t="s">
        <v>745</v>
      </c>
      <c r="D228" t="s">
        <v>746</v>
      </c>
      <c r="E228">
        <v>75</v>
      </c>
      <c r="F228" t="s">
        <v>1513</v>
      </c>
    </row>
    <row r="229" spans="1:6" hidden="1" x14ac:dyDescent="0.45">
      <c r="A229" t="s">
        <v>743</v>
      </c>
      <c r="B229" t="s">
        <v>747</v>
      </c>
      <c r="C229" t="s">
        <v>745</v>
      </c>
      <c r="D229" t="s">
        <v>748</v>
      </c>
      <c r="E229">
        <v>80</v>
      </c>
      <c r="F229" t="s">
        <v>1513</v>
      </c>
    </row>
    <row r="230" spans="1:6" hidden="1" x14ac:dyDescent="0.45">
      <c r="A230" t="s">
        <v>749</v>
      </c>
      <c r="B230" t="s">
        <v>750</v>
      </c>
      <c r="C230" t="s">
        <v>751</v>
      </c>
      <c r="D230" t="s">
        <v>752</v>
      </c>
      <c r="E230">
        <v>75</v>
      </c>
      <c r="F230" t="s">
        <v>1513</v>
      </c>
    </row>
    <row r="231" spans="1:6" x14ac:dyDescent="0.45">
      <c r="A231" t="s">
        <v>749</v>
      </c>
      <c r="B231" t="s">
        <v>753</v>
      </c>
      <c r="C231" t="s">
        <v>751</v>
      </c>
      <c r="D231" t="s">
        <v>754</v>
      </c>
      <c r="E231">
        <v>82</v>
      </c>
      <c r="F231" t="s">
        <v>1512</v>
      </c>
    </row>
    <row r="232" spans="1:6" x14ac:dyDescent="0.45">
      <c r="A232" t="s">
        <v>749</v>
      </c>
      <c r="B232" t="s">
        <v>755</v>
      </c>
      <c r="C232" t="s">
        <v>751</v>
      </c>
      <c r="D232" t="s">
        <v>756</v>
      </c>
      <c r="E232">
        <v>83</v>
      </c>
      <c r="F232" t="s">
        <v>1512</v>
      </c>
    </row>
    <row r="233" spans="1:6" hidden="1" x14ac:dyDescent="0.45">
      <c r="A233" t="s">
        <v>757</v>
      </c>
      <c r="B233" t="s">
        <v>758</v>
      </c>
      <c r="C233" t="s">
        <v>759</v>
      </c>
      <c r="D233" t="s">
        <v>760</v>
      </c>
      <c r="E233">
        <v>77</v>
      </c>
      <c r="F233" t="s">
        <v>1513</v>
      </c>
    </row>
    <row r="234" spans="1:6" hidden="1" x14ac:dyDescent="0.45">
      <c r="A234" t="s">
        <v>724</v>
      </c>
      <c r="B234" t="s">
        <v>727</v>
      </c>
      <c r="C234" t="s">
        <v>726</v>
      </c>
      <c r="D234" t="s">
        <v>728</v>
      </c>
      <c r="E234">
        <v>78</v>
      </c>
      <c r="F234" t="s">
        <v>1513</v>
      </c>
    </row>
    <row r="235" spans="1:6" hidden="1" x14ac:dyDescent="0.45">
      <c r="A235" t="s">
        <v>724</v>
      </c>
      <c r="B235" t="s">
        <v>729</v>
      </c>
      <c r="C235" t="s">
        <v>726</v>
      </c>
      <c r="D235" t="s">
        <v>730</v>
      </c>
      <c r="E235">
        <v>78</v>
      </c>
      <c r="F235" t="s">
        <v>1513</v>
      </c>
    </row>
    <row r="236" spans="1:6" x14ac:dyDescent="0.45">
      <c r="A236" t="s">
        <v>761</v>
      </c>
      <c r="B236" t="s">
        <v>762</v>
      </c>
      <c r="C236" t="s">
        <v>763</v>
      </c>
      <c r="D236" t="s">
        <v>764</v>
      </c>
      <c r="E236">
        <v>81</v>
      </c>
      <c r="F236" t="s">
        <v>1512</v>
      </c>
    </row>
    <row r="237" spans="1:6" x14ac:dyDescent="0.45">
      <c r="A237" t="s">
        <v>765</v>
      </c>
      <c r="B237" t="s">
        <v>753</v>
      </c>
      <c r="C237" t="s">
        <v>766</v>
      </c>
      <c r="D237" t="s">
        <v>754</v>
      </c>
      <c r="E237">
        <v>80</v>
      </c>
      <c r="F237" t="s">
        <v>1512</v>
      </c>
    </row>
    <row r="238" spans="1:6" x14ac:dyDescent="0.45">
      <c r="A238" t="s">
        <v>767</v>
      </c>
      <c r="B238" t="s">
        <v>768</v>
      </c>
      <c r="C238" t="s">
        <v>769</v>
      </c>
      <c r="D238" t="s">
        <v>770</v>
      </c>
      <c r="E238">
        <v>78</v>
      </c>
      <c r="F238" t="s">
        <v>1512</v>
      </c>
    </row>
    <row r="239" spans="1:6" hidden="1" x14ac:dyDescent="0.45">
      <c r="A239" t="s">
        <v>771</v>
      </c>
      <c r="B239" t="s">
        <v>772</v>
      </c>
      <c r="C239" t="s">
        <v>773</v>
      </c>
      <c r="D239" t="s">
        <v>774</v>
      </c>
      <c r="E239">
        <v>86</v>
      </c>
      <c r="F239" t="s">
        <v>1513</v>
      </c>
    </row>
    <row r="240" spans="1:6" hidden="1" x14ac:dyDescent="0.45">
      <c r="A240" t="s">
        <v>775</v>
      </c>
      <c r="B240" t="s">
        <v>776</v>
      </c>
      <c r="C240" t="s">
        <v>777</v>
      </c>
      <c r="D240" t="s">
        <v>778</v>
      </c>
      <c r="E240">
        <v>75</v>
      </c>
      <c r="F240" t="s">
        <v>1513</v>
      </c>
    </row>
    <row r="241" spans="1:6" hidden="1" x14ac:dyDescent="0.45">
      <c r="A241" t="s">
        <v>779</v>
      </c>
      <c r="B241" t="s">
        <v>780</v>
      </c>
      <c r="C241" t="s">
        <v>781</v>
      </c>
      <c r="D241" t="s">
        <v>782</v>
      </c>
      <c r="E241">
        <v>83</v>
      </c>
      <c r="F241" t="s">
        <v>1513</v>
      </c>
    </row>
    <row r="242" spans="1:6" hidden="1" x14ac:dyDescent="0.45">
      <c r="A242" t="s">
        <v>779</v>
      </c>
      <c r="B242" t="s">
        <v>783</v>
      </c>
      <c r="C242" t="s">
        <v>781</v>
      </c>
      <c r="D242" t="s">
        <v>784</v>
      </c>
      <c r="E242">
        <v>75</v>
      </c>
      <c r="F242" t="s">
        <v>1513</v>
      </c>
    </row>
    <row r="243" spans="1:6" hidden="1" x14ac:dyDescent="0.45">
      <c r="A243" t="s">
        <v>785</v>
      </c>
      <c r="B243" t="s">
        <v>776</v>
      </c>
      <c r="C243" t="s">
        <v>786</v>
      </c>
      <c r="D243" t="s">
        <v>778</v>
      </c>
      <c r="E243">
        <v>83</v>
      </c>
      <c r="F243" t="s">
        <v>1513</v>
      </c>
    </row>
    <row r="244" spans="1:6" x14ac:dyDescent="0.45">
      <c r="A244" t="s">
        <v>787</v>
      </c>
      <c r="B244" t="s">
        <v>788</v>
      </c>
      <c r="C244" t="s">
        <v>789</v>
      </c>
      <c r="D244" t="s">
        <v>790</v>
      </c>
      <c r="E244">
        <v>94</v>
      </c>
      <c r="F244" t="s">
        <v>1512</v>
      </c>
    </row>
    <row r="245" spans="1:6" hidden="1" x14ac:dyDescent="0.45">
      <c r="A245" t="s">
        <v>791</v>
      </c>
      <c r="B245" t="s">
        <v>792</v>
      </c>
      <c r="C245" t="s">
        <v>793</v>
      </c>
      <c r="D245" t="s">
        <v>794</v>
      </c>
      <c r="E245">
        <v>75</v>
      </c>
      <c r="F245" t="s">
        <v>1513</v>
      </c>
    </row>
    <row r="246" spans="1:6" x14ac:dyDescent="0.45">
      <c r="A246" t="s">
        <v>795</v>
      </c>
      <c r="B246" t="s">
        <v>796</v>
      </c>
      <c r="C246" t="s">
        <v>797</v>
      </c>
      <c r="D246" t="s">
        <v>798</v>
      </c>
      <c r="E246">
        <v>97</v>
      </c>
      <c r="F246" t="s">
        <v>1512</v>
      </c>
    </row>
    <row r="247" spans="1:6" hidden="1" x14ac:dyDescent="0.45">
      <c r="A247" t="s">
        <v>780</v>
      </c>
      <c r="B247" t="s">
        <v>799</v>
      </c>
      <c r="C247" t="s">
        <v>782</v>
      </c>
      <c r="D247" t="s">
        <v>800</v>
      </c>
      <c r="E247">
        <v>80</v>
      </c>
      <c r="F247" t="s">
        <v>1513</v>
      </c>
    </row>
    <row r="248" spans="1:6" hidden="1" x14ac:dyDescent="0.45">
      <c r="A248" t="s">
        <v>801</v>
      </c>
      <c r="B248" t="s">
        <v>802</v>
      </c>
      <c r="C248" t="s">
        <v>803</v>
      </c>
      <c r="D248" t="s">
        <v>804</v>
      </c>
      <c r="E248">
        <v>82</v>
      </c>
      <c r="F248" t="s">
        <v>1513</v>
      </c>
    </row>
    <row r="249" spans="1:6" hidden="1" x14ac:dyDescent="0.45">
      <c r="A249" t="s">
        <v>744</v>
      </c>
      <c r="B249" t="s">
        <v>805</v>
      </c>
      <c r="C249" t="s">
        <v>746</v>
      </c>
      <c r="D249" t="s">
        <v>806</v>
      </c>
      <c r="E249">
        <v>80</v>
      </c>
      <c r="F249" t="s">
        <v>1513</v>
      </c>
    </row>
    <row r="250" spans="1:6" hidden="1" x14ac:dyDescent="0.45">
      <c r="A250" t="s">
        <v>744</v>
      </c>
      <c r="B250" t="s">
        <v>807</v>
      </c>
      <c r="C250" t="s">
        <v>746</v>
      </c>
      <c r="D250" t="s">
        <v>808</v>
      </c>
      <c r="E250">
        <v>84</v>
      </c>
      <c r="F250" t="s">
        <v>1513</v>
      </c>
    </row>
    <row r="251" spans="1:6" hidden="1" x14ac:dyDescent="0.45">
      <c r="A251" t="s">
        <v>809</v>
      </c>
      <c r="B251" t="s">
        <v>719</v>
      </c>
      <c r="C251" t="s">
        <v>810</v>
      </c>
      <c r="D251" t="s">
        <v>720</v>
      </c>
      <c r="E251">
        <v>80</v>
      </c>
      <c r="F251" t="s">
        <v>1513</v>
      </c>
    </row>
    <row r="252" spans="1:6" hidden="1" x14ac:dyDescent="0.45">
      <c r="A252" t="s">
        <v>738</v>
      </c>
      <c r="B252" t="s">
        <v>741</v>
      </c>
      <c r="C252" t="s">
        <v>740</v>
      </c>
      <c r="D252" t="s">
        <v>742</v>
      </c>
      <c r="E252">
        <v>86</v>
      </c>
      <c r="F252" t="s">
        <v>1513</v>
      </c>
    </row>
    <row r="253" spans="1:6" hidden="1" x14ac:dyDescent="0.45">
      <c r="A253" t="s">
        <v>811</v>
      </c>
      <c r="B253" t="s">
        <v>812</v>
      </c>
      <c r="C253" t="s">
        <v>813</v>
      </c>
      <c r="D253" t="s">
        <v>814</v>
      </c>
      <c r="E253">
        <v>89</v>
      </c>
      <c r="F253" t="s">
        <v>1513</v>
      </c>
    </row>
    <row r="254" spans="1:6" hidden="1" x14ac:dyDescent="0.45">
      <c r="A254" t="s">
        <v>802</v>
      </c>
      <c r="B254" t="s">
        <v>815</v>
      </c>
      <c r="C254" t="s">
        <v>804</v>
      </c>
      <c r="D254" t="s">
        <v>816</v>
      </c>
      <c r="E254">
        <v>80</v>
      </c>
      <c r="F254" t="s">
        <v>1513</v>
      </c>
    </row>
    <row r="255" spans="1:6" hidden="1" x14ac:dyDescent="0.45">
      <c r="A255" t="s">
        <v>817</v>
      </c>
      <c r="B255" t="s">
        <v>755</v>
      </c>
      <c r="C255" t="s">
        <v>818</v>
      </c>
      <c r="D255" t="s">
        <v>756</v>
      </c>
      <c r="E255">
        <v>80</v>
      </c>
      <c r="F255" t="s">
        <v>1513</v>
      </c>
    </row>
    <row r="256" spans="1:6" hidden="1" x14ac:dyDescent="0.45">
      <c r="A256" t="s">
        <v>805</v>
      </c>
      <c r="B256" t="s">
        <v>807</v>
      </c>
      <c r="C256" t="s">
        <v>806</v>
      </c>
      <c r="D256" t="s">
        <v>808</v>
      </c>
      <c r="E256">
        <v>76</v>
      </c>
      <c r="F256" t="s">
        <v>1513</v>
      </c>
    </row>
    <row r="257" spans="1:6" hidden="1" x14ac:dyDescent="0.45">
      <c r="A257" t="s">
        <v>805</v>
      </c>
      <c r="B257" t="s">
        <v>819</v>
      </c>
      <c r="C257" t="s">
        <v>806</v>
      </c>
      <c r="D257" t="s">
        <v>820</v>
      </c>
      <c r="E257">
        <v>78</v>
      </c>
      <c r="F257" t="s">
        <v>1513</v>
      </c>
    </row>
    <row r="258" spans="1:6" hidden="1" x14ac:dyDescent="0.45">
      <c r="A258" t="s">
        <v>821</v>
      </c>
      <c r="B258" t="s">
        <v>822</v>
      </c>
      <c r="C258" t="s">
        <v>823</v>
      </c>
      <c r="D258" t="s">
        <v>824</v>
      </c>
      <c r="E258">
        <v>89</v>
      </c>
      <c r="F258" t="s">
        <v>1513</v>
      </c>
    </row>
    <row r="259" spans="1:6" hidden="1" x14ac:dyDescent="0.45">
      <c r="A259" t="s">
        <v>825</v>
      </c>
      <c r="B259" t="s">
        <v>826</v>
      </c>
      <c r="C259" t="s">
        <v>827</v>
      </c>
      <c r="D259" t="s">
        <v>828</v>
      </c>
      <c r="E259">
        <v>80</v>
      </c>
      <c r="F259" t="s">
        <v>1513</v>
      </c>
    </row>
    <row r="260" spans="1:6" hidden="1" x14ac:dyDescent="0.45">
      <c r="A260" t="s">
        <v>807</v>
      </c>
      <c r="B260" t="s">
        <v>829</v>
      </c>
      <c r="C260" t="s">
        <v>808</v>
      </c>
      <c r="D260" t="s">
        <v>830</v>
      </c>
      <c r="E260">
        <v>75</v>
      </c>
      <c r="F260" t="s">
        <v>1513</v>
      </c>
    </row>
    <row r="261" spans="1:6" hidden="1" x14ac:dyDescent="0.45">
      <c r="A261" t="s">
        <v>831</v>
      </c>
      <c r="B261" t="s">
        <v>832</v>
      </c>
      <c r="C261" t="s">
        <v>833</v>
      </c>
      <c r="D261" t="s">
        <v>834</v>
      </c>
      <c r="E261">
        <v>75</v>
      </c>
      <c r="F261" t="s">
        <v>1513</v>
      </c>
    </row>
    <row r="262" spans="1:6" x14ac:dyDescent="0.45">
      <c r="A262" t="s">
        <v>835</v>
      </c>
      <c r="B262" t="s">
        <v>836</v>
      </c>
      <c r="C262" t="s">
        <v>837</v>
      </c>
      <c r="D262" t="s">
        <v>838</v>
      </c>
      <c r="E262">
        <v>88</v>
      </c>
      <c r="F262" t="s">
        <v>1512</v>
      </c>
    </row>
    <row r="263" spans="1:6" hidden="1" x14ac:dyDescent="0.45">
      <c r="A263" t="s">
        <v>714</v>
      </c>
      <c r="B263" t="s">
        <v>719</v>
      </c>
      <c r="C263" t="s">
        <v>716</v>
      </c>
      <c r="D263" t="s">
        <v>720</v>
      </c>
      <c r="E263">
        <v>80</v>
      </c>
      <c r="F263" t="s">
        <v>1513</v>
      </c>
    </row>
    <row r="264" spans="1:6" x14ac:dyDescent="0.45">
      <c r="A264" t="s">
        <v>839</v>
      </c>
      <c r="B264" t="s">
        <v>840</v>
      </c>
      <c r="C264" t="s">
        <v>841</v>
      </c>
      <c r="D264" t="s">
        <v>842</v>
      </c>
      <c r="E264">
        <v>86</v>
      </c>
      <c r="F264" t="s">
        <v>1512</v>
      </c>
    </row>
    <row r="265" spans="1:6" hidden="1" x14ac:dyDescent="0.45">
      <c r="A265" t="s">
        <v>843</v>
      </c>
      <c r="B265" t="s">
        <v>844</v>
      </c>
      <c r="C265" t="s">
        <v>845</v>
      </c>
      <c r="D265" t="s">
        <v>846</v>
      </c>
      <c r="E265">
        <v>77</v>
      </c>
      <c r="F265" t="s">
        <v>1513</v>
      </c>
    </row>
    <row r="266" spans="1:6" hidden="1" x14ac:dyDescent="0.45">
      <c r="A266" t="s">
        <v>847</v>
      </c>
      <c r="B266" t="s">
        <v>848</v>
      </c>
      <c r="C266" t="s">
        <v>849</v>
      </c>
      <c r="D266" t="s">
        <v>850</v>
      </c>
      <c r="E266">
        <v>90</v>
      </c>
      <c r="F266" t="s">
        <v>1513</v>
      </c>
    </row>
    <row r="267" spans="1:6" hidden="1" x14ac:dyDescent="0.45">
      <c r="A267" t="s">
        <v>847</v>
      </c>
      <c r="B267" t="s">
        <v>851</v>
      </c>
      <c r="C267" t="s">
        <v>849</v>
      </c>
      <c r="D267" t="s">
        <v>852</v>
      </c>
      <c r="E267">
        <v>76</v>
      </c>
      <c r="F267" t="s">
        <v>1513</v>
      </c>
    </row>
    <row r="268" spans="1:6" hidden="1" x14ac:dyDescent="0.45">
      <c r="A268" t="s">
        <v>847</v>
      </c>
      <c r="B268" t="s">
        <v>853</v>
      </c>
      <c r="C268" t="s">
        <v>849</v>
      </c>
      <c r="D268" t="s">
        <v>854</v>
      </c>
      <c r="E268">
        <v>76</v>
      </c>
      <c r="F268" t="s">
        <v>1513</v>
      </c>
    </row>
    <row r="269" spans="1:6" x14ac:dyDescent="0.45">
      <c r="A269" t="s">
        <v>855</v>
      </c>
      <c r="B269" t="s">
        <v>856</v>
      </c>
      <c r="C269" t="s">
        <v>857</v>
      </c>
      <c r="D269" t="s">
        <v>858</v>
      </c>
      <c r="E269">
        <v>82</v>
      </c>
      <c r="F269" t="s">
        <v>1512</v>
      </c>
    </row>
    <row r="270" spans="1:6" x14ac:dyDescent="0.45">
      <c r="A270" t="s">
        <v>859</v>
      </c>
      <c r="B270" t="s">
        <v>860</v>
      </c>
      <c r="C270" t="s">
        <v>861</v>
      </c>
      <c r="D270" t="s">
        <v>862</v>
      </c>
      <c r="E270">
        <v>85</v>
      </c>
      <c r="F270" t="s">
        <v>1512</v>
      </c>
    </row>
    <row r="271" spans="1:6" hidden="1" x14ac:dyDescent="0.45">
      <c r="A271" t="s">
        <v>863</v>
      </c>
      <c r="B271" t="s">
        <v>864</v>
      </c>
      <c r="C271" t="s">
        <v>865</v>
      </c>
      <c r="D271" t="s">
        <v>866</v>
      </c>
      <c r="E271">
        <v>80</v>
      </c>
      <c r="F271" t="s">
        <v>1513</v>
      </c>
    </row>
    <row r="272" spans="1:6" hidden="1" x14ac:dyDescent="0.45">
      <c r="A272" t="s">
        <v>867</v>
      </c>
      <c r="B272" t="s">
        <v>860</v>
      </c>
      <c r="C272" t="s">
        <v>868</v>
      </c>
      <c r="D272" t="s">
        <v>862</v>
      </c>
      <c r="E272">
        <v>77</v>
      </c>
      <c r="F272" t="s">
        <v>1513</v>
      </c>
    </row>
    <row r="273" spans="1:6" hidden="1" x14ac:dyDescent="0.45">
      <c r="A273" t="s">
        <v>869</v>
      </c>
      <c r="B273" t="s">
        <v>870</v>
      </c>
      <c r="C273" t="s">
        <v>871</v>
      </c>
      <c r="D273" t="s">
        <v>872</v>
      </c>
      <c r="E273">
        <v>81</v>
      </c>
      <c r="F273" t="s">
        <v>1513</v>
      </c>
    </row>
    <row r="274" spans="1:6" x14ac:dyDescent="0.45">
      <c r="A274" t="s">
        <v>873</v>
      </c>
      <c r="B274" t="s">
        <v>874</v>
      </c>
      <c r="C274" t="s">
        <v>875</v>
      </c>
      <c r="D274" t="s">
        <v>876</v>
      </c>
      <c r="E274">
        <v>83</v>
      </c>
      <c r="F274" t="s">
        <v>1512</v>
      </c>
    </row>
    <row r="275" spans="1:6" hidden="1" x14ac:dyDescent="0.45">
      <c r="A275" t="s">
        <v>877</v>
      </c>
      <c r="B275" t="s">
        <v>878</v>
      </c>
      <c r="C275" t="s">
        <v>879</v>
      </c>
      <c r="D275" t="s">
        <v>880</v>
      </c>
      <c r="E275">
        <v>77</v>
      </c>
      <c r="F275" t="s">
        <v>1513</v>
      </c>
    </row>
    <row r="276" spans="1:6" hidden="1" x14ac:dyDescent="0.45">
      <c r="A276" t="s">
        <v>881</v>
      </c>
      <c r="B276" t="s">
        <v>882</v>
      </c>
      <c r="C276" t="s">
        <v>883</v>
      </c>
      <c r="D276" t="s">
        <v>884</v>
      </c>
      <c r="E276">
        <v>76</v>
      </c>
      <c r="F276" t="s">
        <v>1513</v>
      </c>
    </row>
    <row r="277" spans="1:6" x14ac:dyDescent="0.45">
      <c r="A277" t="s">
        <v>848</v>
      </c>
      <c r="B277" t="s">
        <v>878</v>
      </c>
      <c r="C277" t="s">
        <v>850</v>
      </c>
      <c r="D277" t="s">
        <v>880</v>
      </c>
      <c r="E277">
        <v>86</v>
      </c>
      <c r="F277" t="s">
        <v>1512</v>
      </c>
    </row>
    <row r="278" spans="1:6" hidden="1" x14ac:dyDescent="0.45">
      <c r="A278" t="s">
        <v>851</v>
      </c>
      <c r="B278" t="s">
        <v>853</v>
      </c>
      <c r="C278" t="s">
        <v>852</v>
      </c>
      <c r="D278" t="s">
        <v>854</v>
      </c>
      <c r="E278">
        <v>79</v>
      </c>
      <c r="F278" t="s">
        <v>1513</v>
      </c>
    </row>
    <row r="279" spans="1:6" hidden="1" x14ac:dyDescent="0.45">
      <c r="A279" t="s">
        <v>851</v>
      </c>
      <c r="B279" t="s">
        <v>878</v>
      </c>
      <c r="C279" t="s">
        <v>852</v>
      </c>
      <c r="D279" t="s">
        <v>880</v>
      </c>
      <c r="E279">
        <v>77</v>
      </c>
      <c r="F279" t="s">
        <v>1513</v>
      </c>
    </row>
    <row r="280" spans="1:6" hidden="1" x14ac:dyDescent="0.45">
      <c r="A280" t="s">
        <v>885</v>
      </c>
      <c r="B280" t="s">
        <v>886</v>
      </c>
      <c r="C280" t="s">
        <v>887</v>
      </c>
      <c r="D280" t="s">
        <v>888</v>
      </c>
      <c r="E280">
        <v>78</v>
      </c>
      <c r="F280" t="s">
        <v>1513</v>
      </c>
    </row>
    <row r="281" spans="1:6" hidden="1" x14ac:dyDescent="0.45">
      <c r="A281" t="s">
        <v>889</v>
      </c>
      <c r="B281" t="s">
        <v>878</v>
      </c>
      <c r="C281" t="s">
        <v>890</v>
      </c>
      <c r="D281" t="s">
        <v>880</v>
      </c>
      <c r="E281">
        <v>76</v>
      </c>
      <c r="F281" t="s">
        <v>1513</v>
      </c>
    </row>
    <row r="282" spans="1:6" hidden="1" x14ac:dyDescent="0.45">
      <c r="A282" t="s">
        <v>856</v>
      </c>
      <c r="B282" t="s">
        <v>891</v>
      </c>
      <c r="C282" t="s">
        <v>858</v>
      </c>
      <c r="D282" t="s">
        <v>892</v>
      </c>
      <c r="E282">
        <v>75</v>
      </c>
      <c r="F282" t="s">
        <v>1513</v>
      </c>
    </row>
    <row r="283" spans="1:6" x14ac:dyDescent="0.45">
      <c r="A283" t="s">
        <v>893</v>
      </c>
      <c r="B283" t="s">
        <v>894</v>
      </c>
      <c r="C283" t="s">
        <v>895</v>
      </c>
      <c r="D283" t="s">
        <v>896</v>
      </c>
      <c r="E283">
        <v>81</v>
      </c>
      <c r="F283" t="s">
        <v>1512</v>
      </c>
    </row>
    <row r="284" spans="1:6" hidden="1" x14ac:dyDescent="0.45">
      <c r="A284" t="s">
        <v>897</v>
      </c>
      <c r="B284" t="s">
        <v>898</v>
      </c>
      <c r="C284" t="s">
        <v>899</v>
      </c>
      <c r="D284" t="s">
        <v>900</v>
      </c>
      <c r="E284">
        <v>79</v>
      </c>
      <c r="F284" t="s">
        <v>1513</v>
      </c>
    </row>
    <row r="285" spans="1:6" hidden="1" x14ac:dyDescent="0.45">
      <c r="A285" t="s">
        <v>901</v>
      </c>
      <c r="B285" t="s">
        <v>902</v>
      </c>
      <c r="C285" t="s">
        <v>903</v>
      </c>
      <c r="D285" t="s">
        <v>904</v>
      </c>
      <c r="E285">
        <v>83</v>
      </c>
      <c r="F285" t="s">
        <v>1513</v>
      </c>
    </row>
    <row r="286" spans="1:6" hidden="1" x14ac:dyDescent="0.45">
      <c r="A286" t="s">
        <v>905</v>
      </c>
      <c r="B286" t="s">
        <v>906</v>
      </c>
      <c r="C286" t="s">
        <v>907</v>
      </c>
      <c r="D286" t="s">
        <v>908</v>
      </c>
      <c r="E286">
        <v>75</v>
      </c>
      <c r="F286" t="s">
        <v>1513</v>
      </c>
    </row>
    <row r="287" spans="1:6" x14ac:dyDescent="0.45">
      <c r="A287" t="s">
        <v>905</v>
      </c>
      <c r="B287" t="s">
        <v>909</v>
      </c>
      <c r="C287" t="s">
        <v>907</v>
      </c>
      <c r="D287" t="s">
        <v>910</v>
      </c>
      <c r="E287">
        <v>80</v>
      </c>
      <c r="F287" t="s">
        <v>1512</v>
      </c>
    </row>
    <row r="288" spans="1:6" hidden="1" x14ac:dyDescent="0.45">
      <c r="A288" t="s">
        <v>911</v>
      </c>
      <c r="B288" t="s">
        <v>912</v>
      </c>
      <c r="C288" t="s">
        <v>913</v>
      </c>
      <c r="D288" t="s">
        <v>914</v>
      </c>
      <c r="E288">
        <v>79</v>
      </c>
      <c r="F288" t="s">
        <v>1513</v>
      </c>
    </row>
    <row r="289" spans="1:6" x14ac:dyDescent="0.45">
      <c r="A289" t="s">
        <v>915</v>
      </c>
      <c r="B289" t="s">
        <v>916</v>
      </c>
      <c r="C289" t="s">
        <v>917</v>
      </c>
      <c r="D289" t="s">
        <v>918</v>
      </c>
      <c r="E289">
        <v>92</v>
      </c>
      <c r="F289" t="s">
        <v>1512</v>
      </c>
    </row>
    <row r="290" spans="1:6" hidden="1" x14ac:dyDescent="0.45">
      <c r="A290" t="s">
        <v>853</v>
      </c>
      <c r="B290" t="s">
        <v>878</v>
      </c>
      <c r="C290" t="s">
        <v>854</v>
      </c>
      <c r="D290" t="s">
        <v>880</v>
      </c>
      <c r="E290">
        <v>77</v>
      </c>
      <c r="F290" t="s">
        <v>1513</v>
      </c>
    </row>
    <row r="291" spans="1:6" x14ac:dyDescent="0.45">
      <c r="A291" t="s">
        <v>919</v>
      </c>
      <c r="B291" t="s">
        <v>920</v>
      </c>
      <c r="C291" t="s">
        <v>921</v>
      </c>
      <c r="D291" t="s">
        <v>922</v>
      </c>
      <c r="E291">
        <v>97</v>
      </c>
      <c r="F291" t="s">
        <v>1512</v>
      </c>
    </row>
    <row r="292" spans="1:6" x14ac:dyDescent="0.45">
      <c r="A292" t="s">
        <v>923</v>
      </c>
      <c r="B292" t="s">
        <v>924</v>
      </c>
      <c r="C292" t="s">
        <v>925</v>
      </c>
      <c r="D292" t="s">
        <v>926</v>
      </c>
      <c r="E292">
        <v>93</v>
      </c>
      <c r="F292" t="s">
        <v>1512</v>
      </c>
    </row>
    <row r="293" spans="1:6" hidden="1" x14ac:dyDescent="0.45">
      <c r="A293" t="s">
        <v>927</v>
      </c>
      <c r="B293" t="s">
        <v>928</v>
      </c>
      <c r="C293" t="s">
        <v>929</v>
      </c>
      <c r="D293" t="s">
        <v>930</v>
      </c>
      <c r="E293">
        <v>75</v>
      </c>
      <c r="F293" t="s">
        <v>1513</v>
      </c>
    </row>
    <row r="294" spans="1:6" x14ac:dyDescent="0.45">
      <c r="A294" t="s">
        <v>931</v>
      </c>
      <c r="B294" t="s">
        <v>932</v>
      </c>
      <c r="C294" t="s">
        <v>933</v>
      </c>
      <c r="D294" t="s">
        <v>934</v>
      </c>
      <c r="E294">
        <v>83</v>
      </c>
      <c r="F294" t="s">
        <v>1512</v>
      </c>
    </row>
    <row r="295" spans="1:6" hidden="1" x14ac:dyDescent="0.45">
      <c r="A295" t="s">
        <v>840</v>
      </c>
      <c r="B295" t="s">
        <v>935</v>
      </c>
      <c r="C295" t="s">
        <v>842</v>
      </c>
      <c r="D295" t="s">
        <v>936</v>
      </c>
      <c r="E295">
        <v>80</v>
      </c>
      <c r="F295" t="s">
        <v>1513</v>
      </c>
    </row>
    <row r="296" spans="1:6" hidden="1" x14ac:dyDescent="0.45">
      <c r="A296" t="s">
        <v>937</v>
      </c>
      <c r="B296" t="s">
        <v>938</v>
      </c>
      <c r="C296" t="s">
        <v>939</v>
      </c>
      <c r="D296" t="s">
        <v>940</v>
      </c>
      <c r="E296">
        <v>76</v>
      </c>
      <c r="F296" t="s">
        <v>1513</v>
      </c>
    </row>
    <row r="297" spans="1:6" hidden="1" x14ac:dyDescent="0.45">
      <c r="A297" t="s">
        <v>941</v>
      </c>
      <c r="B297" t="s">
        <v>942</v>
      </c>
      <c r="C297" t="s">
        <v>943</v>
      </c>
      <c r="D297" t="s">
        <v>944</v>
      </c>
      <c r="E297">
        <v>75</v>
      </c>
      <c r="F297" t="s">
        <v>1513</v>
      </c>
    </row>
    <row r="298" spans="1:6" x14ac:dyDescent="0.45">
      <c r="A298" t="s">
        <v>945</v>
      </c>
      <c r="B298" t="s">
        <v>946</v>
      </c>
      <c r="C298" t="s">
        <v>947</v>
      </c>
      <c r="D298" t="s">
        <v>948</v>
      </c>
      <c r="E298">
        <v>86</v>
      </c>
      <c r="F298" t="s">
        <v>1512</v>
      </c>
    </row>
    <row r="299" spans="1:6" x14ac:dyDescent="0.45">
      <c r="A299" t="s">
        <v>949</v>
      </c>
      <c r="B299" t="s">
        <v>950</v>
      </c>
      <c r="C299" t="s">
        <v>951</v>
      </c>
      <c r="D299" t="s">
        <v>952</v>
      </c>
      <c r="E299">
        <v>94</v>
      </c>
      <c r="F299" t="s">
        <v>1512</v>
      </c>
    </row>
    <row r="300" spans="1:6" x14ac:dyDescent="0.45">
      <c r="A300" t="s">
        <v>949</v>
      </c>
      <c r="B300" t="s">
        <v>953</v>
      </c>
      <c r="C300" t="s">
        <v>951</v>
      </c>
      <c r="D300" t="s">
        <v>954</v>
      </c>
      <c r="E300">
        <v>91</v>
      </c>
      <c r="F300" t="s">
        <v>1512</v>
      </c>
    </row>
    <row r="301" spans="1:6" x14ac:dyDescent="0.45">
      <c r="A301" t="s">
        <v>950</v>
      </c>
      <c r="B301" t="s">
        <v>953</v>
      </c>
      <c r="C301" t="s">
        <v>952</v>
      </c>
      <c r="D301" t="s">
        <v>954</v>
      </c>
      <c r="E301">
        <v>91</v>
      </c>
      <c r="F301" t="s">
        <v>1512</v>
      </c>
    </row>
    <row r="302" spans="1:6" x14ac:dyDescent="0.45">
      <c r="A302" t="s">
        <v>955</v>
      </c>
      <c r="B302" t="s">
        <v>956</v>
      </c>
      <c r="C302" t="s">
        <v>957</v>
      </c>
      <c r="D302" t="s">
        <v>958</v>
      </c>
      <c r="E302">
        <v>86</v>
      </c>
      <c r="F302" t="s">
        <v>1512</v>
      </c>
    </row>
    <row r="303" spans="1:6" x14ac:dyDescent="0.45">
      <c r="A303" t="s">
        <v>959</v>
      </c>
      <c r="B303" t="s">
        <v>960</v>
      </c>
      <c r="C303" t="s">
        <v>961</v>
      </c>
      <c r="D303" t="s">
        <v>962</v>
      </c>
      <c r="E303">
        <v>77</v>
      </c>
      <c r="F303" t="s">
        <v>1512</v>
      </c>
    </row>
    <row r="304" spans="1:6" x14ac:dyDescent="0.45">
      <c r="A304" t="s">
        <v>959</v>
      </c>
      <c r="B304" t="s">
        <v>963</v>
      </c>
      <c r="C304" t="s">
        <v>961</v>
      </c>
      <c r="D304" t="s">
        <v>964</v>
      </c>
      <c r="E304">
        <v>91</v>
      </c>
      <c r="F304" t="s">
        <v>1512</v>
      </c>
    </row>
    <row r="305" spans="1:6" x14ac:dyDescent="0.45">
      <c r="A305" t="s">
        <v>965</v>
      </c>
      <c r="B305" t="s">
        <v>966</v>
      </c>
      <c r="C305" t="s">
        <v>967</v>
      </c>
      <c r="D305" t="s">
        <v>968</v>
      </c>
      <c r="E305">
        <v>95</v>
      </c>
      <c r="F305" t="s">
        <v>1512</v>
      </c>
    </row>
    <row r="306" spans="1:6" hidden="1" x14ac:dyDescent="0.45">
      <c r="A306" t="s">
        <v>969</v>
      </c>
      <c r="B306" t="s">
        <v>970</v>
      </c>
      <c r="C306" t="s">
        <v>971</v>
      </c>
      <c r="D306" t="s">
        <v>972</v>
      </c>
      <c r="E306">
        <v>78</v>
      </c>
      <c r="F306" t="s">
        <v>1513</v>
      </c>
    </row>
    <row r="307" spans="1:6" x14ac:dyDescent="0.45">
      <c r="A307" t="s">
        <v>973</v>
      </c>
      <c r="B307" t="s">
        <v>974</v>
      </c>
      <c r="C307" t="s">
        <v>975</v>
      </c>
      <c r="D307" t="s">
        <v>976</v>
      </c>
      <c r="E307">
        <v>95</v>
      </c>
      <c r="F307" t="s">
        <v>1512</v>
      </c>
    </row>
    <row r="308" spans="1:6" x14ac:dyDescent="0.45">
      <c r="A308" t="s">
        <v>977</v>
      </c>
      <c r="B308" t="s">
        <v>978</v>
      </c>
      <c r="C308" t="s">
        <v>979</v>
      </c>
      <c r="D308" t="s">
        <v>980</v>
      </c>
      <c r="E308">
        <v>89</v>
      </c>
      <c r="F308" t="s">
        <v>1512</v>
      </c>
    </row>
    <row r="309" spans="1:6" x14ac:dyDescent="0.45">
      <c r="A309" t="s">
        <v>981</v>
      </c>
      <c r="B309" t="s">
        <v>982</v>
      </c>
      <c r="C309" t="s">
        <v>983</v>
      </c>
      <c r="D309" t="s">
        <v>984</v>
      </c>
      <c r="E309">
        <v>92</v>
      </c>
      <c r="F309" t="s">
        <v>1512</v>
      </c>
    </row>
    <row r="310" spans="1:6" hidden="1" x14ac:dyDescent="0.45">
      <c r="A310" t="s">
        <v>981</v>
      </c>
      <c r="B310" t="s">
        <v>985</v>
      </c>
      <c r="C310" t="s">
        <v>983</v>
      </c>
      <c r="D310" t="s">
        <v>986</v>
      </c>
      <c r="E310">
        <v>92</v>
      </c>
      <c r="F310" t="s">
        <v>1513</v>
      </c>
    </row>
    <row r="311" spans="1:6" hidden="1" x14ac:dyDescent="0.45">
      <c r="A311" t="s">
        <v>981</v>
      </c>
      <c r="B311" t="s">
        <v>987</v>
      </c>
      <c r="C311" t="s">
        <v>983</v>
      </c>
      <c r="D311" t="s">
        <v>988</v>
      </c>
      <c r="E311">
        <v>83</v>
      </c>
      <c r="F311" t="s">
        <v>1513</v>
      </c>
    </row>
    <row r="312" spans="1:6" x14ac:dyDescent="0.45">
      <c r="A312" t="s">
        <v>989</v>
      </c>
      <c r="B312" t="s">
        <v>990</v>
      </c>
      <c r="C312" t="s">
        <v>991</v>
      </c>
      <c r="D312" t="s">
        <v>992</v>
      </c>
      <c r="E312">
        <v>76</v>
      </c>
      <c r="F312" t="s">
        <v>1512</v>
      </c>
    </row>
    <row r="313" spans="1:6" hidden="1" x14ac:dyDescent="0.45">
      <c r="A313" t="s">
        <v>982</v>
      </c>
      <c r="B313" t="s">
        <v>985</v>
      </c>
      <c r="C313" t="s">
        <v>984</v>
      </c>
      <c r="D313" t="s">
        <v>986</v>
      </c>
      <c r="E313">
        <v>83</v>
      </c>
      <c r="F313" t="s">
        <v>1513</v>
      </c>
    </row>
    <row r="314" spans="1:6" hidden="1" x14ac:dyDescent="0.45">
      <c r="A314" t="s">
        <v>982</v>
      </c>
      <c r="B314" t="s">
        <v>987</v>
      </c>
      <c r="C314" t="s">
        <v>984</v>
      </c>
      <c r="D314" t="s">
        <v>988</v>
      </c>
      <c r="E314">
        <v>91</v>
      </c>
      <c r="F314" t="s">
        <v>1513</v>
      </c>
    </row>
    <row r="315" spans="1:6" hidden="1" x14ac:dyDescent="0.45">
      <c r="A315" t="s">
        <v>993</v>
      </c>
      <c r="B315" t="s">
        <v>994</v>
      </c>
      <c r="C315" t="s">
        <v>995</v>
      </c>
      <c r="D315" t="s">
        <v>996</v>
      </c>
      <c r="E315">
        <v>76</v>
      </c>
      <c r="F315" t="s">
        <v>1513</v>
      </c>
    </row>
    <row r="316" spans="1:6" x14ac:dyDescent="0.45">
      <c r="A316" t="s">
        <v>997</v>
      </c>
      <c r="B316" t="s">
        <v>998</v>
      </c>
      <c r="C316" t="s">
        <v>999</v>
      </c>
      <c r="D316" t="s">
        <v>1000</v>
      </c>
      <c r="E316">
        <v>83</v>
      </c>
      <c r="F316" t="s">
        <v>1512</v>
      </c>
    </row>
    <row r="317" spans="1:6" hidden="1" x14ac:dyDescent="0.45">
      <c r="A317" t="s">
        <v>1001</v>
      </c>
      <c r="B317" t="s">
        <v>1002</v>
      </c>
      <c r="C317" t="s">
        <v>1003</v>
      </c>
      <c r="D317" t="s">
        <v>1004</v>
      </c>
      <c r="E317">
        <v>77</v>
      </c>
      <c r="F317" t="s">
        <v>1513</v>
      </c>
    </row>
    <row r="318" spans="1:6" hidden="1" x14ac:dyDescent="0.45">
      <c r="A318" t="s">
        <v>1001</v>
      </c>
      <c r="B318" t="s">
        <v>1005</v>
      </c>
      <c r="C318" t="s">
        <v>1003</v>
      </c>
      <c r="D318" t="s">
        <v>1006</v>
      </c>
      <c r="E318">
        <v>78</v>
      </c>
      <c r="F318" t="s">
        <v>1513</v>
      </c>
    </row>
    <row r="319" spans="1:6" x14ac:dyDescent="0.45">
      <c r="A319" t="s">
        <v>1007</v>
      </c>
      <c r="B319" t="s">
        <v>1008</v>
      </c>
      <c r="C319" t="s">
        <v>1009</v>
      </c>
      <c r="D319" t="s">
        <v>1010</v>
      </c>
      <c r="E319">
        <v>92</v>
      </c>
      <c r="F319" t="s">
        <v>1512</v>
      </c>
    </row>
    <row r="320" spans="1:6" hidden="1" x14ac:dyDescent="0.45">
      <c r="A320" t="s">
        <v>1011</v>
      </c>
      <c r="B320" t="s">
        <v>1012</v>
      </c>
      <c r="C320" t="s">
        <v>1013</v>
      </c>
      <c r="D320" t="s">
        <v>1014</v>
      </c>
      <c r="E320">
        <v>79</v>
      </c>
      <c r="F320" t="s">
        <v>1513</v>
      </c>
    </row>
    <row r="321" spans="1:6" hidden="1" x14ac:dyDescent="0.45">
      <c r="A321" t="s">
        <v>1015</v>
      </c>
      <c r="B321" t="s">
        <v>1016</v>
      </c>
      <c r="C321" t="s">
        <v>1017</v>
      </c>
      <c r="D321" t="s">
        <v>1018</v>
      </c>
      <c r="E321">
        <v>77</v>
      </c>
      <c r="F321" t="s">
        <v>1513</v>
      </c>
    </row>
    <row r="322" spans="1:6" x14ac:dyDescent="0.45">
      <c r="A322" t="s">
        <v>985</v>
      </c>
      <c r="B322" t="s">
        <v>987</v>
      </c>
      <c r="C322" t="s">
        <v>986</v>
      </c>
      <c r="D322" t="s">
        <v>988</v>
      </c>
      <c r="E322">
        <v>92</v>
      </c>
      <c r="F322" t="s">
        <v>1512</v>
      </c>
    </row>
    <row r="323" spans="1:6" hidden="1" x14ac:dyDescent="0.45">
      <c r="A323" t="s">
        <v>987</v>
      </c>
      <c r="B323" t="s">
        <v>1019</v>
      </c>
      <c r="C323" t="s">
        <v>988</v>
      </c>
      <c r="D323" t="s">
        <v>1020</v>
      </c>
      <c r="E323">
        <v>76</v>
      </c>
      <c r="F323" t="s">
        <v>1513</v>
      </c>
    </row>
    <row r="324" spans="1:6" x14ac:dyDescent="0.45">
      <c r="A324" t="s">
        <v>1021</v>
      </c>
      <c r="B324" t="s">
        <v>1022</v>
      </c>
      <c r="C324" t="s">
        <v>1023</v>
      </c>
      <c r="D324" t="s">
        <v>1024</v>
      </c>
      <c r="E324">
        <v>95</v>
      </c>
      <c r="F324" t="s">
        <v>1512</v>
      </c>
    </row>
    <row r="325" spans="1:6" x14ac:dyDescent="0.45">
      <c r="A325" t="s">
        <v>1022</v>
      </c>
      <c r="B325" t="s">
        <v>1025</v>
      </c>
      <c r="C325" t="s">
        <v>1024</v>
      </c>
      <c r="D325" t="s">
        <v>1026</v>
      </c>
      <c r="E325">
        <v>77</v>
      </c>
      <c r="F325" t="s">
        <v>1512</v>
      </c>
    </row>
    <row r="326" spans="1:6" x14ac:dyDescent="0.45">
      <c r="A326" t="s">
        <v>1002</v>
      </c>
      <c r="B326" t="s">
        <v>1005</v>
      </c>
      <c r="C326" t="s">
        <v>1004</v>
      </c>
      <c r="D326" t="s">
        <v>1006</v>
      </c>
      <c r="E326">
        <v>83</v>
      </c>
      <c r="F326" t="s">
        <v>1512</v>
      </c>
    </row>
    <row r="327" spans="1:6" x14ac:dyDescent="0.45">
      <c r="A327" t="s">
        <v>1027</v>
      </c>
      <c r="B327" t="s">
        <v>1028</v>
      </c>
      <c r="C327" t="s">
        <v>1029</v>
      </c>
      <c r="D327" t="s">
        <v>1030</v>
      </c>
      <c r="E327">
        <v>94</v>
      </c>
      <c r="F327" t="s">
        <v>1512</v>
      </c>
    </row>
    <row r="328" spans="1:6" x14ac:dyDescent="0.45">
      <c r="A328" t="s">
        <v>1031</v>
      </c>
      <c r="B328" t="s">
        <v>1032</v>
      </c>
      <c r="C328" t="s">
        <v>1033</v>
      </c>
      <c r="D328" t="s">
        <v>1034</v>
      </c>
      <c r="E328">
        <v>90</v>
      </c>
      <c r="F328" t="s">
        <v>1512</v>
      </c>
    </row>
    <row r="329" spans="1:6" x14ac:dyDescent="0.45">
      <c r="A329" t="s">
        <v>1035</v>
      </c>
      <c r="B329" t="s">
        <v>1036</v>
      </c>
      <c r="C329" t="s">
        <v>1037</v>
      </c>
      <c r="D329" t="s">
        <v>1038</v>
      </c>
      <c r="E329">
        <v>76</v>
      </c>
      <c r="F329" t="s">
        <v>1512</v>
      </c>
    </row>
    <row r="330" spans="1:6" x14ac:dyDescent="0.45">
      <c r="A330" t="s">
        <v>1035</v>
      </c>
      <c r="B330" t="s">
        <v>1039</v>
      </c>
      <c r="C330" t="s">
        <v>1037</v>
      </c>
      <c r="D330" t="s">
        <v>1040</v>
      </c>
      <c r="E330">
        <v>98</v>
      </c>
      <c r="F330" t="s">
        <v>1512</v>
      </c>
    </row>
    <row r="331" spans="1:6" hidden="1" x14ac:dyDescent="0.45">
      <c r="A331" t="s">
        <v>1041</v>
      </c>
      <c r="B331" t="s">
        <v>1042</v>
      </c>
      <c r="C331" t="s">
        <v>1043</v>
      </c>
      <c r="D331" t="s">
        <v>1044</v>
      </c>
      <c r="E331">
        <v>77</v>
      </c>
      <c r="F331" t="s">
        <v>1513</v>
      </c>
    </row>
    <row r="332" spans="1:6" x14ac:dyDescent="0.45">
      <c r="A332" t="s">
        <v>1045</v>
      </c>
      <c r="B332" t="s">
        <v>1046</v>
      </c>
      <c r="C332" t="s">
        <v>1047</v>
      </c>
      <c r="D332" t="s">
        <v>1048</v>
      </c>
      <c r="E332">
        <v>97</v>
      </c>
      <c r="F332" t="s">
        <v>1512</v>
      </c>
    </row>
    <row r="333" spans="1:6" x14ac:dyDescent="0.45">
      <c r="A333" t="s">
        <v>1045</v>
      </c>
      <c r="B333" t="s">
        <v>1049</v>
      </c>
      <c r="C333" t="s">
        <v>1047</v>
      </c>
      <c r="D333" t="s">
        <v>1050</v>
      </c>
      <c r="E333">
        <v>80</v>
      </c>
      <c r="F333" t="s">
        <v>1512</v>
      </c>
    </row>
    <row r="334" spans="1:6" x14ac:dyDescent="0.45">
      <c r="A334" t="s">
        <v>1051</v>
      </c>
      <c r="B334" t="s">
        <v>1042</v>
      </c>
      <c r="C334" t="s">
        <v>1052</v>
      </c>
      <c r="D334" t="s">
        <v>1044</v>
      </c>
      <c r="E334">
        <v>93</v>
      </c>
      <c r="F334" t="s">
        <v>1512</v>
      </c>
    </row>
    <row r="335" spans="1:6" x14ac:dyDescent="0.45">
      <c r="A335" t="s">
        <v>1053</v>
      </c>
      <c r="B335" t="s">
        <v>1054</v>
      </c>
      <c r="C335" t="s">
        <v>1055</v>
      </c>
      <c r="D335" t="s">
        <v>1056</v>
      </c>
      <c r="E335">
        <v>84</v>
      </c>
      <c r="F335" t="s">
        <v>1512</v>
      </c>
    </row>
    <row r="336" spans="1:6" x14ac:dyDescent="0.45">
      <c r="A336" t="s">
        <v>1046</v>
      </c>
      <c r="B336" t="s">
        <v>1049</v>
      </c>
      <c r="C336" t="s">
        <v>1048</v>
      </c>
      <c r="D336" t="s">
        <v>1050</v>
      </c>
      <c r="E336">
        <v>83</v>
      </c>
      <c r="F336" t="s">
        <v>1512</v>
      </c>
    </row>
    <row r="337" spans="1:6" x14ac:dyDescent="0.45">
      <c r="A337" t="s">
        <v>1057</v>
      </c>
      <c r="B337" t="s">
        <v>1058</v>
      </c>
      <c r="C337" t="s">
        <v>1059</v>
      </c>
      <c r="D337" t="s">
        <v>1060</v>
      </c>
      <c r="E337">
        <v>93</v>
      </c>
      <c r="F337" t="s">
        <v>1512</v>
      </c>
    </row>
    <row r="338" spans="1:6" hidden="1" x14ac:dyDescent="0.45">
      <c r="A338" t="s">
        <v>1061</v>
      </c>
      <c r="B338" t="s">
        <v>1062</v>
      </c>
      <c r="C338" t="s">
        <v>1063</v>
      </c>
      <c r="D338" t="s">
        <v>1064</v>
      </c>
      <c r="E338">
        <v>86</v>
      </c>
      <c r="F338" t="s">
        <v>1513</v>
      </c>
    </row>
    <row r="339" spans="1:6" hidden="1" x14ac:dyDescent="0.45">
      <c r="A339" t="s">
        <v>1065</v>
      </c>
      <c r="B339" t="s">
        <v>1066</v>
      </c>
      <c r="C339" t="s">
        <v>1067</v>
      </c>
      <c r="D339" t="s">
        <v>1068</v>
      </c>
      <c r="E339">
        <v>75</v>
      </c>
      <c r="F339" t="s">
        <v>1513</v>
      </c>
    </row>
    <row r="340" spans="1:6" x14ac:dyDescent="0.45">
      <c r="A340" t="s">
        <v>1069</v>
      </c>
      <c r="B340" t="s">
        <v>1070</v>
      </c>
      <c r="C340" t="s">
        <v>1071</v>
      </c>
      <c r="D340" t="s">
        <v>1072</v>
      </c>
      <c r="E340">
        <v>93</v>
      </c>
      <c r="F340" t="s">
        <v>1512</v>
      </c>
    </row>
    <row r="341" spans="1:6" x14ac:dyDescent="0.45">
      <c r="A341" t="s">
        <v>1073</v>
      </c>
      <c r="B341" t="s">
        <v>1074</v>
      </c>
      <c r="C341" t="s">
        <v>1075</v>
      </c>
      <c r="D341" t="s">
        <v>1076</v>
      </c>
      <c r="E341">
        <v>94</v>
      </c>
      <c r="F341" t="s">
        <v>1512</v>
      </c>
    </row>
    <row r="342" spans="1:6" x14ac:dyDescent="0.45">
      <c r="A342" t="s">
        <v>1077</v>
      </c>
      <c r="B342" t="s">
        <v>1078</v>
      </c>
      <c r="C342" t="s">
        <v>1079</v>
      </c>
      <c r="D342" t="s">
        <v>1080</v>
      </c>
      <c r="E342">
        <v>95</v>
      </c>
      <c r="F342" t="s">
        <v>1512</v>
      </c>
    </row>
    <row r="343" spans="1:6" hidden="1" x14ac:dyDescent="0.45">
      <c r="A343" t="s">
        <v>1081</v>
      </c>
      <c r="B343" t="s">
        <v>1082</v>
      </c>
      <c r="C343" t="s">
        <v>1083</v>
      </c>
      <c r="D343" t="s">
        <v>1084</v>
      </c>
      <c r="E343">
        <v>76</v>
      </c>
      <c r="F343" t="s">
        <v>1513</v>
      </c>
    </row>
    <row r="344" spans="1:6" x14ac:dyDescent="0.45">
      <c r="A344" t="s">
        <v>1085</v>
      </c>
      <c r="B344" t="s">
        <v>1086</v>
      </c>
      <c r="C344" t="s">
        <v>1087</v>
      </c>
      <c r="D344" t="s">
        <v>1088</v>
      </c>
      <c r="E344">
        <v>87</v>
      </c>
      <c r="F344" t="s">
        <v>1512</v>
      </c>
    </row>
    <row r="345" spans="1:6" x14ac:dyDescent="0.45">
      <c r="A345" t="s">
        <v>1089</v>
      </c>
      <c r="B345" t="s">
        <v>1090</v>
      </c>
      <c r="C345" t="s">
        <v>1091</v>
      </c>
      <c r="D345" t="s">
        <v>1092</v>
      </c>
      <c r="E345">
        <v>81</v>
      </c>
      <c r="F345" t="s">
        <v>1512</v>
      </c>
    </row>
    <row r="346" spans="1:6" hidden="1" x14ac:dyDescent="0.45">
      <c r="A346" t="s">
        <v>1093</v>
      </c>
      <c r="B346" t="s">
        <v>1094</v>
      </c>
      <c r="C346" t="s">
        <v>1095</v>
      </c>
      <c r="D346" t="s">
        <v>1096</v>
      </c>
      <c r="E346">
        <v>76</v>
      </c>
      <c r="F346" t="s">
        <v>1513</v>
      </c>
    </row>
    <row r="347" spans="1:6" x14ac:dyDescent="0.45">
      <c r="A347" t="s">
        <v>1097</v>
      </c>
      <c r="B347" t="s">
        <v>1098</v>
      </c>
      <c r="C347" t="s">
        <v>1099</v>
      </c>
      <c r="D347" t="s">
        <v>1100</v>
      </c>
      <c r="E347">
        <v>90</v>
      </c>
      <c r="F347" t="s">
        <v>1512</v>
      </c>
    </row>
    <row r="348" spans="1:6" hidden="1" x14ac:dyDescent="0.45">
      <c r="A348" t="s">
        <v>1101</v>
      </c>
      <c r="B348" t="s">
        <v>1102</v>
      </c>
      <c r="C348" t="s">
        <v>1103</v>
      </c>
      <c r="D348" t="s">
        <v>1104</v>
      </c>
      <c r="E348">
        <v>80</v>
      </c>
      <c r="F348" t="s">
        <v>1513</v>
      </c>
    </row>
    <row r="349" spans="1:6" hidden="1" x14ac:dyDescent="0.45">
      <c r="A349" t="s">
        <v>1105</v>
      </c>
      <c r="B349" t="s">
        <v>1106</v>
      </c>
      <c r="C349" t="s">
        <v>1107</v>
      </c>
      <c r="D349" t="s">
        <v>1108</v>
      </c>
      <c r="E349">
        <v>76</v>
      </c>
      <c r="F349" t="s">
        <v>1513</v>
      </c>
    </row>
    <row r="350" spans="1:6" x14ac:dyDescent="0.45">
      <c r="A350" t="s">
        <v>1109</v>
      </c>
      <c r="B350" t="s">
        <v>1110</v>
      </c>
      <c r="C350" t="s">
        <v>1111</v>
      </c>
      <c r="D350" t="s">
        <v>1112</v>
      </c>
      <c r="E350">
        <v>90</v>
      </c>
      <c r="F350" t="s">
        <v>1512</v>
      </c>
    </row>
    <row r="351" spans="1:6" x14ac:dyDescent="0.45">
      <c r="A351" t="s">
        <v>1113</v>
      </c>
      <c r="B351" t="s">
        <v>1114</v>
      </c>
      <c r="C351" t="s">
        <v>1115</v>
      </c>
      <c r="D351" t="s">
        <v>1116</v>
      </c>
      <c r="E351">
        <v>93</v>
      </c>
      <c r="F351" t="s">
        <v>1512</v>
      </c>
    </row>
    <row r="352" spans="1:6" x14ac:dyDescent="0.45">
      <c r="A352" t="s">
        <v>1117</v>
      </c>
      <c r="B352" t="s">
        <v>1118</v>
      </c>
      <c r="C352" t="s">
        <v>1119</v>
      </c>
      <c r="D352" t="s">
        <v>1120</v>
      </c>
      <c r="E352">
        <v>97</v>
      </c>
      <c r="F352" t="s">
        <v>1512</v>
      </c>
    </row>
    <row r="353" spans="1:6" x14ac:dyDescent="0.45">
      <c r="A353" t="s">
        <v>1121</v>
      </c>
      <c r="B353" t="s">
        <v>1122</v>
      </c>
      <c r="C353" t="s">
        <v>1123</v>
      </c>
      <c r="D353" t="s">
        <v>1124</v>
      </c>
      <c r="E353">
        <v>82</v>
      </c>
      <c r="F353" t="s">
        <v>1512</v>
      </c>
    </row>
    <row r="354" spans="1:6" hidden="1" x14ac:dyDescent="0.45">
      <c r="A354" t="s">
        <v>1125</v>
      </c>
      <c r="B354" t="s">
        <v>1126</v>
      </c>
      <c r="C354" t="s">
        <v>1127</v>
      </c>
      <c r="D354" t="s">
        <v>1128</v>
      </c>
      <c r="E354">
        <v>78</v>
      </c>
      <c r="F354" t="s">
        <v>1513</v>
      </c>
    </row>
    <row r="355" spans="1:6" hidden="1" x14ac:dyDescent="0.45">
      <c r="A355" t="s">
        <v>1125</v>
      </c>
      <c r="B355" t="s">
        <v>1129</v>
      </c>
      <c r="C355" t="s">
        <v>1127</v>
      </c>
      <c r="D355" t="s">
        <v>1130</v>
      </c>
      <c r="E355">
        <v>82</v>
      </c>
      <c r="F355" t="s">
        <v>1513</v>
      </c>
    </row>
    <row r="356" spans="1:6" hidden="1" x14ac:dyDescent="0.45">
      <c r="A356" t="s">
        <v>1125</v>
      </c>
      <c r="B356" t="s">
        <v>1131</v>
      </c>
      <c r="C356" t="s">
        <v>1127</v>
      </c>
      <c r="D356" t="s">
        <v>1132</v>
      </c>
      <c r="E356">
        <v>76</v>
      </c>
      <c r="F356" t="s">
        <v>1513</v>
      </c>
    </row>
    <row r="357" spans="1:6" hidden="1" x14ac:dyDescent="0.45">
      <c r="A357" t="s">
        <v>1133</v>
      </c>
      <c r="B357" t="s">
        <v>1134</v>
      </c>
      <c r="C357" t="s">
        <v>1135</v>
      </c>
      <c r="D357" t="s">
        <v>1136</v>
      </c>
      <c r="E357">
        <v>76</v>
      </c>
      <c r="F357" t="s">
        <v>1513</v>
      </c>
    </row>
    <row r="358" spans="1:6" x14ac:dyDescent="0.45">
      <c r="A358" t="s">
        <v>1137</v>
      </c>
      <c r="B358" t="s">
        <v>1138</v>
      </c>
      <c r="C358" t="s">
        <v>1139</v>
      </c>
      <c r="D358" t="s">
        <v>1140</v>
      </c>
      <c r="E358">
        <v>96</v>
      </c>
      <c r="F358" t="s">
        <v>1512</v>
      </c>
    </row>
    <row r="359" spans="1:6" hidden="1" x14ac:dyDescent="0.45">
      <c r="A359" t="s">
        <v>1141</v>
      </c>
      <c r="B359" t="s">
        <v>1142</v>
      </c>
      <c r="C359" t="s">
        <v>1143</v>
      </c>
      <c r="D359" t="s">
        <v>1144</v>
      </c>
      <c r="E359">
        <v>75</v>
      </c>
      <c r="F359" t="s">
        <v>1513</v>
      </c>
    </row>
    <row r="360" spans="1:6" hidden="1" x14ac:dyDescent="0.45">
      <c r="A360" t="s">
        <v>1145</v>
      </c>
      <c r="B360" t="s">
        <v>1146</v>
      </c>
      <c r="C360" t="s">
        <v>1147</v>
      </c>
      <c r="D360" t="s">
        <v>1148</v>
      </c>
      <c r="E360">
        <v>80</v>
      </c>
      <c r="F360" t="s">
        <v>1513</v>
      </c>
    </row>
    <row r="361" spans="1:6" hidden="1" x14ac:dyDescent="0.45">
      <c r="A361" t="s">
        <v>1149</v>
      </c>
      <c r="B361" t="s">
        <v>1150</v>
      </c>
      <c r="C361" t="s">
        <v>1151</v>
      </c>
      <c r="D361" t="s">
        <v>1152</v>
      </c>
      <c r="E361">
        <v>75</v>
      </c>
      <c r="F361" t="s">
        <v>1513</v>
      </c>
    </row>
    <row r="362" spans="1:6" hidden="1" x14ac:dyDescent="0.45">
      <c r="A362" t="s">
        <v>1153</v>
      </c>
      <c r="B362" t="s">
        <v>1154</v>
      </c>
      <c r="C362" t="s">
        <v>1155</v>
      </c>
      <c r="D362" t="s">
        <v>1156</v>
      </c>
      <c r="E362">
        <v>78</v>
      </c>
      <c r="F362" t="s">
        <v>1513</v>
      </c>
    </row>
    <row r="363" spans="1:6" hidden="1" x14ac:dyDescent="0.45">
      <c r="A363" t="s">
        <v>1129</v>
      </c>
      <c r="B363" t="s">
        <v>1131</v>
      </c>
      <c r="C363" t="s">
        <v>1130</v>
      </c>
      <c r="D363" t="s">
        <v>1132</v>
      </c>
      <c r="E363">
        <v>76</v>
      </c>
      <c r="F363" t="s">
        <v>1513</v>
      </c>
    </row>
    <row r="364" spans="1:6" hidden="1" x14ac:dyDescent="0.45">
      <c r="A364" t="s">
        <v>1157</v>
      </c>
      <c r="B364" t="s">
        <v>1158</v>
      </c>
      <c r="C364" t="s">
        <v>1159</v>
      </c>
      <c r="D364" t="s">
        <v>1160</v>
      </c>
      <c r="E364">
        <v>76</v>
      </c>
      <c r="F364" t="s">
        <v>1513</v>
      </c>
    </row>
    <row r="365" spans="1:6" x14ac:dyDescent="0.45">
      <c r="A365" t="s">
        <v>1161</v>
      </c>
      <c r="B365" t="s">
        <v>1162</v>
      </c>
      <c r="C365" t="s">
        <v>1163</v>
      </c>
      <c r="D365" t="s">
        <v>1164</v>
      </c>
      <c r="E365">
        <v>90</v>
      </c>
      <c r="F365" t="s">
        <v>1512</v>
      </c>
    </row>
    <row r="366" spans="1:6" x14ac:dyDescent="0.45">
      <c r="A366" t="s">
        <v>1165</v>
      </c>
      <c r="B366" t="s">
        <v>1166</v>
      </c>
      <c r="C366" t="s">
        <v>1167</v>
      </c>
      <c r="D366" t="s">
        <v>1168</v>
      </c>
      <c r="E366">
        <v>93</v>
      </c>
      <c r="F366" t="s">
        <v>1512</v>
      </c>
    </row>
    <row r="367" spans="1:6" hidden="1" x14ac:dyDescent="0.45">
      <c r="A367" t="s">
        <v>1169</v>
      </c>
      <c r="B367" t="s">
        <v>1170</v>
      </c>
      <c r="C367" t="s">
        <v>1171</v>
      </c>
      <c r="D367" t="s">
        <v>1172</v>
      </c>
      <c r="E367">
        <v>76</v>
      </c>
      <c r="F367" t="s">
        <v>1513</v>
      </c>
    </row>
    <row r="368" spans="1:6" hidden="1" x14ac:dyDescent="0.45">
      <c r="A368" t="s">
        <v>1173</v>
      </c>
      <c r="B368" t="s">
        <v>1174</v>
      </c>
      <c r="C368" t="s">
        <v>1175</v>
      </c>
      <c r="D368" t="s">
        <v>1176</v>
      </c>
      <c r="E368">
        <v>82</v>
      </c>
      <c r="F368" t="s">
        <v>1513</v>
      </c>
    </row>
    <row r="369" spans="1:6" hidden="1" x14ac:dyDescent="0.45">
      <c r="A369" t="s">
        <v>1177</v>
      </c>
      <c r="B369" t="s">
        <v>1178</v>
      </c>
      <c r="C369" t="s">
        <v>1179</v>
      </c>
      <c r="D369" t="s">
        <v>1180</v>
      </c>
      <c r="E369">
        <v>78</v>
      </c>
      <c r="F369" t="s">
        <v>1513</v>
      </c>
    </row>
    <row r="370" spans="1:6" hidden="1" x14ac:dyDescent="0.45">
      <c r="A370" t="s">
        <v>1181</v>
      </c>
      <c r="B370" t="s">
        <v>1182</v>
      </c>
      <c r="C370" t="s">
        <v>1183</v>
      </c>
      <c r="D370" t="s">
        <v>1184</v>
      </c>
      <c r="E370">
        <v>77</v>
      </c>
      <c r="F370" t="s">
        <v>1513</v>
      </c>
    </row>
    <row r="371" spans="1:6" hidden="1" x14ac:dyDescent="0.45">
      <c r="A371" t="s">
        <v>1181</v>
      </c>
      <c r="B371" t="s">
        <v>1178</v>
      </c>
      <c r="C371" t="s">
        <v>1183</v>
      </c>
      <c r="D371" t="s">
        <v>1180</v>
      </c>
      <c r="E371">
        <v>76</v>
      </c>
      <c r="F371" t="s">
        <v>1513</v>
      </c>
    </row>
    <row r="372" spans="1:6" hidden="1" x14ac:dyDescent="0.45">
      <c r="A372" t="s">
        <v>1185</v>
      </c>
      <c r="B372" t="s">
        <v>1186</v>
      </c>
      <c r="C372" t="s">
        <v>1187</v>
      </c>
      <c r="D372" t="s">
        <v>1188</v>
      </c>
      <c r="E372">
        <v>75</v>
      </c>
      <c r="F372" t="s">
        <v>1513</v>
      </c>
    </row>
    <row r="373" spans="1:6" x14ac:dyDescent="0.45">
      <c r="A373" t="s">
        <v>1189</v>
      </c>
      <c r="B373" t="s">
        <v>1190</v>
      </c>
      <c r="C373" t="s">
        <v>1191</v>
      </c>
      <c r="D373" t="s">
        <v>1192</v>
      </c>
      <c r="E373">
        <v>92</v>
      </c>
      <c r="F373" t="s">
        <v>1512</v>
      </c>
    </row>
    <row r="374" spans="1:6" hidden="1" x14ac:dyDescent="0.45">
      <c r="A374" t="s">
        <v>1193</v>
      </c>
      <c r="B374" t="s">
        <v>1194</v>
      </c>
      <c r="C374" t="s">
        <v>1195</v>
      </c>
      <c r="D374" t="s">
        <v>1196</v>
      </c>
      <c r="E374">
        <v>75</v>
      </c>
      <c r="F374" t="s">
        <v>1513</v>
      </c>
    </row>
    <row r="375" spans="1:6" hidden="1" x14ac:dyDescent="0.45">
      <c r="A375" t="s">
        <v>1197</v>
      </c>
      <c r="B375" t="s">
        <v>1198</v>
      </c>
      <c r="C375" t="s">
        <v>1199</v>
      </c>
      <c r="D375" t="s">
        <v>1200</v>
      </c>
      <c r="E375">
        <v>75</v>
      </c>
      <c r="F375" t="s">
        <v>1513</v>
      </c>
    </row>
    <row r="376" spans="1:6" hidden="1" x14ac:dyDescent="0.45">
      <c r="A376" t="s">
        <v>1201</v>
      </c>
      <c r="B376" t="s">
        <v>1202</v>
      </c>
      <c r="C376" t="s">
        <v>1203</v>
      </c>
      <c r="D376" t="s">
        <v>1204</v>
      </c>
      <c r="E376">
        <v>76</v>
      </c>
      <c r="F376" t="s">
        <v>1513</v>
      </c>
    </row>
    <row r="377" spans="1:6" x14ac:dyDescent="0.45">
      <c r="A377" t="s">
        <v>1205</v>
      </c>
      <c r="B377" t="s">
        <v>1206</v>
      </c>
      <c r="C377" t="s">
        <v>1207</v>
      </c>
      <c r="D377" t="s">
        <v>1208</v>
      </c>
      <c r="E377">
        <v>95</v>
      </c>
      <c r="F377" t="s">
        <v>1512</v>
      </c>
    </row>
    <row r="378" spans="1:6" x14ac:dyDescent="0.45">
      <c r="A378" t="s">
        <v>1209</v>
      </c>
      <c r="B378" t="s">
        <v>1210</v>
      </c>
      <c r="C378" t="s">
        <v>1211</v>
      </c>
      <c r="D378" t="s">
        <v>1212</v>
      </c>
      <c r="E378">
        <v>88</v>
      </c>
      <c r="F378" t="s">
        <v>1512</v>
      </c>
    </row>
    <row r="379" spans="1:6" hidden="1" x14ac:dyDescent="0.45">
      <c r="A379" t="s">
        <v>1213</v>
      </c>
      <c r="B379" t="s">
        <v>1194</v>
      </c>
      <c r="C379" t="s">
        <v>1214</v>
      </c>
      <c r="D379" t="s">
        <v>1196</v>
      </c>
      <c r="E379">
        <v>75</v>
      </c>
      <c r="F379" t="s">
        <v>1513</v>
      </c>
    </row>
    <row r="380" spans="1:6" hidden="1" x14ac:dyDescent="0.45">
      <c r="A380" t="s">
        <v>1215</v>
      </c>
      <c r="B380" t="s">
        <v>1216</v>
      </c>
      <c r="C380" t="s">
        <v>1217</v>
      </c>
      <c r="D380" t="s">
        <v>1218</v>
      </c>
      <c r="E380">
        <v>80</v>
      </c>
      <c r="F380" t="s">
        <v>1513</v>
      </c>
    </row>
    <row r="381" spans="1:6" x14ac:dyDescent="0.45">
      <c r="A381" t="s">
        <v>1219</v>
      </c>
      <c r="B381" t="s">
        <v>1220</v>
      </c>
      <c r="C381" t="s">
        <v>1221</v>
      </c>
      <c r="D381" t="s">
        <v>1222</v>
      </c>
      <c r="E381">
        <v>87</v>
      </c>
      <c r="F381" t="s">
        <v>1512</v>
      </c>
    </row>
    <row r="382" spans="1:6" x14ac:dyDescent="0.45">
      <c r="A382" t="s">
        <v>1223</v>
      </c>
      <c r="B382" t="s">
        <v>1224</v>
      </c>
      <c r="C382" t="s">
        <v>1225</v>
      </c>
      <c r="D382" t="s">
        <v>1226</v>
      </c>
      <c r="E382">
        <v>98</v>
      </c>
      <c r="F382" t="s">
        <v>1512</v>
      </c>
    </row>
    <row r="383" spans="1:6" x14ac:dyDescent="0.45">
      <c r="A383" t="s">
        <v>1227</v>
      </c>
      <c r="B383" t="s">
        <v>1228</v>
      </c>
      <c r="C383" t="s">
        <v>1229</v>
      </c>
      <c r="D383" t="s">
        <v>1230</v>
      </c>
      <c r="E383">
        <v>80</v>
      </c>
      <c r="F383" t="s">
        <v>1512</v>
      </c>
    </row>
    <row r="384" spans="1:6" x14ac:dyDescent="0.45">
      <c r="A384" t="s">
        <v>1231</v>
      </c>
      <c r="B384" t="s">
        <v>1228</v>
      </c>
      <c r="C384" t="s">
        <v>1232</v>
      </c>
      <c r="D384" t="s">
        <v>1230</v>
      </c>
      <c r="E384">
        <v>94</v>
      </c>
      <c r="F384" t="s">
        <v>1512</v>
      </c>
    </row>
    <row r="385" spans="1:6" x14ac:dyDescent="0.45">
      <c r="A385" t="s">
        <v>1233</v>
      </c>
      <c r="B385" t="s">
        <v>1186</v>
      </c>
      <c r="C385" t="s">
        <v>1234</v>
      </c>
      <c r="D385" t="s">
        <v>1188</v>
      </c>
      <c r="E385">
        <v>90</v>
      </c>
      <c r="F385" t="s">
        <v>1512</v>
      </c>
    </row>
    <row r="386" spans="1:6" hidden="1" x14ac:dyDescent="0.45">
      <c r="A386" t="s">
        <v>1235</v>
      </c>
      <c r="B386" t="s">
        <v>1236</v>
      </c>
      <c r="C386" t="s">
        <v>1237</v>
      </c>
      <c r="D386" t="s">
        <v>1238</v>
      </c>
      <c r="E386">
        <v>87</v>
      </c>
      <c r="F386" t="s">
        <v>1513</v>
      </c>
    </row>
    <row r="387" spans="1:6" x14ac:dyDescent="0.45">
      <c r="A387" t="s">
        <v>1239</v>
      </c>
      <c r="B387" t="s">
        <v>1240</v>
      </c>
      <c r="C387" t="s">
        <v>1241</v>
      </c>
      <c r="D387" t="s">
        <v>1242</v>
      </c>
      <c r="E387">
        <v>84</v>
      </c>
      <c r="F387" t="s">
        <v>1512</v>
      </c>
    </row>
    <row r="388" spans="1:6" hidden="1" x14ac:dyDescent="0.45">
      <c r="A388" t="s">
        <v>1243</v>
      </c>
      <c r="B388" t="s">
        <v>1244</v>
      </c>
      <c r="C388" t="s">
        <v>1245</v>
      </c>
      <c r="D388" t="s">
        <v>1246</v>
      </c>
      <c r="E388">
        <v>76</v>
      </c>
      <c r="F388" t="s">
        <v>1513</v>
      </c>
    </row>
    <row r="389" spans="1:6" x14ac:dyDescent="0.45">
      <c r="A389" t="s">
        <v>1247</v>
      </c>
      <c r="B389" t="s">
        <v>1248</v>
      </c>
      <c r="C389" t="s">
        <v>1249</v>
      </c>
      <c r="D389" t="s">
        <v>1250</v>
      </c>
      <c r="E389">
        <v>75</v>
      </c>
      <c r="F389" t="s">
        <v>1512</v>
      </c>
    </row>
    <row r="390" spans="1:6" x14ac:dyDescent="0.45">
      <c r="A390" t="s">
        <v>1251</v>
      </c>
      <c r="B390" t="s">
        <v>1252</v>
      </c>
      <c r="C390" t="s">
        <v>1253</v>
      </c>
      <c r="D390" t="s">
        <v>1254</v>
      </c>
      <c r="E390">
        <v>94</v>
      </c>
      <c r="F390" t="s">
        <v>1512</v>
      </c>
    </row>
    <row r="391" spans="1:6" hidden="1" x14ac:dyDescent="0.45">
      <c r="A391" t="s">
        <v>1255</v>
      </c>
      <c r="B391" t="s">
        <v>1256</v>
      </c>
      <c r="C391" t="s">
        <v>1257</v>
      </c>
      <c r="D391" t="s">
        <v>1258</v>
      </c>
      <c r="E391">
        <v>78</v>
      </c>
      <c r="F391" t="s">
        <v>1513</v>
      </c>
    </row>
    <row r="392" spans="1:6" hidden="1" x14ac:dyDescent="0.45">
      <c r="A392" t="s">
        <v>1244</v>
      </c>
      <c r="B392" t="s">
        <v>1259</v>
      </c>
      <c r="C392" t="s">
        <v>1246</v>
      </c>
      <c r="D392" t="s">
        <v>1260</v>
      </c>
      <c r="E392">
        <v>76</v>
      </c>
      <c r="F392" t="s">
        <v>1513</v>
      </c>
    </row>
    <row r="393" spans="1:6" x14ac:dyDescent="0.45">
      <c r="A393" t="s">
        <v>1261</v>
      </c>
      <c r="B393" t="s">
        <v>1262</v>
      </c>
      <c r="C393" t="s">
        <v>1263</v>
      </c>
      <c r="D393" t="s">
        <v>1264</v>
      </c>
      <c r="E393">
        <v>85</v>
      </c>
      <c r="F393" t="s">
        <v>1512</v>
      </c>
    </row>
    <row r="394" spans="1:6" hidden="1" x14ac:dyDescent="0.45">
      <c r="A394" t="s">
        <v>1265</v>
      </c>
      <c r="B394" t="s">
        <v>1266</v>
      </c>
      <c r="C394" t="s">
        <v>1267</v>
      </c>
      <c r="D394" t="s">
        <v>1268</v>
      </c>
      <c r="E394">
        <v>82</v>
      </c>
      <c r="F394" t="s">
        <v>1513</v>
      </c>
    </row>
    <row r="395" spans="1:6" hidden="1" x14ac:dyDescent="0.45">
      <c r="A395" t="s">
        <v>1269</v>
      </c>
      <c r="B395" t="s">
        <v>1270</v>
      </c>
      <c r="C395" t="s">
        <v>1271</v>
      </c>
      <c r="D395" t="s">
        <v>1272</v>
      </c>
      <c r="E395">
        <v>84</v>
      </c>
      <c r="F395" t="s">
        <v>1513</v>
      </c>
    </row>
    <row r="396" spans="1:6" x14ac:dyDescent="0.45">
      <c r="A396" t="s">
        <v>1273</v>
      </c>
      <c r="B396" t="s">
        <v>1274</v>
      </c>
      <c r="C396" t="s">
        <v>1275</v>
      </c>
      <c r="D396" t="s">
        <v>1276</v>
      </c>
      <c r="E396">
        <v>91</v>
      </c>
      <c r="F396" t="s">
        <v>1512</v>
      </c>
    </row>
    <row r="397" spans="1:6" hidden="1" x14ac:dyDescent="0.45">
      <c r="A397" t="s">
        <v>1277</v>
      </c>
      <c r="B397" t="s">
        <v>1278</v>
      </c>
      <c r="C397" t="s">
        <v>1279</v>
      </c>
      <c r="D397" t="s">
        <v>1280</v>
      </c>
      <c r="E397">
        <v>77</v>
      </c>
      <c r="F397" t="s">
        <v>1513</v>
      </c>
    </row>
    <row r="398" spans="1:6" x14ac:dyDescent="0.45">
      <c r="A398" t="s">
        <v>1281</v>
      </c>
      <c r="B398" t="s">
        <v>1282</v>
      </c>
      <c r="C398" t="s">
        <v>1283</v>
      </c>
      <c r="D398" t="s">
        <v>1284</v>
      </c>
      <c r="E398">
        <v>85</v>
      </c>
      <c r="F398" t="s">
        <v>1512</v>
      </c>
    </row>
    <row r="399" spans="1:6" hidden="1" x14ac:dyDescent="0.45">
      <c r="A399" t="s">
        <v>1285</v>
      </c>
      <c r="B399" t="s">
        <v>1286</v>
      </c>
      <c r="C399" t="s">
        <v>1287</v>
      </c>
      <c r="D399" t="s">
        <v>1288</v>
      </c>
      <c r="E399">
        <v>82</v>
      </c>
      <c r="F399" t="s">
        <v>1513</v>
      </c>
    </row>
    <row r="400" spans="1:6" hidden="1" x14ac:dyDescent="0.45">
      <c r="A400" t="s">
        <v>1289</v>
      </c>
      <c r="B400" t="s">
        <v>1290</v>
      </c>
      <c r="C400" t="s">
        <v>1291</v>
      </c>
      <c r="D400" t="s">
        <v>1292</v>
      </c>
      <c r="E400">
        <v>77</v>
      </c>
      <c r="F400" t="s">
        <v>1513</v>
      </c>
    </row>
    <row r="401" spans="1:6" x14ac:dyDescent="0.45">
      <c r="A401" t="s">
        <v>1293</v>
      </c>
      <c r="B401" t="s">
        <v>1294</v>
      </c>
      <c r="C401" t="s">
        <v>1295</v>
      </c>
      <c r="D401" t="s">
        <v>1296</v>
      </c>
      <c r="E401">
        <v>78</v>
      </c>
      <c r="F401" t="s">
        <v>1512</v>
      </c>
    </row>
    <row r="402" spans="1:6" hidden="1" x14ac:dyDescent="0.45">
      <c r="A402" t="s">
        <v>1293</v>
      </c>
      <c r="B402" t="s">
        <v>1297</v>
      </c>
      <c r="C402" t="s">
        <v>1295</v>
      </c>
      <c r="D402" t="s">
        <v>1298</v>
      </c>
      <c r="E402">
        <v>77</v>
      </c>
      <c r="F402" t="s">
        <v>1513</v>
      </c>
    </row>
    <row r="403" spans="1:6" hidden="1" x14ac:dyDescent="0.45">
      <c r="A403" t="s">
        <v>1299</v>
      </c>
      <c r="B403" t="s">
        <v>1300</v>
      </c>
      <c r="C403" t="s">
        <v>1301</v>
      </c>
      <c r="D403" t="s">
        <v>1302</v>
      </c>
      <c r="E403">
        <v>86</v>
      </c>
      <c r="F403" t="s">
        <v>1513</v>
      </c>
    </row>
    <row r="404" spans="1:6" hidden="1" x14ac:dyDescent="0.45">
      <c r="A404" t="s">
        <v>1303</v>
      </c>
      <c r="B404" t="s">
        <v>1304</v>
      </c>
      <c r="C404" t="s">
        <v>1305</v>
      </c>
      <c r="D404" t="s">
        <v>1306</v>
      </c>
      <c r="E404">
        <v>77</v>
      </c>
      <c r="F404" t="s">
        <v>1513</v>
      </c>
    </row>
    <row r="405" spans="1:6" hidden="1" x14ac:dyDescent="0.45">
      <c r="A405" t="s">
        <v>1307</v>
      </c>
      <c r="B405" t="s">
        <v>1308</v>
      </c>
      <c r="C405" t="s">
        <v>1309</v>
      </c>
      <c r="D405" t="s">
        <v>1310</v>
      </c>
      <c r="E405">
        <v>77</v>
      </c>
      <c r="F405" t="s">
        <v>1513</v>
      </c>
    </row>
    <row r="406" spans="1:6" hidden="1" x14ac:dyDescent="0.45">
      <c r="A406" t="s">
        <v>1307</v>
      </c>
      <c r="B406" t="s">
        <v>1311</v>
      </c>
      <c r="C406" t="s">
        <v>1309</v>
      </c>
      <c r="D406" t="s">
        <v>1312</v>
      </c>
      <c r="E406">
        <v>77</v>
      </c>
      <c r="F406" t="s">
        <v>1513</v>
      </c>
    </row>
    <row r="407" spans="1:6" hidden="1" x14ac:dyDescent="0.45">
      <c r="A407" t="s">
        <v>1307</v>
      </c>
      <c r="B407" t="s">
        <v>1313</v>
      </c>
      <c r="C407" t="s">
        <v>1309</v>
      </c>
      <c r="D407" t="s">
        <v>1314</v>
      </c>
      <c r="E407">
        <v>77</v>
      </c>
      <c r="F407" t="s">
        <v>1513</v>
      </c>
    </row>
    <row r="408" spans="1:6" hidden="1" x14ac:dyDescent="0.45">
      <c r="A408" t="s">
        <v>1307</v>
      </c>
      <c r="B408" t="s">
        <v>1315</v>
      </c>
      <c r="C408" t="s">
        <v>1309</v>
      </c>
      <c r="D408" t="s">
        <v>1316</v>
      </c>
      <c r="E408">
        <v>77</v>
      </c>
      <c r="F408" t="s">
        <v>1513</v>
      </c>
    </row>
    <row r="409" spans="1:6" hidden="1" x14ac:dyDescent="0.45">
      <c r="A409" t="s">
        <v>1307</v>
      </c>
      <c r="B409" t="s">
        <v>1317</v>
      </c>
      <c r="C409" t="s">
        <v>1309</v>
      </c>
      <c r="D409" t="s">
        <v>1318</v>
      </c>
      <c r="E409">
        <v>77</v>
      </c>
      <c r="F409" t="s">
        <v>1513</v>
      </c>
    </row>
    <row r="410" spans="1:6" hidden="1" x14ac:dyDescent="0.45">
      <c r="A410" t="s">
        <v>1307</v>
      </c>
      <c r="B410" t="s">
        <v>1319</v>
      </c>
      <c r="C410" t="s">
        <v>1309</v>
      </c>
      <c r="D410" t="s">
        <v>1320</v>
      </c>
      <c r="E410">
        <v>86</v>
      </c>
      <c r="F410" t="s">
        <v>1513</v>
      </c>
    </row>
    <row r="411" spans="1:6" hidden="1" x14ac:dyDescent="0.45">
      <c r="A411" t="s">
        <v>1307</v>
      </c>
      <c r="B411" t="s">
        <v>1321</v>
      </c>
      <c r="C411" t="s">
        <v>1309</v>
      </c>
      <c r="D411" t="s">
        <v>1322</v>
      </c>
      <c r="E411">
        <v>82</v>
      </c>
      <c r="F411" t="s">
        <v>1513</v>
      </c>
    </row>
    <row r="412" spans="1:6" hidden="1" x14ac:dyDescent="0.45">
      <c r="A412" t="s">
        <v>1307</v>
      </c>
      <c r="B412" t="s">
        <v>1323</v>
      </c>
      <c r="C412" t="s">
        <v>1309</v>
      </c>
      <c r="D412" t="s">
        <v>1324</v>
      </c>
      <c r="E412">
        <v>80</v>
      </c>
      <c r="F412" t="s">
        <v>1513</v>
      </c>
    </row>
    <row r="413" spans="1:6" hidden="1" x14ac:dyDescent="0.45">
      <c r="A413" t="s">
        <v>1325</v>
      </c>
      <c r="B413" t="s">
        <v>1326</v>
      </c>
      <c r="C413" t="s">
        <v>1327</v>
      </c>
      <c r="D413" t="s">
        <v>1328</v>
      </c>
      <c r="E413">
        <v>81</v>
      </c>
      <c r="F413" t="s">
        <v>1513</v>
      </c>
    </row>
    <row r="414" spans="1:6" x14ac:dyDescent="0.45">
      <c r="A414" t="s">
        <v>1329</v>
      </c>
      <c r="B414" t="s">
        <v>1330</v>
      </c>
      <c r="C414" t="s">
        <v>1331</v>
      </c>
      <c r="D414" t="s">
        <v>1332</v>
      </c>
      <c r="E414">
        <v>92</v>
      </c>
      <c r="F414" t="s">
        <v>1512</v>
      </c>
    </row>
    <row r="415" spans="1:6" hidden="1" x14ac:dyDescent="0.45">
      <c r="A415" t="s">
        <v>1333</v>
      </c>
      <c r="B415" t="s">
        <v>1334</v>
      </c>
      <c r="C415" t="s">
        <v>1335</v>
      </c>
      <c r="D415" t="s">
        <v>1336</v>
      </c>
      <c r="E415">
        <v>80</v>
      </c>
      <c r="F415" t="s">
        <v>1513</v>
      </c>
    </row>
    <row r="416" spans="1:6" hidden="1" x14ac:dyDescent="0.45">
      <c r="A416" t="s">
        <v>1333</v>
      </c>
      <c r="B416" t="s">
        <v>1337</v>
      </c>
      <c r="C416" t="s">
        <v>1335</v>
      </c>
      <c r="D416" t="s">
        <v>1338</v>
      </c>
      <c r="E416">
        <v>76</v>
      </c>
      <c r="F416" t="s">
        <v>1513</v>
      </c>
    </row>
    <row r="417" spans="1:6" hidden="1" x14ac:dyDescent="0.45">
      <c r="A417" t="s">
        <v>1333</v>
      </c>
      <c r="B417" t="s">
        <v>1313</v>
      </c>
      <c r="C417" t="s">
        <v>1335</v>
      </c>
      <c r="D417" t="s">
        <v>1314</v>
      </c>
      <c r="E417">
        <v>80</v>
      </c>
      <c r="F417" t="s">
        <v>1513</v>
      </c>
    </row>
    <row r="418" spans="1:6" hidden="1" x14ac:dyDescent="0.45">
      <c r="A418" t="s">
        <v>1333</v>
      </c>
      <c r="B418" t="s">
        <v>1319</v>
      </c>
      <c r="C418" t="s">
        <v>1335</v>
      </c>
      <c r="D418" t="s">
        <v>1320</v>
      </c>
      <c r="E418">
        <v>75</v>
      </c>
      <c r="F418" t="s">
        <v>1513</v>
      </c>
    </row>
    <row r="419" spans="1:6" hidden="1" x14ac:dyDescent="0.45">
      <c r="A419" t="s">
        <v>1339</v>
      </c>
      <c r="B419" t="s">
        <v>1323</v>
      </c>
      <c r="C419" t="s">
        <v>1340</v>
      </c>
      <c r="D419" t="s">
        <v>1324</v>
      </c>
      <c r="E419">
        <v>78</v>
      </c>
      <c r="F419" t="s">
        <v>1513</v>
      </c>
    </row>
    <row r="420" spans="1:6" hidden="1" x14ac:dyDescent="0.45">
      <c r="A420" t="s">
        <v>1339</v>
      </c>
      <c r="B420" t="s">
        <v>1341</v>
      </c>
      <c r="C420" t="s">
        <v>1340</v>
      </c>
      <c r="D420" t="s">
        <v>1342</v>
      </c>
      <c r="E420">
        <v>95</v>
      </c>
      <c r="F420" t="s">
        <v>1513</v>
      </c>
    </row>
    <row r="421" spans="1:6" x14ac:dyDescent="0.45">
      <c r="A421" t="s">
        <v>1343</v>
      </c>
      <c r="B421" t="s">
        <v>1344</v>
      </c>
      <c r="C421" t="s">
        <v>1345</v>
      </c>
      <c r="D421" t="s">
        <v>1346</v>
      </c>
      <c r="E421">
        <v>78</v>
      </c>
      <c r="F421" t="s">
        <v>1512</v>
      </c>
    </row>
    <row r="422" spans="1:6" hidden="1" x14ac:dyDescent="0.45">
      <c r="A422" t="s">
        <v>1347</v>
      </c>
      <c r="B422" t="s">
        <v>1348</v>
      </c>
      <c r="C422" t="s">
        <v>1349</v>
      </c>
      <c r="D422" t="s">
        <v>1350</v>
      </c>
      <c r="E422">
        <v>77</v>
      </c>
      <c r="F422" t="s">
        <v>1513</v>
      </c>
    </row>
    <row r="423" spans="1:6" hidden="1" x14ac:dyDescent="0.45">
      <c r="A423" t="s">
        <v>1334</v>
      </c>
      <c r="B423" t="s">
        <v>1319</v>
      </c>
      <c r="C423" t="s">
        <v>1336</v>
      </c>
      <c r="D423" t="s">
        <v>1320</v>
      </c>
      <c r="E423">
        <v>78</v>
      </c>
      <c r="F423" t="s">
        <v>1513</v>
      </c>
    </row>
    <row r="424" spans="1:6" hidden="1" x14ac:dyDescent="0.45">
      <c r="A424" t="s">
        <v>1334</v>
      </c>
      <c r="B424" t="s">
        <v>1351</v>
      </c>
      <c r="C424" t="s">
        <v>1336</v>
      </c>
      <c r="D424" t="s">
        <v>1352</v>
      </c>
      <c r="E424">
        <v>75</v>
      </c>
      <c r="F424" t="s">
        <v>1513</v>
      </c>
    </row>
    <row r="425" spans="1:6" hidden="1" x14ac:dyDescent="0.45">
      <c r="A425" t="s">
        <v>1353</v>
      </c>
      <c r="B425" t="s">
        <v>1348</v>
      </c>
      <c r="C425" t="s">
        <v>1354</v>
      </c>
      <c r="D425" t="s">
        <v>1350</v>
      </c>
      <c r="E425">
        <v>77</v>
      </c>
      <c r="F425" t="s">
        <v>1513</v>
      </c>
    </row>
    <row r="426" spans="1:6" hidden="1" x14ac:dyDescent="0.45">
      <c r="A426" t="s">
        <v>1355</v>
      </c>
      <c r="B426" t="s">
        <v>1356</v>
      </c>
      <c r="C426" t="s">
        <v>1357</v>
      </c>
      <c r="D426" t="s">
        <v>1358</v>
      </c>
      <c r="E426">
        <v>85</v>
      </c>
      <c r="F426" t="s">
        <v>1513</v>
      </c>
    </row>
    <row r="427" spans="1:6" x14ac:dyDescent="0.45">
      <c r="A427" t="s">
        <v>1337</v>
      </c>
      <c r="B427" t="s">
        <v>1359</v>
      </c>
      <c r="C427" t="s">
        <v>1338</v>
      </c>
      <c r="D427" t="s">
        <v>1360</v>
      </c>
      <c r="E427">
        <v>80</v>
      </c>
      <c r="F427" t="s">
        <v>1512</v>
      </c>
    </row>
    <row r="428" spans="1:6" hidden="1" x14ac:dyDescent="0.45">
      <c r="A428" t="s">
        <v>1361</v>
      </c>
      <c r="B428" t="s">
        <v>1362</v>
      </c>
      <c r="C428" t="s">
        <v>1363</v>
      </c>
      <c r="D428" t="s">
        <v>1364</v>
      </c>
      <c r="E428">
        <v>80</v>
      </c>
      <c r="F428" t="s">
        <v>1513</v>
      </c>
    </row>
    <row r="429" spans="1:6" hidden="1" x14ac:dyDescent="0.45">
      <c r="A429" t="s">
        <v>1365</v>
      </c>
      <c r="B429" t="s">
        <v>1366</v>
      </c>
      <c r="C429" t="s">
        <v>1367</v>
      </c>
      <c r="D429" t="s">
        <v>1368</v>
      </c>
      <c r="E429">
        <v>80</v>
      </c>
      <c r="F429" t="s">
        <v>1513</v>
      </c>
    </row>
    <row r="430" spans="1:6" hidden="1" x14ac:dyDescent="0.45">
      <c r="A430" t="s">
        <v>1369</v>
      </c>
      <c r="B430" t="s">
        <v>1370</v>
      </c>
      <c r="C430" t="s">
        <v>1371</v>
      </c>
      <c r="D430" t="s">
        <v>1372</v>
      </c>
      <c r="E430">
        <v>83</v>
      </c>
      <c r="F430" t="s">
        <v>1513</v>
      </c>
    </row>
    <row r="431" spans="1:6" x14ac:dyDescent="0.45">
      <c r="A431" t="s">
        <v>1373</v>
      </c>
      <c r="B431" t="s">
        <v>1374</v>
      </c>
      <c r="C431" t="s">
        <v>1375</v>
      </c>
      <c r="D431" t="s">
        <v>1376</v>
      </c>
      <c r="E431">
        <v>89</v>
      </c>
      <c r="F431" t="s">
        <v>1512</v>
      </c>
    </row>
    <row r="432" spans="1:6" hidden="1" x14ac:dyDescent="0.45">
      <c r="A432" t="s">
        <v>1308</v>
      </c>
      <c r="B432" t="s">
        <v>1311</v>
      </c>
      <c r="C432" t="s">
        <v>1310</v>
      </c>
      <c r="D432" t="s">
        <v>1312</v>
      </c>
      <c r="E432">
        <v>83</v>
      </c>
      <c r="F432" t="s">
        <v>1513</v>
      </c>
    </row>
    <row r="433" spans="1:6" hidden="1" x14ac:dyDescent="0.45">
      <c r="A433" t="s">
        <v>1308</v>
      </c>
      <c r="B433" t="s">
        <v>1313</v>
      </c>
      <c r="C433" t="s">
        <v>1310</v>
      </c>
      <c r="D433" t="s">
        <v>1314</v>
      </c>
      <c r="E433">
        <v>83</v>
      </c>
      <c r="F433" t="s">
        <v>1513</v>
      </c>
    </row>
    <row r="434" spans="1:6" hidden="1" x14ac:dyDescent="0.45">
      <c r="A434" t="s">
        <v>1308</v>
      </c>
      <c r="B434" t="s">
        <v>1315</v>
      </c>
      <c r="C434" t="s">
        <v>1310</v>
      </c>
      <c r="D434" t="s">
        <v>1316</v>
      </c>
      <c r="E434">
        <v>83</v>
      </c>
      <c r="F434" t="s">
        <v>1513</v>
      </c>
    </row>
    <row r="435" spans="1:6" hidden="1" x14ac:dyDescent="0.45">
      <c r="A435" t="s">
        <v>1308</v>
      </c>
      <c r="B435" t="s">
        <v>1317</v>
      </c>
      <c r="C435" t="s">
        <v>1310</v>
      </c>
      <c r="D435" t="s">
        <v>1318</v>
      </c>
      <c r="E435">
        <v>83</v>
      </c>
      <c r="F435" t="s">
        <v>1513</v>
      </c>
    </row>
    <row r="436" spans="1:6" hidden="1" x14ac:dyDescent="0.45">
      <c r="A436" t="s">
        <v>1308</v>
      </c>
      <c r="B436" t="s">
        <v>1319</v>
      </c>
      <c r="C436" t="s">
        <v>1310</v>
      </c>
      <c r="D436" t="s">
        <v>1320</v>
      </c>
      <c r="E436">
        <v>77</v>
      </c>
      <c r="F436" t="s">
        <v>1513</v>
      </c>
    </row>
    <row r="437" spans="1:6" hidden="1" x14ac:dyDescent="0.45">
      <c r="A437" t="s">
        <v>1308</v>
      </c>
      <c r="B437" t="s">
        <v>1377</v>
      </c>
      <c r="C437" t="s">
        <v>1310</v>
      </c>
      <c r="D437" t="s">
        <v>1378</v>
      </c>
      <c r="E437">
        <v>77</v>
      </c>
      <c r="F437" t="s">
        <v>1513</v>
      </c>
    </row>
    <row r="438" spans="1:6" hidden="1" x14ac:dyDescent="0.45">
      <c r="A438" t="s">
        <v>1379</v>
      </c>
      <c r="B438" t="s">
        <v>1380</v>
      </c>
      <c r="C438" t="s">
        <v>1381</v>
      </c>
      <c r="D438" t="s">
        <v>1382</v>
      </c>
      <c r="E438">
        <v>82</v>
      </c>
      <c r="F438" t="s">
        <v>1513</v>
      </c>
    </row>
    <row r="439" spans="1:6" hidden="1" x14ac:dyDescent="0.45">
      <c r="A439" t="s">
        <v>1311</v>
      </c>
      <c r="B439" t="s">
        <v>1313</v>
      </c>
      <c r="C439" t="s">
        <v>1312</v>
      </c>
      <c r="D439" t="s">
        <v>1314</v>
      </c>
      <c r="E439">
        <v>83</v>
      </c>
      <c r="F439" t="s">
        <v>1513</v>
      </c>
    </row>
    <row r="440" spans="1:6" hidden="1" x14ac:dyDescent="0.45">
      <c r="A440" t="s">
        <v>1311</v>
      </c>
      <c r="B440" t="s">
        <v>1315</v>
      </c>
      <c r="C440" t="s">
        <v>1312</v>
      </c>
      <c r="D440" t="s">
        <v>1316</v>
      </c>
      <c r="E440">
        <v>83</v>
      </c>
      <c r="F440" t="s">
        <v>1513</v>
      </c>
    </row>
    <row r="441" spans="1:6" hidden="1" x14ac:dyDescent="0.45">
      <c r="A441" t="s">
        <v>1311</v>
      </c>
      <c r="B441" t="s">
        <v>1317</v>
      </c>
      <c r="C441" t="s">
        <v>1312</v>
      </c>
      <c r="D441" t="s">
        <v>1318</v>
      </c>
      <c r="E441">
        <v>83</v>
      </c>
      <c r="F441" t="s">
        <v>1513</v>
      </c>
    </row>
    <row r="442" spans="1:6" hidden="1" x14ac:dyDescent="0.45">
      <c r="A442" t="s">
        <v>1311</v>
      </c>
      <c r="B442" t="s">
        <v>1319</v>
      </c>
      <c r="C442" t="s">
        <v>1312</v>
      </c>
      <c r="D442" t="s">
        <v>1320</v>
      </c>
      <c r="E442">
        <v>77</v>
      </c>
      <c r="F442" t="s">
        <v>1513</v>
      </c>
    </row>
    <row r="443" spans="1:6" x14ac:dyDescent="0.45">
      <c r="A443" t="s">
        <v>1311</v>
      </c>
      <c r="B443" t="s">
        <v>1321</v>
      </c>
      <c r="C443" t="s">
        <v>1312</v>
      </c>
      <c r="D443" t="s">
        <v>1322</v>
      </c>
      <c r="E443">
        <v>75</v>
      </c>
      <c r="F443" t="s">
        <v>1512</v>
      </c>
    </row>
    <row r="444" spans="1:6" hidden="1" x14ac:dyDescent="0.45">
      <c r="A444" t="s">
        <v>1311</v>
      </c>
      <c r="B444" t="s">
        <v>1377</v>
      </c>
      <c r="C444" t="s">
        <v>1312</v>
      </c>
      <c r="D444" t="s">
        <v>1378</v>
      </c>
      <c r="E444">
        <v>77</v>
      </c>
      <c r="F444" t="s">
        <v>1513</v>
      </c>
    </row>
    <row r="445" spans="1:6" hidden="1" x14ac:dyDescent="0.45">
      <c r="A445" t="s">
        <v>1313</v>
      </c>
      <c r="B445" t="s">
        <v>1315</v>
      </c>
      <c r="C445" t="s">
        <v>1314</v>
      </c>
      <c r="D445" t="s">
        <v>1316</v>
      </c>
      <c r="E445">
        <v>83</v>
      </c>
      <c r="F445" t="s">
        <v>1513</v>
      </c>
    </row>
    <row r="446" spans="1:6" hidden="1" x14ac:dyDescent="0.45">
      <c r="A446" t="s">
        <v>1313</v>
      </c>
      <c r="B446" t="s">
        <v>1317</v>
      </c>
      <c r="C446" t="s">
        <v>1314</v>
      </c>
      <c r="D446" t="s">
        <v>1318</v>
      </c>
      <c r="E446">
        <v>83</v>
      </c>
      <c r="F446" t="s">
        <v>1513</v>
      </c>
    </row>
    <row r="447" spans="1:6" hidden="1" x14ac:dyDescent="0.45">
      <c r="A447" t="s">
        <v>1313</v>
      </c>
      <c r="B447" t="s">
        <v>1319</v>
      </c>
      <c r="C447" t="s">
        <v>1314</v>
      </c>
      <c r="D447" t="s">
        <v>1320</v>
      </c>
      <c r="E447">
        <v>77</v>
      </c>
      <c r="F447" t="s">
        <v>1513</v>
      </c>
    </row>
    <row r="448" spans="1:6" hidden="1" x14ac:dyDescent="0.45">
      <c r="A448" t="s">
        <v>1313</v>
      </c>
      <c r="B448" t="s">
        <v>1377</v>
      </c>
      <c r="C448" t="s">
        <v>1314</v>
      </c>
      <c r="D448" t="s">
        <v>1378</v>
      </c>
      <c r="E448">
        <v>77</v>
      </c>
      <c r="F448" t="s">
        <v>1513</v>
      </c>
    </row>
    <row r="449" spans="1:6" x14ac:dyDescent="0.45">
      <c r="A449" t="s">
        <v>1383</v>
      </c>
      <c r="B449" t="s">
        <v>1380</v>
      </c>
      <c r="C449" t="s">
        <v>1384</v>
      </c>
      <c r="D449" t="s">
        <v>1382</v>
      </c>
      <c r="E449">
        <v>86</v>
      </c>
      <c r="F449" t="s">
        <v>1512</v>
      </c>
    </row>
    <row r="450" spans="1:6" hidden="1" x14ac:dyDescent="0.45">
      <c r="A450" t="s">
        <v>1315</v>
      </c>
      <c r="B450" t="s">
        <v>1317</v>
      </c>
      <c r="C450" t="s">
        <v>1316</v>
      </c>
      <c r="D450" t="s">
        <v>1318</v>
      </c>
      <c r="E450">
        <v>83</v>
      </c>
      <c r="F450" t="s">
        <v>1513</v>
      </c>
    </row>
    <row r="451" spans="1:6" hidden="1" x14ac:dyDescent="0.45">
      <c r="A451" t="s">
        <v>1315</v>
      </c>
      <c r="B451" t="s">
        <v>1319</v>
      </c>
      <c r="C451" t="s">
        <v>1316</v>
      </c>
      <c r="D451" t="s">
        <v>1320</v>
      </c>
      <c r="E451">
        <v>77</v>
      </c>
      <c r="F451" t="s">
        <v>1513</v>
      </c>
    </row>
    <row r="452" spans="1:6" hidden="1" x14ac:dyDescent="0.45">
      <c r="A452" t="s">
        <v>1315</v>
      </c>
      <c r="B452" t="s">
        <v>1377</v>
      </c>
      <c r="C452" t="s">
        <v>1316</v>
      </c>
      <c r="D452" t="s">
        <v>1378</v>
      </c>
      <c r="E452">
        <v>77</v>
      </c>
      <c r="F452" t="s">
        <v>1513</v>
      </c>
    </row>
    <row r="453" spans="1:6" x14ac:dyDescent="0.45">
      <c r="A453" t="s">
        <v>1385</v>
      </c>
      <c r="B453" t="s">
        <v>1386</v>
      </c>
      <c r="C453" t="s">
        <v>1387</v>
      </c>
      <c r="D453" t="s">
        <v>1388</v>
      </c>
      <c r="E453">
        <v>89</v>
      </c>
      <c r="F453" t="s">
        <v>1512</v>
      </c>
    </row>
    <row r="454" spans="1:6" hidden="1" x14ac:dyDescent="0.45">
      <c r="A454" t="s">
        <v>1389</v>
      </c>
      <c r="B454" t="s">
        <v>1351</v>
      </c>
      <c r="C454" t="s">
        <v>1390</v>
      </c>
      <c r="D454" t="s">
        <v>1352</v>
      </c>
      <c r="E454">
        <v>80</v>
      </c>
      <c r="F454" t="s">
        <v>1513</v>
      </c>
    </row>
    <row r="455" spans="1:6" hidden="1" x14ac:dyDescent="0.45">
      <c r="A455" t="s">
        <v>1317</v>
      </c>
      <c r="B455" t="s">
        <v>1319</v>
      </c>
      <c r="C455" t="s">
        <v>1318</v>
      </c>
      <c r="D455" t="s">
        <v>1320</v>
      </c>
      <c r="E455">
        <v>77</v>
      </c>
      <c r="F455" t="s">
        <v>1513</v>
      </c>
    </row>
    <row r="456" spans="1:6" hidden="1" x14ac:dyDescent="0.45">
      <c r="A456" t="s">
        <v>1317</v>
      </c>
      <c r="B456" t="s">
        <v>1377</v>
      </c>
      <c r="C456" t="s">
        <v>1318</v>
      </c>
      <c r="D456" t="s">
        <v>1378</v>
      </c>
      <c r="E456">
        <v>77</v>
      </c>
      <c r="F456" t="s">
        <v>1513</v>
      </c>
    </row>
    <row r="457" spans="1:6" hidden="1" x14ac:dyDescent="0.45">
      <c r="A457" t="s">
        <v>1319</v>
      </c>
      <c r="B457" t="s">
        <v>1323</v>
      </c>
      <c r="C457" t="s">
        <v>1320</v>
      </c>
      <c r="D457" t="s">
        <v>1324</v>
      </c>
      <c r="E457">
        <v>80</v>
      </c>
      <c r="F457" t="s">
        <v>1513</v>
      </c>
    </row>
    <row r="458" spans="1:6" hidden="1" x14ac:dyDescent="0.45">
      <c r="A458" t="s">
        <v>1319</v>
      </c>
      <c r="B458" t="s">
        <v>1359</v>
      </c>
      <c r="C458" t="s">
        <v>1320</v>
      </c>
      <c r="D458" t="s">
        <v>1360</v>
      </c>
      <c r="E458">
        <v>80</v>
      </c>
      <c r="F458" t="s">
        <v>1513</v>
      </c>
    </row>
    <row r="459" spans="1:6" x14ac:dyDescent="0.45">
      <c r="A459" t="s">
        <v>1391</v>
      </c>
      <c r="B459" t="s">
        <v>1392</v>
      </c>
      <c r="C459" t="s">
        <v>1393</v>
      </c>
      <c r="D459" t="s">
        <v>1394</v>
      </c>
      <c r="E459">
        <v>86</v>
      </c>
      <c r="F459" t="s">
        <v>1512</v>
      </c>
    </row>
    <row r="460" spans="1:6" hidden="1" x14ac:dyDescent="0.45">
      <c r="A460" t="s">
        <v>1395</v>
      </c>
      <c r="B460" t="s">
        <v>1323</v>
      </c>
      <c r="C460" t="s">
        <v>1396</v>
      </c>
      <c r="D460" t="s">
        <v>1324</v>
      </c>
      <c r="E460">
        <v>76</v>
      </c>
      <c r="F460" t="s">
        <v>1513</v>
      </c>
    </row>
    <row r="461" spans="1:6" hidden="1" x14ac:dyDescent="0.45">
      <c r="A461" t="s">
        <v>1323</v>
      </c>
      <c r="B461" t="s">
        <v>1351</v>
      </c>
      <c r="C461" t="s">
        <v>1324</v>
      </c>
      <c r="D461" t="s">
        <v>1352</v>
      </c>
      <c r="E461">
        <v>76</v>
      </c>
      <c r="F461" t="s">
        <v>1513</v>
      </c>
    </row>
    <row r="462" spans="1:6" hidden="1" x14ac:dyDescent="0.45">
      <c r="A462" t="s">
        <v>1359</v>
      </c>
      <c r="B462" t="s">
        <v>1377</v>
      </c>
      <c r="C462" t="s">
        <v>1360</v>
      </c>
      <c r="D462" t="s">
        <v>1378</v>
      </c>
      <c r="E462">
        <v>80</v>
      </c>
      <c r="F462" t="s">
        <v>1513</v>
      </c>
    </row>
    <row r="463" spans="1:6" x14ac:dyDescent="0.45">
      <c r="A463" t="s">
        <v>1397</v>
      </c>
      <c r="B463" t="s">
        <v>1398</v>
      </c>
      <c r="C463" t="s">
        <v>1399</v>
      </c>
      <c r="D463" t="s">
        <v>1400</v>
      </c>
      <c r="E463">
        <v>83</v>
      </c>
      <c r="F463" t="s">
        <v>1512</v>
      </c>
    </row>
    <row r="464" spans="1:6" x14ac:dyDescent="0.45">
      <c r="A464" t="s">
        <v>1401</v>
      </c>
      <c r="B464" t="s">
        <v>1402</v>
      </c>
      <c r="C464" t="s">
        <v>1403</v>
      </c>
      <c r="D464" t="s">
        <v>1404</v>
      </c>
      <c r="E464">
        <v>84</v>
      </c>
      <c r="F464" t="s">
        <v>1512</v>
      </c>
    </row>
    <row r="465" spans="1:6" x14ac:dyDescent="0.45">
      <c r="A465" t="s">
        <v>1405</v>
      </c>
      <c r="B465" t="s">
        <v>1406</v>
      </c>
      <c r="C465" t="s">
        <v>1407</v>
      </c>
      <c r="D465" t="s">
        <v>1408</v>
      </c>
      <c r="E465">
        <v>83</v>
      </c>
      <c r="F465" t="s">
        <v>1512</v>
      </c>
    </row>
    <row r="466" spans="1:6" x14ac:dyDescent="0.45">
      <c r="A466" t="s">
        <v>1409</v>
      </c>
      <c r="B466" t="s">
        <v>1410</v>
      </c>
      <c r="C466" t="s">
        <v>1411</v>
      </c>
      <c r="D466" t="s">
        <v>1412</v>
      </c>
      <c r="E466">
        <v>96</v>
      </c>
      <c r="F466" t="s">
        <v>1512</v>
      </c>
    </row>
    <row r="467" spans="1:6" hidden="1" x14ac:dyDescent="0.45">
      <c r="A467" t="s">
        <v>1413</v>
      </c>
      <c r="B467" t="s">
        <v>1414</v>
      </c>
      <c r="C467" t="s">
        <v>1415</v>
      </c>
      <c r="D467" t="s">
        <v>1416</v>
      </c>
      <c r="E467">
        <v>75</v>
      </c>
      <c r="F467" t="s">
        <v>1513</v>
      </c>
    </row>
    <row r="468" spans="1:6" hidden="1" x14ac:dyDescent="0.45">
      <c r="A468" t="s">
        <v>1413</v>
      </c>
      <c r="B468" t="s">
        <v>1417</v>
      </c>
      <c r="C468" t="s">
        <v>1415</v>
      </c>
      <c r="D468" t="s">
        <v>1418</v>
      </c>
      <c r="E468">
        <v>75</v>
      </c>
      <c r="F468" t="s">
        <v>1513</v>
      </c>
    </row>
    <row r="469" spans="1:6" hidden="1" x14ac:dyDescent="0.45">
      <c r="A469" t="s">
        <v>1419</v>
      </c>
      <c r="B469" t="s">
        <v>1420</v>
      </c>
      <c r="C469" t="s">
        <v>1421</v>
      </c>
      <c r="D469" t="s">
        <v>1422</v>
      </c>
      <c r="E469">
        <v>77</v>
      </c>
      <c r="F469" t="s">
        <v>1513</v>
      </c>
    </row>
    <row r="470" spans="1:6" hidden="1" x14ac:dyDescent="0.45">
      <c r="A470" t="s">
        <v>1423</v>
      </c>
      <c r="B470" t="s">
        <v>1424</v>
      </c>
      <c r="C470" t="s">
        <v>1425</v>
      </c>
      <c r="D470" t="s">
        <v>1426</v>
      </c>
      <c r="E470">
        <v>78</v>
      </c>
      <c r="F470" t="s">
        <v>1513</v>
      </c>
    </row>
    <row r="471" spans="1:6" hidden="1" x14ac:dyDescent="0.45">
      <c r="A471" t="s">
        <v>1427</v>
      </c>
      <c r="B471" t="s">
        <v>1428</v>
      </c>
      <c r="C471" t="s">
        <v>1429</v>
      </c>
      <c r="D471" t="s">
        <v>1430</v>
      </c>
      <c r="E471">
        <v>75</v>
      </c>
      <c r="F471" t="s">
        <v>1513</v>
      </c>
    </row>
    <row r="472" spans="1:6" hidden="1" x14ac:dyDescent="0.45">
      <c r="A472" t="s">
        <v>1414</v>
      </c>
      <c r="B472" t="s">
        <v>1431</v>
      </c>
      <c r="C472" t="s">
        <v>1416</v>
      </c>
      <c r="D472" t="s">
        <v>1432</v>
      </c>
      <c r="E472">
        <v>78</v>
      </c>
      <c r="F472" t="s">
        <v>1513</v>
      </c>
    </row>
    <row r="473" spans="1:6" hidden="1" x14ac:dyDescent="0.45">
      <c r="A473" t="s">
        <v>1414</v>
      </c>
      <c r="B473" t="s">
        <v>1417</v>
      </c>
      <c r="C473" t="s">
        <v>1416</v>
      </c>
      <c r="D473" t="s">
        <v>1418</v>
      </c>
      <c r="E473">
        <v>88</v>
      </c>
      <c r="F473" t="s">
        <v>1513</v>
      </c>
    </row>
    <row r="474" spans="1:6" hidden="1" x14ac:dyDescent="0.45">
      <c r="A474" t="s">
        <v>1433</v>
      </c>
      <c r="B474" t="s">
        <v>1434</v>
      </c>
      <c r="C474" t="s">
        <v>1435</v>
      </c>
      <c r="D474" t="s">
        <v>1436</v>
      </c>
      <c r="E474">
        <v>78</v>
      </c>
      <c r="F474" t="s">
        <v>1513</v>
      </c>
    </row>
    <row r="475" spans="1:6" hidden="1" x14ac:dyDescent="0.45">
      <c r="A475" t="s">
        <v>1437</v>
      </c>
      <c r="B475" t="s">
        <v>1434</v>
      </c>
      <c r="C475" t="s">
        <v>1438</v>
      </c>
      <c r="D475" t="s">
        <v>1436</v>
      </c>
      <c r="E475">
        <v>82</v>
      </c>
      <c r="F475" t="s">
        <v>1513</v>
      </c>
    </row>
    <row r="476" spans="1:6" x14ac:dyDescent="0.45">
      <c r="A476" t="s">
        <v>1439</v>
      </c>
      <c r="B476" t="s">
        <v>1440</v>
      </c>
      <c r="C476" t="s">
        <v>1441</v>
      </c>
      <c r="D476" t="s">
        <v>1442</v>
      </c>
      <c r="E476">
        <v>91</v>
      </c>
      <c r="F476" t="s">
        <v>1512</v>
      </c>
    </row>
    <row r="477" spans="1:6" x14ac:dyDescent="0.45">
      <c r="A477" t="s">
        <v>1439</v>
      </c>
      <c r="B477" t="s">
        <v>1443</v>
      </c>
      <c r="C477" t="s">
        <v>1441</v>
      </c>
      <c r="D477" t="s">
        <v>1444</v>
      </c>
      <c r="E477">
        <v>79</v>
      </c>
      <c r="F477" t="s">
        <v>1512</v>
      </c>
    </row>
    <row r="478" spans="1:6" x14ac:dyDescent="0.45">
      <c r="A478" t="s">
        <v>1440</v>
      </c>
      <c r="B478" t="s">
        <v>1443</v>
      </c>
      <c r="C478" t="s">
        <v>1442</v>
      </c>
      <c r="D478" t="s">
        <v>1444</v>
      </c>
      <c r="E478">
        <v>77</v>
      </c>
      <c r="F478" t="s">
        <v>1512</v>
      </c>
    </row>
    <row r="479" spans="1:6" hidden="1" x14ac:dyDescent="0.45">
      <c r="A479" t="s">
        <v>1445</v>
      </c>
      <c r="B479" t="s">
        <v>1446</v>
      </c>
      <c r="C479" t="s">
        <v>1447</v>
      </c>
      <c r="D479" t="s">
        <v>1448</v>
      </c>
      <c r="E479">
        <v>77</v>
      </c>
      <c r="F479" t="s">
        <v>1513</v>
      </c>
    </row>
    <row r="480" spans="1:6" hidden="1" x14ac:dyDescent="0.45">
      <c r="A480" t="s">
        <v>1431</v>
      </c>
      <c r="B480" t="s">
        <v>1417</v>
      </c>
      <c r="C480" t="s">
        <v>1432</v>
      </c>
      <c r="D480" t="s">
        <v>1418</v>
      </c>
      <c r="E480">
        <v>78</v>
      </c>
      <c r="F480" t="s">
        <v>1513</v>
      </c>
    </row>
    <row r="481" spans="1:6" hidden="1" x14ac:dyDescent="0.45">
      <c r="A481" t="s">
        <v>1449</v>
      </c>
      <c r="B481" t="s">
        <v>1450</v>
      </c>
      <c r="C481" t="s">
        <v>1451</v>
      </c>
      <c r="D481" t="s">
        <v>1452</v>
      </c>
      <c r="E481">
        <v>78</v>
      </c>
      <c r="F481" t="s">
        <v>1513</v>
      </c>
    </row>
    <row r="482" spans="1:6" hidden="1" x14ac:dyDescent="0.45">
      <c r="A482" t="s">
        <v>1449</v>
      </c>
      <c r="B482" t="s">
        <v>1453</v>
      </c>
      <c r="C482" t="s">
        <v>1451</v>
      </c>
      <c r="D482" t="s">
        <v>1454</v>
      </c>
      <c r="E482">
        <v>76</v>
      </c>
      <c r="F482" t="s">
        <v>1513</v>
      </c>
    </row>
    <row r="483" spans="1:6" hidden="1" x14ac:dyDescent="0.45">
      <c r="A483" t="s">
        <v>1449</v>
      </c>
      <c r="B483" t="s">
        <v>1455</v>
      </c>
      <c r="C483" t="s">
        <v>1451</v>
      </c>
      <c r="D483" t="s">
        <v>1456</v>
      </c>
      <c r="E483">
        <v>75</v>
      </c>
      <c r="F483" t="s">
        <v>1513</v>
      </c>
    </row>
    <row r="484" spans="1:6" hidden="1" x14ac:dyDescent="0.45">
      <c r="A484" t="s">
        <v>1449</v>
      </c>
      <c r="B484" t="s">
        <v>1457</v>
      </c>
      <c r="C484" t="s">
        <v>1451</v>
      </c>
      <c r="D484" t="s">
        <v>1458</v>
      </c>
      <c r="E484">
        <v>75</v>
      </c>
      <c r="F484" t="s">
        <v>1513</v>
      </c>
    </row>
    <row r="485" spans="1:6" hidden="1" x14ac:dyDescent="0.45">
      <c r="A485" t="s">
        <v>1449</v>
      </c>
      <c r="B485" t="s">
        <v>1459</v>
      </c>
      <c r="C485" t="s">
        <v>1451</v>
      </c>
      <c r="D485" t="s">
        <v>1460</v>
      </c>
      <c r="E485">
        <v>75</v>
      </c>
      <c r="F485" t="s">
        <v>1513</v>
      </c>
    </row>
    <row r="486" spans="1:6" hidden="1" x14ac:dyDescent="0.45">
      <c r="A486" t="s">
        <v>1449</v>
      </c>
      <c r="B486" t="s">
        <v>1461</v>
      </c>
      <c r="C486" t="s">
        <v>1451</v>
      </c>
      <c r="D486" t="s">
        <v>1462</v>
      </c>
      <c r="E486">
        <v>84</v>
      </c>
      <c r="F486" t="s">
        <v>1513</v>
      </c>
    </row>
    <row r="487" spans="1:6" hidden="1" x14ac:dyDescent="0.45">
      <c r="A487" t="s">
        <v>1463</v>
      </c>
      <c r="B487" t="s">
        <v>1464</v>
      </c>
      <c r="C487" t="s">
        <v>1465</v>
      </c>
      <c r="D487" t="s">
        <v>1466</v>
      </c>
      <c r="E487">
        <v>80</v>
      </c>
      <c r="F487" t="s">
        <v>1513</v>
      </c>
    </row>
    <row r="488" spans="1:6" hidden="1" x14ac:dyDescent="0.45">
      <c r="A488" t="s">
        <v>1463</v>
      </c>
      <c r="B488" t="s">
        <v>1467</v>
      </c>
      <c r="C488" t="s">
        <v>1465</v>
      </c>
      <c r="D488" t="s">
        <v>1468</v>
      </c>
      <c r="E488">
        <v>75</v>
      </c>
      <c r="F488" t="s">
        <v>1513</v>
      </c>
    </row>
    <row r="489" spans="1:6" hidden="1" x14ac:dyDescent="0.45">
      <c r="A489" t="s">
        <v>1463</v>
      </c>
      <c r="B489" t="s">
        <v>1469</v>
      </c>
      <c r="C489" t="s">
        <v>1465</v>
      </c>
      <c r="D489" t="s">
        <v>1470</v>
      </c>
      <c r="E489">
        <v>75</v>
      </c>
      <c r="F489" t="s">
        <v>1513</v>
      </c>
    </row>
    <row r="490" spans="1:6" hidden="1" x14ac:dyDescent="0.45">
      <c r="A490" t="s">
        <v>1471</v>
      </c>
      <c r="B490" t="s">
        <v>1472</v>
      </c>
      <c r="C490" t="s">
        <v>1473</v>
      </c>
      <c r="D490" t="s">
        <v>1474</v>
      </c>
      <c r="E490">
        <v>75</v>
      </c>
      <c r="F490" t="s">
        <v>1513</v>
      </c>
    </row>
    <row r="491" spans="1:6" x14ac:dyDescent="0.45">
      <c r="A491" t="s">
        <v>1475</v>
      </c>
      <c r="B491" t="s">
        <v>1476</v>
      </c>
      <c r="C491" t="s">
        <v>1477</v>
      </c>
      <c r="D491" t="s">
        <v>1478</v>
      </c>
      <c r="E491">
        <v>80</v>
      </c>
      <c r="F491" t="s">
        <v>1512</v>
      </c>
    </row>
    <row r="492" spans="1:6" hidden="1" x14ac:dyDescent="0.45">
      <c r="A492" t="s">
        <v>1464</v>
      </c>
      <c r="B492" t="s">
        <v>1469</v>
      </c>
      <c r="C492" t="s">
        <v>1466</v>
      </c>
      <c r="D492" t="s">
        <v>1470</v>
      </c>
      <c r="E492">
        <v>82</v>
      </c>
      <c r="F492" t="s">
        <v>1513</v>
      </c>
    </row>
    <row r="493" spans="1:6" hidden="1" x14ac:dyDescent="0.45">
      <c r="A493" t="s">
        <v>1479</v>
      </c>
      <c r="B493" t="s">
        <v>1480</v>
      </c>
      <c r="C493" t="s">
        <v>1481</v>
      </c>
      <c r="D493" t="s">
        <v>1482</v>
      </c>
      <c r="E493">
        <v>88</v>
      </c>
      <c r="F493" t="s">
        <v>1513</v>
      </c>
    </row>
    <row r="494" spans="1:6" x14ac:dyDescent="0.45">
      <c r="A494" t="s">
        <v>1472</v>
      </c>
      <c r="B494" t="s">
        <v>1483</v>
      </c>
      <c r="C494" t="s">
        <v>1474</v>
      </c>
      <c r="D494" t="s">
        <v>1484</v>
      </c>
      <c r="E494">
        <v>75</v>
      </c>
      <c r="F494" t="s">
        <v>1512</v>
      </c>
    </row>
    <row r="495" spans="1:6" hidden="1" x14ac:dyDescent="0.45">
      <c r="A495" t="s">
        <v>1485</v>
      </c>
      <c r="B495" t="s">
        <v>1486</v>
      </c>
      <c r="C495" t="s">
        <v>1487</v>
      </c>
      <c r="D495" t="s">
        <v>1488</v>
      </c>
      <c r="E495">
        <v>75</v>
      </c>
      <c r="F495" t="s">
        <v>1513</v>
      </c>
    </row>
    <row r="496" spans="1:6" hidden="1" x14ac:dyDescent="0.45">
      <c r="A496" t="s">
        <v>1485</v>
      </c>
      <c r="B496" t="s">
        <v>1489</v>
      </c>
      <c r="C496" t="s">
        <v>1487</v>
      </c>
      <c r="D496" t="s">
        <v>1490</v>
      </c>
      <c r="E496">
        <v>78</v>
      </c>
      <c r="F496" t="s">
        <v>1513</v>
      </c>
    </row>
    <row r="497" spans="1:6" hidden="1" x14ac:dyDescent="0.45">
      <c r="A497" t="s">
        <v>1450</v>
      </c>
      <c r="B497" t="s">
        <v>1455</v>
      </c>
      <c r="C497" t="s">
        <v>1452</v>
      </c>
      <c r="D497" t="s">
        <v>1456</v>
      </c>
      <c r="E497">
        <v>75</v>
      </c>
      <c r="F497" t="s">
        <v>1513</v>
      </c>
    </row>
    <row r="498" spans="1:6" hidden="1" x14ac:dyDescent="0.45">
      <c r="A498" t="s">
        <v>1450</v>
      </c>
      <c r="B498" t="s">
        <v>1457</v>
      </c>
      <c r="C498" t="s">
        <v>1452</v>
      </c>
      <c r="D498" t="s">
        <v>1458</v>
      </c>
      <c r="E498">
        <v>75</v>
      </c>
      <c r="F498" t="s">
        <v>1513</v>
      </c>
    </row>
    <row r="499" spans="1:6" hidden="1" x14ac:dyDescent="0.45">
      <c r="A499" t="s">
        <v>1450</v>
      </c>
      <c r="B499" t="s">
        <v>1459</v>
      </c>
      <c r="C499" t="s">
        <v>1452</v>
      </c>
      <c r="D499" t="s">
        <v>1460</v>
      </c>
      <c r="E499">
        <v>75</v>
      </c>
      <c r="F499" t="s">
        <v>1513</v>
      </c>
    </row>
    <row r="500" spans="1:6" hidden="1" x14ac:dyDescent="0.45">
      <c r="A500" t="s">
        <v>1491</v>
      </c>
      <c r="B500" t="s">
        <v>1492</v>
      </c>
      <c r="C500" t="s">
        <v>1493</v>
      </c>
      <c r="D500" t="s">
        <v>1494</v>
      </c>
      <c r="E500">
        <v>83</v>
      </c>
      <c r="F500" t="s">
        <v>1513</v>
      </c>
    </row>
    <row r="501" spans="1:6" hidden="1" x14ac:dyDescent="0.45">
      <c r="A501" t="s">
        <v>1492</v>
      </c>
      <c r="B501" t="s">
        <v>1495</v>
      </c>
      <c r="C501" t="s">
        <v>1494</v>
      </c>
      <c r="D501" t="s">
        <v>1496</v>
      </c>
      <c r="E501">
        <v>78</v>
      </c>
      <c r="F501" t="s">
        <v>1513</v>
      </c>
    </row>
    <row r="502" spans="1:6" hidden="1" x14ac:dyDescent="0.45">
      <c r="A502" t="s">
        <v>1486</v>
      </c>
      <c r="B502" t="s">
        <v>1497</v>
      </c>
      <c r="C502" t="s">
        <v>1488</v>
      </c>
      <c r="D502" t="s">
        <v>1498</v>
      </c>
      <c r="E502">
        <v>78</v>
      </c>
      <c r="F502" t="s">
        <v>1513</v>
      </c>
    </row>
    <row r="503" spans="1:6" hidden="1" x14ac:dyDescent="0.45">
      <c r="A503" t="s">
        <v>1455</v>
      </c>
      <c r="B503" t="s">
        <v>1457</v>
      </c>
      <c r="C503" t="s">
        <v>1456</v>
      </c>
      <c r="D503" t="s">
        <v>1458</v>
      </c>
      <c r="E503">
        <v>86</v>
      </c>
      <c r="F503" t="s">
        <v>1513</v>
      </c>
    </row>
    <row r="504" spans="1:6" hidden="1" x14ac:dyDescent="0.45">
      <c r="A504" t="s">
        <v>1455</v>
      </c>
      <c r="B504" t="s">
        <v>1459</v>
      </c>
      <c r="C504" t="s">
        <v>1456</v>
      </c>
      <c r="D504" t="s">
        <v>1460</v>
      </c>
      <c r="E504">
        <v>86</v>
      </c>
      <c r="F504" t="s">
        <v>1513</v>
      </c>
    </row>
    <row r="505" spans="1:6" hidden="1" x14ac:dyDescent="0.45">
      <c r="A505" t="s">
        <v>1499</v>
      </c>
      <c r="B505" t="s">
        <v>1500</v>
      </c>
      <c r="C505" t="s">
        <v>1501</v>
      </c>
      <c r="D505" t="s">
        <v>1502</v>
      </c>
      <c r="E505">
        <v>75</v>
      </c>
      <c r="F505" t="s">
        <v>1513</v>
      </c>
    </row>
    <row r="506" spans="1:6" hidden="1" x14ac:dyDescent="0.45">
      <c r="A506" t="s">
        <v>1503</v>
      </c>
      <c r="B506" t="s">
        <v>1504</v>
      </c>
      <c r="C506" t="s">
        <v>1505</v>
      </c>
      <c r="D506" t="s">
        <v>1506</v>
      </c>
      <c r="E506">
        <v>77</v>
      </c>
      <c r="F506" t="s">
        <v>1513</v>
      </c>
    </row>
    <row r="507" spans="1:6" x14ac:dyDescent="0.45">
      <c r="A507" t="s">
        <v>1507</v>
      </c>
      <c r="B507" t="s">
        <v>1508</v>
      </c>
      <c r="C507" t="s">
        <v>1509</v>
      </c>
      <c r="D507" t="s">
        <v>1510</v>
      </c>
      <c r="E507">
        <v>92</v>
      </c>
      <c r="F507" t="s">
        <v>1512</v>
      </c>
    </row>
    <row r="508" spans="1:6" hidden="1" x14ac:dyDescent="0.45">
      <c r="A508" t="s">
        <v>1457</v>
      </c>
      <c r="B508" t="s">
        <v>1459</v>
      </c>
      <c r="C508" t="s">
        <v>1458</v>
      </c>
      <c r="D508" t="s">
        <v>1460</v>
      </c>
      <c r="E508">
        <v>86</v>
      </c>
      <c r="F508" t="s">
        <v>1513</v>
      </c>
    </row>
    <row r="509" spans="1:6" hidden="1" x14ac:dyDescent="0.45">
      <c r="A509" t="s">
        <v>1457</v>
      </c>
      <c r="B509" t="s">
        <v>1497</v>
      </c>
      <c r="C509" t="s">
        <v>1458</v>
      </c>
      <c r="D509" t="s">
        <v>1498</v>
      </c>
      <c r="E509">
        <v>82</v>
      </c>
      <c r="F509" t="s">
        <v>1513</v>
      </c>
    </row>
  </sheetData>
  <autoFilter ref="A1:F509" xr:uid="{9E8B19A0-0C69-4D80-851A-5A8411449AD2}">
    <filterColumn colId="5">
      <filters>
        <filter val="ok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1B7B-A874-4171-8A5E-436994F6E26C}">
  <dimension ref="A1:J339"/>
  <sheetViews>
    <sheetView workbookViewId="0">
      <selection activeCell="F2" sqref="F2"/>
    </sheetView>
  </sheetViews>
  <sheetFormatPr defaultRowHeight="14.25" x14ac:dyDescent="0.45"/>
  <cols>
    <col min="1" max="1" width="26.86328125" bestFit="1" customWidth="1"/>
    <col min="2" max="2" width="25.06640625" bestFit="1" customWidth="1"/>
    <col min="3" max="4" width="11.73046875" bestFit="1" customWidth="1"/>
    <col min="5" max="5" width="13.4648437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1516</v>
      </c>
    </row>
    <row r="2" spans="1:10" x14ac:dyDescent="0.45">
      <c r="A2" t="s">
        <v>5</v>
      </c>
      <c r="B2" t="s">
        <v>6</v>
      </c>
      <c r="C2" t="s">
        <v>7</v>
      </c>
      <c r="D2" t="s">
        <v>8</v>
      </c>
      <c r="E2">
        <v>92</v>
      </c>
      <c r="F2" t="str">
        <f>IF(_xlfn.XLOOKUP(C2,'75'!$C$2:$C$509,'75'!$D$2:$D$509)=D2,'75'!F2)</f>
        <v>ok</v>
      </c>
      <c r="H2" t="s">
        <v>1517</v>
      </c>
      <c r="I2">
        <f>COUNTIF(F2:F339,"ok")/338</f>
        <v>0.40532544378698226</v>
      </c>
      <c r="J2">
        <f>COUNTIF(F2:F339, "ok")</f>
        <v>137</v>
      </c>
    </row>
    <row r="3" spans="1:10" x14ac:dyDescent="0.45">
      <c r="A3" t="s">
        <v>9</v>
      </c>
      <c r="B3" t="s">
        <v>10</v>
      </c>
      <c r="C3" t="s">
        <v>11</v>
      </c>
      <c r="D3" t="s">
        <v>12</v>
      </c>
      <c r="E3">
        <v>81</v>
      </c>
      <c r="F3" t="str">
        <f>IF(_xlfn.XLOOKUP(C3,'75'!$C$2:$C$509,'75'!$D$2:$D$509)=D3,'75'!F3)</f>
        <v>no</v>
      </c>
      <c r="H3" t="s">
        <v>1518</v>
      </c>
      <c r="I3">
        <f>COUNTIF(F2:F339, "no")/338</f>
        <v>0.59467455621301779</v>
      </c>
      <c r="J3">
        <f>COUNTIF(F2:F339,"no")</f>
        <v>201</v>
      </c>
    </row>
    <row r="4" spans="1:10" x14ac:dyDescent="0.45">
      <c r="A4" t="s">
        <v>19</v>
      </c>
      <c r="B4" t="s">
        <v>20</v>
      </c>
      <c r="C4" t="s">
        <v>21</v>
      </c>
      <c r="D4" t="s">
        <v>22</v>
      </c>
      <c r="E4">
        <v>94</v>
      </c>
      <c r="F4" t="str">
        <f>IF(_xlfn.XLOOKUP(C4,'75'!$C$2:$C$509,'75'!$D$2:$D$509)=D4,'75'!F4)</f>
        <v>no</v>
      </c>
    </row>
    <row r="5" spans="1:10" x14ac:dyDescent="0.45">
      <c r="A5" t="s">
        <v>27</v>
      </c>
      <c r="B5" t="s">
        <v>28</v>
      </c>
      <c r="C5" t="s">
        <v>29</v>
      </c>
      <c r="D5" t="s">
        <v>30</v>
      </c>
      <c r="E5">
        <v>79</v>
      </c>
      <c r="F5" t="str">
        <f>IF(_xlfn.XLOOKUP(C5,'75'!$C$2:$C$509,'75'!$D$2:$D$509)=D5,'75'!F5)</f>
        <v>no</v>
      </c>
    </row>
    <row r="6" spans="1:10" x14ac:dyDescent="0.45">
      <c r="A6" t="s">
        <v>10</v>
      </c>
      <c r="B6" t="s">
        <v>24</v>
      </c>
      <c r="C6" t="s">
        <v>12</v>
      </c>
      <c r="D6" t="s">
        <v>26</v>
      </c>
      <c r="E6">
        <v>81</v>
      </c>
      <c r="F6" t="str">
        <f>IF(_xlfn.XLOOKUP(C6,'75'!$C$2:$C$509,'75'!$D$2:$D$509)=D6,'75'!F6)</f>
        <v>ok</v>
      </c>
    </row>
    <row r="7" spans="1:10" x14ac:dyDescent="0.45">
      <c r="A7" t="s">
        <v>31</v>
      </c>
      <c r="B7" t="s">
        <v>32</v>
      </c>
      <c r="C7" t="s">
        <v>33</v>
      </c>
      <c r="D7" t="s">
        <v>34</v>
      </c>
      <c r="E7">
        <v>85</v>
      </c>
      <c r="F7" t="str">
        <f>IF(_xlfn.XLOOKUP(C7,'75'!$C$2:$C$509,'75'!$D$2:$D$509)=D7,'75'!F7)</f>
        <v>no</v>
      </c>
    </row>
    <row r="8" spans="1:10" x14ac:dyDescent="0.45">
      <c r="A8" t="s">
        <v>24</v>
      </c>
      <c r="B8" t="s">
        <v>13</v>
      </c>
      <c r="C8" t="s">
        <v>26</v>
      </c>
      <c r="D8" t="s">
        <v>14</v>
      </c>
      <c r="E8">
        <v>83</v>
      </c>
      <c r="F8" t="str">
        <f>IF(_xlfn.XLOOKUP(C8,'75'!$C$2:$C$509,'75'!$D$2:$D$509)=D8,'75'!F8)</f>
        <v>no</v>
      </c>
    </row>
    <row r="9" spans="1:10" x14ac:dyDescent="0.45">
      <c r="A9" t="s">
        <v>41</v>
      </c>
      <c r="B9" t="s">
        <v>42</v>
      </c>
      <c r="C9" t="s">
        <v>43</v>
      </c>
      <c r="D9" t="s">
        <v>44</v>
      </c>
      <c r="E9">
        <v>78</v>
      </c>
      <c r="F9" t="str">
        <f>IF(_xlfn.XLOOKUP(C9,'75'!$C$2:$C$509,'75'!$D$2:$D$509)=D9,'75'!F9)</f>
        <v>no</v>
      </c>
    </row>
    <row r="10" spans="1:10" x14ac:dyDescent="0.45">
      <c r="A10" t="s">
        <v>49</v>
      </c>
      <c r="B10" t="s">
        <v>50</v>
      </c>
      <c r="C10" t="s">
        <v>51</v>
      </c>
      <c r="D10" t="s">
        <v>52</v>
      </c>
      <c r="E10">
        <v>83</v>
      </c>
      <c r="F10" t="str">
        <f>IF(_xlfn.XLOOKUP(C10,'75'!$C$2:$C$509,'75'!$D$2:$D$509)=D10,'75'!F10)</f>
        <v>no</v>
      </c>
    </row>
    <row r="11" spans="1:10" x14ac:dyDescent="0.45">
      <c r="A11" t="s">
        <v>57</v>
      </c>
      <c r="B11" t="s">
        <v>58</v>
      </c>
      <c r="C11" t="s">
        <v>59</v>
      </c>
      <c r="D11" t="s">
        <v>60</v>
      </c>
      <c r="E11">
        <v>85</v>
      </c>
      <c r="F11" t="str">
        <f>IF(_xlfn.XLOOKUP(C11,'75'!$C$2:$C$509,'75'!$D$2:$D$509)=D11,'75'!F11)</f>
        <v>ok</v>
      </c>
    </row>
    <row r="12" spans="1:10" x14ac:dyDescent="0.45">
      <c r="A12" t="s">
        <v>61</v>
      </c>
      <c r="B12" t="s">
        <v>62</v>
      </c>
      <c r="C12" t="s">
        <v>63</v>
      </c>
      <c r="D12" t="s">
        <v>64</v>
      </c>
      <c r="E12">
        <v>79</v>
      </c>
      <c r="F12" t="str">
        <f>IF(_xlfn.XLOOKUP(C12,'75'!$C$2:$C$509,'75'!$D$2:$D$509)=D12,'75'!F12)</f>
        <v>no</v>
      </c>
    </row>
    <row r="13" spans="1:10" x14ac:dyDescent="0.45">
      <c r="A13" t="s">
        <v>65</v>
      </c>
      <c r="B13" t="s">
        <v>66</v>
      </c>
      <c r="C13" t="s">
        <v>67</v>
      </c>
      <c r="D13" t="s">
        <v>68</v>
      </c>
      <c r="E13">
        <v>80</v>
      </c>
      <c r="F13" t="str">
        <f>IF(_xlfn.XLOOKUP(C13,'75'!$C$2:$C$509,'75'!$D$2:$D$509)=D13,'75'!F13)</f>
        <v>no</v>
      </c>
    </row>
    <row r="14" spans="1:10" x14ac:dyDescent="0.45">
      <c r="A14" t="s">
        <v>71</v>
      </c>
      <c r="B14" t="s">
        <v>72</v>
      </c>
      <c r="C14" t="s">
        <v>73</v>
      </c>
      <c r="D14" t="s">
        <v>74</v>
      </c>
      <c r="E14">
        <v>83</v>
      </c>
      <c r="F14" t="str">
        <f>IF(_xlfn.XLOOKUP(C14,'75'!$C$2:$C$509,'75'!$D$2:$D$509)=D14,'75'!F14)</f>
        <v>ok</v>
      </c>
    </row>
    <row r="15" spans="1:10" x14ac:dyDescent="0.45">
      <c r="A15" t="s">
        <v>75</v>
      </c>
      <c r="B15" t="s">
        <v>76</v>
      </c>
      <c r="C15" t="s">
        <v>77</v>
      </c>
      <c r="D15" t="s">
        <v>78</v>
      </c>
      <c r="E15">
        <v>80</v>
      </c>
      <c r="F15" t="str">
        <f>IF(_xlfn.XLOOKUP(C15,'75'!$C$2:$C$509,'75'!$D$2:$D$509)=D15,'75'!F15)</f>
        <v>no</v>
      </c>
    </row>
    <row r="16" spans="1:10" x14ac:dyDescent="0.45">
      <c r="A16" t="s">
        <v>79</v>
      </c>
      <c r="B16" t="s">
        <v>83</v>
      </c>
      <c r="C16" t="s">
        <v>81</v>
      </c>
      <c r="D16" t="s">
        <v>84</v>
      </c>
      <c r="E16">
        <v>90</v>
      </c>
      <c r="F16" t="s">
        <v>1513</v>
      </c>
    </row>
    <row r="17" spans="1:6" x14ac:dyDescent="0.45">
      <c r="A17" t="s">
        <v>85</v>
      </c>
      <c r="B17" t="s">
        <v>86</v>
      </c>
      <c r="C17" t="s">
        <v>87</v>
      </c>
      <c r="D17" t="s">
        <v>88</v>
      </c>
      <c r="E17">
        <v>90</v>
      </c>
      <c r="F17" t="str">
        <f>IF(_xlfn.XLOOKUP(C17,'75'!$C$2:$C$509,'75'!$D$2:$D$509)=D17,'75'!F17)</f>
        <v>ok</v>
      </c>
    </row>
    <row r="18" spans="1:6" x14ac:dyDescent="0.45">
      <c r="A18" t="s">
        <v>89</v>
      </c>
      <c r="B18" t="s">
        <v>90</v>
      </c>
      <c r="C18" t="s">
        <v>91</v>
      </c>
      <c r="D18" t="s">
        <v>92</v>
      </c>
      <c r="E18">
        <v>94</v>
      </c>
      <c r="F18" t="str">
        <f>IF(_xlfn.XLOOKUP(C18,'75'!$C$2:$C$509,'75'!$D$2:$D$509)=D18,'75'!F18)</f>
        <v>no</v>
      </c>
    </row>
    <row r="19" spans="1:6" x14ac:dyDescent="0.45">
      <c r="A19" t="s">
        <v>93</v>
      </c>
      <c r="B19" t="s">
        <v>94</v>
      </c>
      <c r="C19" t="s">
        <v>95</v>
      </c>
      <c r="D19" t="s">
        <v>96</v>
      </c>
      <c r="E19">
        <v>81</v>
      </c>
      <c r="F19" t="str">
        <f>IF(_xlfn.XLOOKUP(C19,'75'!$C$2:$C$509,'75'!$D$2:$D$509)=D19,'75'!F19)</f>
        <v>ok</v>
      </c>
    </row>
    <row r="20" spans="1:6" x14ac:dyDescent="0.45">
      <c r="A20" t="s">
        <v>97</v>
      </c>
      <c r="B20" t="s">
        <v>98</v>
      </c>
      <c r="C20" t="s">
        <v>99</v>
      </c>
      <c r="D20" t="s">
        <v>100</v>
      </c>
      <c r="E20">
        <v>92</v>
      </c>
      <c r="F20" t="str">
        <f>IF(_xlfn.XLOOKUP(C20,'75'!$C$2:$C$509,'75'!$D$2:$D$509)=D20,'75'!F20)</f>
        <v>no</v>
      </c>
    </row>
    <row r="21" spans="1:6" x14ac:dyDescent="0.45">
      <c r="A21" t="s">
        <v>101</v>
      </c>
      <c r="B21" t="s">
        <v>102</v>
      </c>
      <c r="C21" t="s">
        <v>103</v>
      </c>
      <c r="D21" t="s">
        <v>104</v>
      </c>
      <c r="E21">
        <v>88</v>
      </c>
      <c r="F21" t="str">
        <f>IF(_xlfn.XLOOKUP(C21,'75'!$C$2:$C$509,'75'!$D$2:$D$509)=D21,'75'!F21)</f>
        <v>no</v>
      </c>
    </row>
    <row r="22" spans="1:6" x14ac:dyDescent="0.45">
      <c r="A22" t="s">
        <v>109</v>
      </c>
      <c r="B22" t="s">
        <v>110</v>
      </c>
      <c r="C22" t="s">
        <v>111</v>
      </c>
      <c r="D22" t="s">
        <v>112</v>
      </c>
      <c r="E22">
        <v>85</v>
      </c>
      <c r="F22" t="str">
        <f>IF(_xlfn.XLOOKUP(C22,'75'!$C$2:$C$509,'75'!$D$2:$D$509)=D22,'75'!F22)</f>
        <v>no</v>
      </c>
    </row>
    <row r="23" spans="1:6" x14ac:dyDescent="0.45">
      <c r="A23" t="s">
        <v>121</v>
      </c>
      <c r="B23" t="s">
        <v>122</v>
      </c>
      <c r="C23" t="s">
        <v>123</v>
      </c>
      <c r="D23" t="s">
        <v>124</v>
      </c>
      <c r="E23">
        <v>92</v>
      </c>
      <c r="F23" t="str">
        <f>IF(_xlfn.XLOOKUP(C23,'75'!$C$2:$C$509,'75'!$D$2:$D$509)=D23,'75'!F23)</f>
        <v>ok</v>
      </c>
    </row>
    <row r="24" spans="1:6" x14ac:dyDescent="0.45">
      <c r="A24" t="s">
        <v>133</v>
      </c>
      <c r="B24" t="s">
        <v>134</v>
      </c>
      <c r="C24" t="s">
        <v>135</v>
      </c>
      <c r="D24" t="s">
        <v>136</v>
      </c>
      <c r="E24">
        <v>80</v>
      </c>
      <c r="F24" t="str">
        <f>IF(_xlfn.XLOOKUP(C24,'75'!$C$2:$C$509,'75'!$D$2:$D$509)=D24,'75'!F24)</f>
        <v>no</v>
      </c>
    </row>
    <row r="25" spans="1:6" x14ac:dyDescent="0.45">
      <c r="A25" t="s">
        <v>141</v>
      </c>
      <c r="B25" t="s">
        <v>142</v>
      </c>
      <c r="C25" t="s">
        <v>143</v>
      </c>
      <c r="D25" t="s">
        <v>144</v>
      </c>
      <c r="E25">
        <v>80</v>
      </c>
      <c r="F25" t="str">
        <f>IF(_xlfn.XLOOKUP(C25,'75'!$C$2:$C$509,'75'!$D$2:$D$509)=D25,'75'!F25)</f>
        <v>no</v>
      </c>
    </row>
    <row r="26" spans="1:6" x14ac:dyDescent="0.45">
      <c r="A26" t="s">
        <v>149</v>
      </c>
      <c r="B26" t="s">
        <v>150</v>
      </c>
      <c r="C26" t="s">
        <v>151</v>
      </c>
      <c r="D26" t="s">
        <v>152</v>
      </c>
      <c r="E26">
        <v>94</v>
      </c>
      <c r="F26" t="str">
        <f>IF(_xlfn.XLOOKUP(C26,'75'!$C$2:$C$509,'75'!$D$2:$D$509)=D26,'75'!F26)</f>
        <v>no</v>
      </c>
    </row>
    <row r="27" spans="1:6" x14ac:dyDescent="0.45">
      <c r="A27" t="s">
        <v>153</v>
      </c>
      <c r="B27" t="s">
        <v>154</v>
      </c>
      <c r="C27" t="s">
        <v>155</v>
      </c>
      <c r="D27" t="s">
        <v>156</v>
      </c>
      <c r="E27">
        <v>92</v>
      </c>
      <c r="F27" t="str">
        <f>IF(_xlfn.XLOOKUP(C27,'75'!$C$2:$C$509,'75'!$D$2:$D$509)=D27,'75'!F27)</f>
        <v>ok</v>
      </c>
    </row>
    <row r="28" spans="1:6" x14ac:dyDescent="0.45">
      <c r="A28" t="s">
        <v>159</v>
      </c>
      <c r="B28" t="s">
        <v>160</v>
      </c>
      <c r="C28" t="s">
        <v>161</v>
      </c>
      <c r="D28" t="s">
        <v>162</v>
      </c>
      <c r="E28">
        <v>98</v>
      </c>
      <c r="F28" t="str">
        <f>IF(_xlfn.XLOOKUP(C28,'75'!$C$2:$C$509,'75'!$D$2:$D$509)=D28,'75'!F28)</f>
        <v>ok</v>
      </c>
    </row>
    <row r="29" spans="1:6" x14ac:dyDescent="0.45">
      <c r="A29" t="s">
        <v>163</v>
      </c>
      <c r="B29" t="s">
        <v>164</v>
      </c>
      <c r="C29" t="s">
        <v>165</v>
      </c>
      <c r="D29" t="s">
        <v>166</v>
      </c>
      <c r="E29">
        <v>94</v>
      </c>
      <c r="F29" t="str">
        <f>IF(_xlfn.XLOOKUP(C29,'75'!$C$2:$C$509,'75'!$D$2:$D$509)=D29,'75'!F29)</f>
        <v>no</v>
      </c>
    </row>
    <row r="30" spans="1:6" x14ac:dyDescent="0.45">
      <c r="A30" t="s">
        <v>167</v>
      </c>
      <c r="B30" t="s">
        <v>168</v>
      </c>
      <c r="C30" t="s">
        <v>169</v>
      </c>
      <c r="D30" t="s">
        <v>170</v>
      </c>
      <c r="E30">
        <v>97</v>
      </c>
      <c r="F30" t="str">
        <f>IF(_xlfn.XLOOKUP(C30,'75'!$C$2:$C$509,'75'!$D$2:$D$509)=D30,'75'!F30)</f>
        <v>ok</v>
      </c>
    </row>
    <row r="31" spans="1:6" x14ac:dyDescent="0.45">
      <c r="A31" t="s">
        <v>171</v>
      </c>
      <c r="B31" t="s">
        <v>172</v>
      </c>
      <c r="C31" t="s">
        <v>173</v>
      </c>
      <c r="D31" t="s">
        <v>174</v>
      </c>
      <c r="E31">
        <v>87</v>
      </c>
      <c r="F31" t="str">
        <f>IF(_xlfn.XLOOKUP(C31,'75'!$C$2:$C$509,'75'!$D$2:$D$509)=D31,'75'!F31)</f>
        <v>ok</v>
      </c>
    </row>
    <row r="32" spans="1:6" x14ac:dyDescent="0.45">
      <c r="A32" t="s">
        <v>175</v>
      </c>
      <c r="B32" t="s">
        <v>176</v>
      </c>
      <c r="C32" t="s">
        <v>177</v>
      </c>
      <c r="D32" t="s">
        <v>178</v>
      </c>
      <c r="E32">
        <v>78</v>
      </c>
      <c r="F32" t="str">
        <f>IF(_xlfn.XLOOKUP(C32,'75'!$C$2:$C$509,'75'!$D$2:$D$509)=D32,'75'!F32)</f>
        <v>no</v>
      </c>
    </row>
    <row r="33" spans="1:6" x14ac:dyDescent="0.45">
      <c r="A33" t="s">
        <v>179</v>
      </c>
      <c r="B33" t="s">
        <v>180</v>
      </c>
      <c r="C33" t="s">
        <v>181</v>
      </c>
      <c r="D33" t="s">
        <v>182</v>
      </c>
      <c r="E33">
        <v>88</v>
      </c>
      <c r="F33" t="str">
        <f>IF(_xlfn.XLOOKUP(C33,'75'!$C$2:$C$509,'75'!$D$2:$D$509)=D33,'75'!F33)</f>
        <v>no</v>
      </c>
    </row>
    <row r="34" spans="1:6" x14ac:dyDescent="0.45">
      <c r="A34" t="s">
        <v>191</v>
      </c>
      <c r="B34" t="s">
        <v>192</v>
      </c>
      <c r="C34" t="s">
        <v>193</v>
      </c>
      <c r="D34" t="s">
        <v>194</v>
      </c>
      <c r="E34">
        <v>93</v>
      </c>
      <c r="F34" t="str">
        <f>IF(_xlfn.XLOOKUP(C34,'75'!$C$2:$C$509,'75'!$D$2:$D$509)=D34,'75'!F34)</f>
        <v>no</v>
      </c>
    </row>
    <row r="35" spans="1:6" x14ac:dyDescent="0.45">
      <c r="A35" t="s">
        <v>191</v>
      </c>
      <c r="B35" t="s">
        <v>195</v>
      </c>
      <c r="C35" t="s">
        <v>193</v>
      </c>
      <c r="D35" t="s">
        <v>196</v>
      </c>
      <c r="E35">
        <v>97</v>
      </c>
      <c r="F35" t="s">
        <v>1512</v>
      </c>
    </row>
    <row r="36" spans="1:6" x14ac:dyDescent="0.45">
      <c r="A36" t="s">
        <v>197</v>
      </c>
      <c r="B36" t="s">
        <v>198</v>
      </c>
      <c r="C36" t="s">
        <v>199</v>
      </c>
      <c r="D36" t="s">
        <v>200</v>
      </c>
      <c r="E36">
        <v>81</v>
      </c>
      <c r="F36" t="str">
        <f>IF(_xlfn.XLOOKUP(C36,'75'!$C$2:$C$509,'75'!$D$2:$D$509)=D36,'75'!F36)</f>
        <v>ok</v>
      </c>
    </row>
    <row r="37" spans="1:6" x14ac:dyDescent="0.45">
      <c r="A37" t="s">
        <v>201</v>
      </c>
      <c r="B37" t="s">
        <v>202</v>
      </c>
      <c r="C37" t="s">
        <v>203</v>
      </c>
      <c r="D37" t="s">
        <v>204</v>
      </c>
      <c r="E37">
        <v>78</v>
      </c>
      <c r="F37" t="str">
        <f>IF(_xlfn.XLOOKUP(C37,'75'!$C$2:$C$509,'75'!$D$2:$D$509)=D37,'75'!F37)</f>
        <v>no</v>
      </c>
    </row>
    <row r="38" spans="1:6" x14ac:dyDescent="0.45">
      <c r="A38" t="s">
        <v>201</v>
      </c>
      <c r="B38" t="s">
        <v>184</v>
      </c>
      <c r="C38" t="s">
        <v>203</v>
      </c>
      <c r="D38" t="s">
        <v>186</v>
      </c>
      <c r="E38">
        <v>80</v>
      </c>
      <c r="F38" t="s">
        <v>1512</v>
      </c>
    </row>
    <row r="39" spans="1:6" x14ac:dyDescent="0.45">
      <c r="A39" t="s">
        <v>201</v>
      </c>
      <c r="B39" t="s">
        <v>187</v>
      </c>
      <c r="C39" t="s">
        <v>203</v>
      </c>
      <c r="D39" t="s">
        <v>188</v>
      </c>
      <c r="E39">
        <v>78</v>
      </c>
      <c r="F39" t="s">
        <v>1512</v>
      </c>
    </row>
    <row r="40" spans="1:6" x14ac:dyDescent="0.45">
      <c r="A40" t="s">
        <v>201</v>
      </c>
      <c r="B40" t="s">
        <v>189</v>
      </c>
      <c r="C40" t="s">
        <v>203</v>
      </c>
      <c r="D40" t="s">
        <v>190</v>
      </c>
      <c r="E40">
        <v>78</v>
      </c>
      <c r="F40" t="s">
        <v>1513</v>
      </c>
    </row>
    <row r="41" spans="1:6" x14ac:dyDescent="0.45">
      <c r="A41" t="s">
        <v>211</v>
      </c>
      <c r="B41" t="s">
        <v>209</v>
      </c>
      <c r="C41" t="s">
        <v>212</v>
      </c>
      <c r="D41" t="s">
        <v>210</v>
      </c>
      <c r="E41">
        <v>88</v>
      </c>
      <c r="F41" t="s">
        <v>1513</v>
      </c>
    </row>
    <row r="42" spans="1:6" x14ac:dyDescent="0.45">
      <c r="A42" t="s">
        <v>213</v>
      </c>
      <c r="B42" t="s">
        <v>214</v>
      </c>
      <c r="C42" t="s">
        <v>215</v>
      </c>
      <c r="D42" t="s">
        <v>216</v>
      </c>
      <c r="E42">
        <v>92</v>
      </c>
      <c r="F42" t="str">
        <f>IF(_xlfn.XLOOKUP(C42,'75'!$C$2:$C$509,'75'!$D$2:$D$509)=D42,'75'!F42)</f>
        <v>no</v>
      </c>
    </row>
    <row r="43" spans="1:6" x14ac:dyDescent="0.45">
      <c r="A43" t="s">
        <v>217</v>
      </c>
      <c r="B43" t="s">
        <v>218</v>
      </c>
      <c r="C43" t="s">
        <v>219</v>
      </c>
      <c r="D43" t="s">
        <v>220</v>
      </c>
      <c r="E43">
        <v>80</v>
      </c>
      <c r="F43" t="str">
        <f>IF(_xlfn.XLOOKUP(C43,'75'!$C$2:$C$509,'75'!$D$2:$D$509)=D43,'75'!F43)</f>
        <v>ok</v>
      </c>
    </row>
    <row r="44" spans="1:6" x14ac:dyDescent="0.45">
      <c r="A44" t="s">
        <v>217</v>
      </c>
      <c r="B44" t="s">
        <v>221</v>
      </c>
      <c r="C44" t="s">
        <v>219</v>
      </c>
      <c r="D44" t="s">
        <v>222</v>
      </c>
      <c r="E44">
        <v>89</v>
      </c>
      <c r="F44" t="s">
        <v>1512</v>
      </c>
    </row>
    <row r="45" spans="1:6" x14ac:dyDescent="0.45">
      <c r="A45" t="s">
        <v>227</v>
      </c>
      <c r="B45" t="s">
        <v>228</v>
      </c>
      <c r="C45" t="s">
        <v>229</v>
      </c>
      <c r="D45" t="s">
        <v>230</v>
      </c>
      <c r="E45">
        <v>80</v>
      </c>
      <c r="F45" t="str">
        <f>IF(_xlfn.XLOOKUP(C45,'75'!$C$2:$C$509,'75'!$D$2:$D$509)=D45,'75'!F45)</f>
        <v>no</v>
      </c>
    </row>
    <row r="46" spans="1:6" x14ac:dyDescent="0.45">
      <c r="A46" t="s">
        <v>202</v>
      </c>
      <c r="B46" t="s">
        <v>187</v>
      </c>
      <c r="C46" t="s">
        <v>204</v>
      </c>
      <c r="D46" t="s">
        <v>188</v>
      </c>
      <c r="E46">
        <v>78</v>
      </c>
      <c r="F46" t="str">
        <f>IF(_xlfn.XLOOKUP(C46,'75'!$C$2:$C$509,'75'!$D$2:$D$509)=D46,'75'!F46)</f>
        <v>ok</v>
      </c>
    </row>
    <row r="47" spans="1:6" x14ac:dyDescent="0.45">
      <c r="A47" t="s">
        <v>231</v>
      </c>
      <c r="B47" t="s">
        <v>232</v>
      </c>
      <c r="C47" t="s">
        <v>233</v>
      </c>
      <c r="D47" t="s">
        <v>234</v>
      </c>
      <c r="E47">
        <v>83</v>
      </c>
      <c r="F47" t="str">
        <f>IF(_xlfn.XLOOKUP(C47,'75'!$C$2:$C$509,'75'!$D$2:$D$509)=D47,'75'!F47)</f>
        <v>ok</v>
      </c>
    </row>
    <row r="48" spans="1:6" x14ac:dyDescent="0.45">
      <c r="A48" t="s">
        <v>231</v>
      </c>
      <c r="B48" t="s">
        <v>235</v>
      </c>
      <c r="C48" t="s">
        <v>233</v>
      </c>
      <c r="D48" t="s">
        <v>236</v>
      </c>
      <c r="E48">
        <v>93</v>
      </c>
      <c r="F48" t="s">
        <v>1512</v>
      </c>
    </row>
    <row r="49" spans="1:6" x14ac:dyDescent="0.45">
      <c r="A49" t="s">
        <v>237</v>
      </c>
      <c r="B49" t="s">
        <v>238</v>
      </c>
      <c r="C49" t="s">
        <v>239</v>
      </c>
      <c r="D49" t="s">
        <v>240</v>
      </c>
      <c r="E49">
        <v>91</v>
      </c>
      <c r="F49" t="str">
        <f>IF(_xlfn.XLOOKUP(C49,'75'!$C$2:$C$509,'75'!$D$2:$D$509)=D49,'75'!F49)</f>
        <v>ok</v>
      </c>
    </row>
    <row r="50" spans="1:6" x14ac:dyDescent="0.45">
      <c r="A50" t="s">
        <v>241</v>
      </c>
      <c r="B50" t="s">
        <v>242</v>
      </c>
      <c r="C50" t="s">
        <v>243</v>
      </c>
      <c r="D50" t="s">
        <v>244</v>
      </c>
      <c r="E50">
        <v>79</v>
      </c>
      <c r="F50" t="str">
        <f>IF(_xlfn.XLOOKUP(C50,'75'!$C$2:$C$509,'75'!$D$2:$D$509)=D50,'75'!F50)</f>
        <v>no</v>
      </c>
    </row>
    <row r="51" spans="1:6" x14ac:dyDescent="0.45">
      <c r="A51" t="s">
        <v>245</v>
      </c>
      <c r="B51" t="s">
        <v>246</v>
      </c>
      <c r="C51" t="s">
        <v>247</v>
      </c>
      <c r="D51" t="s">
        <v>248</v>
      </c>
      <c r="E51">
        <v>81</v>
      </c>
      <c r="F51" t="str">
        <f>IF(_xlfn.XLOOKUP(C51,'75'!$C$2:$C$509,'75'!$D$2:$D$509)=D51,'75'!F51)</f>
        <v>no</v>
      </c>
    </row>
    <row r="52" spans="1:6" x14ac:dyDescent="0.45">
      <c r="A52" t="s">
        <v>253</v>
      </c>
      <c r="B52" t="s">
        <v>254</v>
      </c>
      <c r="C52" t="s">
        <v>255</v>
      </c>
      <c r="D52" t="s">
        <v>256</v>
      </c>
      <c r="E52">
        <v>85</v>
      </c>
      <c r="F52" t="str">
        <f>IF(_xlfn.XLOOKUP(C52,'75'!$C$2:$C$509,'75'!$D$2:$D$509)=D52,'75'!F52)</f>
        <v>no</v>
      </c>
    </row>
    <row r="53" spans="1:6" x14ac:dyDescent="0.45">
      <c r="A53" t="s">
        <v>253</v>
      </c>
      <c r="B53" t="s">
        <v>257</v>
      </c>
      <c r="C53" t="s">
        <v>255</v>
      </c>
      <c r="D53" t="s">
        <v>258</v>
      </c>
      <c r="E53">
        <v>79</v>
      </c>
      <c r="F53" t="s">
        <v>1513</v>
      </c>
    </row>
    <row r="54" spans="1:6" x14ac:dyDescent="0.45">
      <c r="A54" t="s">
        <v>259</v>
      </c>
      <c r="B54" t="s">
        <v>260</v>
      </c>
      <c r="C54" t="s">
        <v>261</v>
      </c>
      <c r="D54" t="s">
        <v>262</v>
      </c>
      <c r="E54">
        <v>82</v>
      </c>
      <c r="F54" t="str">
        <f>IF(_xlfn.XLOOKUP(C54,'75'!$C$2:$C$509,'75'!$D$2:$D$509)=D54,'75'!F54)</f>
        <v>no</v>
      </c>
    </row>
    <row r="55" spans="1:6" x14ac:dyDescent="0.45">
      <c r="A55" t="s">
        <v>259</v>
      </c>
      <c r="B55" t="s">
        <v>263</v>
      </c>
      <c r="C55" t="s">
        <v>261</v>
      </c>
      <c r="D55" t="s">
        <v>264</v>
      </c>
      <c r="E55">
        <v>96</v>
      </c>
      <c r="F55" t="s">
        <v>1513</v>
      </c>
    </row>
    <row r="56" spans="1:6" x14ac:dyDescent="0.45">
      <c r="A56" t="s">
        <v>205</v>
      </c>
      <c r="B56" t="s">
        <v>209</v>
      </c>
      <c r="C56" t="s">
        <v>206</v>
      </c>
      <c r="D56" t="s">
        <v>210</v>
      </c>
      <c r="E56">
        <v>86</v>
      </c>
      <c r="F56" t="s">
        <v>1513</v>
      </c>
    </row>
    <row r="57" spans="1:6" x14ac:dyDescent="0.45">
      <c r="A57" t="s">
        <v>269</v>
      </c>
      <c r="B57" t="s">
        <v>270</v>
      </c>
      <c r="C57" t="s">
        <v>271</v>
      </c>
      <c r="D57" t="s">
        <v>272</v>
      </c>
      <c r="E57">
        <v>83</v>
      </c>
      <c r="F57" t="str">
        <f>IF(_xlfn.XLOOKUP(C57,'75'!$C$2:$C$509,'75'!$D$2:$D$509)=D57,'75'!F57)</f>
        <v>ok</v>
      </c>
    </row>
    <row r="58" spans="1:6" x14ac:dyDescent="0.45">
      <c r="A58" t="s">
        <v>232</v>
      </c>
      <c r="B58" t="s">
        <v>273</v>
      </c>
      <c r="C58" t="s">
        <v>234</v>
      </c>
      <c r="D58" t="s">
        <v>274</v>
      </c>
      <c r="E58">
        <v>80</v>
      </c>
      <c r="F58" t="s">
        <v>1513</v>
      </c>
    </row>
    <row r="59" spans="1:6" x14ac:dyDescent="0.45">
      <c r="A59" t="s">
        <v>275</v>
      </c>
      <c r="B59" t="s">
        <v>276</v>
      </c>
      <c r="C59" t="s">
        <v>277</v>
      </c>
      <c r="D59" t="s">
        <v>278</v>
      </c>
      <c r="E59">
        <v>80</v>
      </c>
      <c r="F59" t="str">
        <f>IF(_xlfn.XLOOKUP(C59,'75'!$C$2:$C$509,'75'!$D$2:$D$509)=D59,'75'!F59)</f>
        <v>no</v>
      </c>
    </row>
    <row r="60" spans="1:6" x14ac:dyDescent="0.45">
      <c r="A60" t="s">
        <v>279</v>
      </c>
      <c r="B60" t="s">
        <v>189</v>
      </c>
      <c r="C60" t="s">
        <v>280</v>
      </c>
      <c r="D60" t="s">
        <v>190</v>
      </c>
      <c r="E60">
        <v>95</v>
      </c>
      <c r="F60" t="str">
        <f>IF(_xlfn.XLOOKUP(C60,'75'!$C$2:$C$509,'75'!$D$2:$D$509)=D60,'75'!F60)</f>
        <v>no</v>
      </c>
    </row>
    <row r="61" spans="1:6" x14ac:dyDescent="0.45">
      <c r="A61" t="s">
        <v>281</v>
      </c>
      <c r="B61" t="s">
        <v>282</v>
      </c>
      <c r="C61" t="s">
        <v>283</v>
      </c>
      <c r="D61" t="s">
        <v>284</v>
      </c>
      <c r="E61">
        <v>95</v>
      </c>
      <c r="F61" t="str">
        <f>IF(_xlfn.XLOOKUP(C61,'75'!$C$2:$C$509,'75'!$D$2:$D$509)=D61,'75'!F61)</f>
        <v>ok</v>
      </c>
    </row>
    <row r="62" spans="1:6" x14ac:dyDescent="0.45">
      <c r="A62" t="s">
        <v>285</v>
      </c>
      <c r="B62" t="s">
        <v>286</v>
      </c>
      <c r="C62" t="s">
        <v>287</v>
      </c>
      <c r="D62" t="s">
        <v>288</v>
      </c>
      <c r="E62">
        <v>78</v>
      </c>
      <c r="F62" t="str">
        <f>IF(_xlfn.XLOOKUP(C62,'75'!$C$2:$C$509,'75'!$D$2:$D$509)=D62,'75'!F62)</f>
        <v>no</v>
      </c>
    </row>
    <row r="63" spans="1:6" x14ac:dyDescent="0.45">
      <c r="A63" t="s">
        <v>266</v>
      </c>
      <c r="B63" t="s">
        <v>289</v>
      </c>
      <c r="C63" t="s">
        <v>268</v>
      </c>
      <c r="D63" t="s">
        <v>290</v>
      </c>
      <c r="E63">
        <v>86</v>
      </c>
      <c r="F63" t="str">
        <f>IF(_xlfn.XLOOKUP(C63,'75'!$C$2:$C$509,'75'!$D$2:$D$509)=D63,'75'!F63)</f>
        <v>no</v>
      </c>
    </row>
    <row r="64" spans="1:6" x14ac:dyDescent="0.45">
      <c r="A64" t="s">
        <v>291</v>
      </c>
      <c r="B64" t="s">
        <v>292</v>
      </c>
      <c r="C64" t="s">
        <v>293</v>
      </c>
      <c r="D64" t="s">
        <v>294</v>
      </c>
      <c r="E64">
        <v>94</v>
      </c>
      <c r="F64" t="str">
        <f>IF(_xlfn.XLOOKUP(C64,'75'!$C$2:$C$509,'75'!$D$2:$D$509)=D64,'75'!F64)</f>
        <v>no</v>
      </c>
    </row>
    <row r="65" spans="1:6" x14ac:dyDescent="0.45">
      <c r="A65" t="s">
        <v>260</v>
      </c>
      <c r="B65" t="s">
        <v>263</v>
      </c>
      <c r="C65" t="s">
        <v>262</v>
      </c>
      <c r="D65" t="s">
        <v>264</v>
      </c>
      <c r="E65">
        <v>78</v>
      </c>
      <c r="F65" t="str">
        <f>IF(_xlfn.XLOOKUP(C65,'75'!$C$2:$C$509,'75'!$D$2:$D$509)=D65,'75'!F65)</f>
        <v>no</v>
      </c>
    </row>
    <row r="66" spans="1:6" x14ac:dyDescent="0.45">
      <c r="A66" t="s">
        <v>295</v>
      </c>
      <c r="B66" t="s">
        <v>296</v>
      </c>
      <c r="C66" t="s">
        <v>297</v>
      </c>
      <c r="D66" t="s">
        <v>298</v>
      </c>
      <c r="E66">
        <v>79</v>
      </c>
      <c r="F66" t="str">
        <f>IF(_xlfn.XLOOKUP(C66,'75'!$C$2:$C$509,'75'!$D$2:$D$509)=D66,'75'!F66)</f>
        <v>no</v>
      </c>
    </row>
    <row r="67" spans="1:6" x14ac:dyDescent="0.45">
      <c r="A67" t="s">
        <v>218</v>
      </c>
      <c r="B67" t="s">
        <v>221</v>
      </c>
      <c r="C67" t="s">
        <v>220</v>
      </c>
      <c r="D67" t="s">
        <v>222</v>
      </c>
      <c r="E67">
        <v>92</v>
      </c>
      <c r="F67" t="str">
        <f>IF(_xlfn.XLOOKUP(C67,'75'!$C$2:$C$509,'75'!$D$2:$D$509)=D67,'75'!F67)</f>
        <v>ok</v>
      </c>
    </row>
    <row r="68" spans="1:6" x14ac:dyDescent="0.45">
      <c r="A68" t="s">
        <v>299</v>
      </c>
      <c r="B68" t="s">
        <v>300</v>
      </c>
      <c r="C68" t="s">
        <v>301</v>
      </c>
      <c r="D68" t="s">
        <v>302</v>
      </c>
      <c r="E68">
        <v>80</v>
      </c>
      <c r="F68" t="str">
        <f>IF(_xlfn.XLOOKUP(C68,'75'!$C$2:$C$509,'75'!$D$2:$D$509)=D68,'75'!F68)</f>
        <v>ok</v>
      </c>
    </row>
    <row r="69" spans="1:6" x14ac:dyDescent="0.45">
      <c r="A69" t="s">
        <v>303</v>
      </c>
      <c r="B69" t="s">
        <v>304</v>
      </c>
      <c r="C69" t="s">
        <v>305</v>
      </c>
      <c r="D69" t="s">
        <v>306</v>
      </c>
      <c r="E69">
        <v>78</v>
      </c>
      <c r="F69" t="str">
        <f>IF(_xlfn.XLOOKUP(C69,'75'!$C$2:$C$509,'75'!$D$2:$D$509)=D69,'75'!F69)</f>
        <v>ok</v>
      </c>
    </row>
    <row r="70" spans="1:6" x14ac:dyDescent="0.45">
      <c r="A70" t="s">
        <v>192</v>
      </c>
      <c r="B70" t="s">
        <v>195</v>
      </c>
      <c r="C70" t="s">
        <v>194</v>
      </c>
      <c r="D70" t="s">
        <v>196</v>
      </c>
      <c r="E70">
        <v>97</v>
      </c>
      <c r="F70" t="str">
        <f>IF(_xlfn.XLOOKUP(C70,'75'!$C$2:$C$509,'75'!$D$2:$D$509)=D70,'75'!F70)</f>
        <v>no</v>
      </c>
    </row>
    <row r="71" spans="1:6" x14ac:dyDescent="0.45">
      <c r="A71" t="s">
        <v>307</v>
      </c>
      <c r="B71" t="s">
        <v>308</v>
      </c>
      <c r="C71" t="s">
        <v>309</v>
      </c>
      <c r="D71" t="s">
        <v>310</v>
      </c>
      <c r="E71">
        <v>89</v>
      </c>
      <c r="F71" t="str">
        <f>IF(_xlfn.XLOOKUP(C71,'75'!$C$2:$C$509,'75'!$D$2:$D$509)=D71,'75'!F71)</f>
        <v>ok</v>
      </c>
    </row>
    <row r="72" spans="1:6" x14ac:dyDescent="0.45">
      <c r="A72" t="s">
        <v>315</v>
      </c>
      <c r="B72" t="s">
        <v>316</v>
      </c>
      <c r="C72" t="s">
        <v>317</v>
      </c>
      <c r="D72" t="s">
        <v>318</v>
      </c>
      <c r="E72">
        <v>80</v>
      </c>
      <c r="F72" t="str">
        <f>IF(_xlfn.XLOOKUP(C72,'75'!$C$2:$C$509,'75'!$D$2:$D$509)=D72,'75'!F72)</f>
        <v>no</v>
      </c>
    </row>
    <row r="73" spans="1:6" x14ac:dyDescent="0.45">
      <c r="A73" t="s">
        <v>319</v>
      </c>
      <c r="B73" t="s">
        <v>320</v>
      </c>
      <c r="C73" t="s">
        <v>321</v>
      </c>
      <c r="D73" t="s">
        <v>322</v>
      </c>
      <c r="E73">
        <v>92</v>
      </c>
      <c r="F73" t="str">
        <f>IF(_xlfn.XLOOKUP(C73,'75'!$C$2:$C$509,'75'!$D$2:$D$509)=D73,'75'!F73)</f>
        <v>no</v>
      </c>
    </row>
    <row r="74" spans="1:6" x14ac:dyDescent="0.45">
      <c r="A74" t="s">
        <v>323</v>
      </c>
      <c r="B74" t="s">
        <v>324</v>
      </c>
      <c r="C74" t="s">
        <v>325</v>
      </c>
      <c r="D74" t="s">
        <v>326</v>
      </c>
      <c r="E74">
        <v>79</v>
      </c>
      <c r="F74" t="str">
        <f>IF(_xlfn.XLOOKUP(C74,'75'!$C$2:$C$509,'75'!$D$2:$D$509)=D74,'75'!F74)</f>
        <v>ok</v>
      </c>
    </row>
    <row r="75" spans="1:6" x14ac:dyDescent="0.45">
      <c r="A75" t="s">
        <v>327</v>
      </c>
      <c r="B75" t="s">
        <v>328</v>
      </c>
      <c r="C75" t="s">
        <v>329</v>
      </c>
      <c r="D75" t="s">
        <v>330</v>
      </c>
      <c r="E75">
        <v>86</v>
      </c>
      <c r="F75" t="str">
        <f>IF(_xlfn.XLOOKUP(C75,'75'!$C$2:$C$509,'75'!$D$2:$D$509)=D75,'75'!F75)</f>
        <v>ok</v>
      </c>
    </row>
    <row r="76" spans="1:6" x14ac:dyDescent="0.45">
      <c r="A76" t="s">
        <v>335</v>
      </c>
      <c r="B76" t="s">
        <v>336</v>
      </c>
      <c r="C76" t="s">
        <v>337</v>
      </c>
      <c r="D76" t="s">
        <v>338</v>
      </c>
      <c r="E76">
        <v>83</v>
      </c>
      <c r="F76" t="str">
        <f>IF(_xlfn.XLOOKUP(C76,'75'!$C$2:$C$509,'75'!$D$2:$D$509)=D76,'75'!F76)</f>
        <v>ok</v>
      </c>
    </row>
    <row r="77" spans="1:6" x14ac:dyDescent="0.45">
      <c r="A77" t="s">
        <v>339</v>
      </c>
      <c r="B77" t="s">
        <v>340</v>
      </c>
      <c r="C77" t="s">
        <v>341</v>
      </c>
      <c r="D77" t="s">
        <v>342</v>
      </c>
      <c r="E77">
        <v>85</v>
      </c>
      <c r="F77" t="str">
        <f>IF(_xlfn.XLOOKUP(C77,'75'!$C$2:$C$509,'75'!$D$2:$D$509)=D77,'75'!F77)</f>
        <v>no</v>
      </c>
    </row>
    <row r="78" spans="1:6" x14ac:dyDescent="0.45">
      <c r="A78" t="s">
        <v>339</v>
      </c>
      <c r="B78" t="s">
        <v>343</v>
      </c>
      <c r="C78" t="s">
        <v>341</v>
      </c>
      <c r="D78" t="s">
        <v>344</v>
      </c>
      <c r="E78">
        <v>93</v>
      </c>
      <c r="F78" t="s">
        <v>1512</v>
      </c>
    </row>
    <row r="79" spans="1:6" x14ac:dyDescent="0.45">
      <c r="A79" t="s">
        <v>349</v>
      </c>
      <c r="B79" t="s">
        <v>350</v>
      </c>
      <c r="C79" t="s">
        <v>351</v>
      </c>
      <c r="D79" t="s">
        <v>352</v>
      </c>
      <c r="E79">
        <v>90</v>
      </c>
      <c r="F79" t="str">
        <f>IF(_xlfn.XLOOKUP(C79,'75'!$C$2:$C$509,'75'!$D$2:$D$509)=D79,'75'!F79)</f>
        <v>no</v>
      </c>
    </row>
    <row r="80" spans="1:6" x14ac:dyDescent="0.45">
      <c r="A80" t="s">
        <v>357</v>
      </c>
      <c r="B80" t="s">
        <v>358</v>
      </c>
      <c r="C80" t="s">
        <v>359</v>
      </c>
      <c r="D80" t="s">
        <v>360</v>
      </c>
      <c r="E80">
        <v>78</v>
      </c>
      <c r="F80" t="str">
        <f>IF(_xlfn.XLOOKUP(C80,'75'!$C$2:$C$509,'75'!$D$2:$D$509)=D80,'75'!F80)</f>
        <v>no</v>
      </c>
    </row>
    <row r="81" spans="1:6" x14ac:dyDescent="0.45">
      <c r="A81" t="s">
        <v>361</v>
      </c>
      <c r="B81" t="s">
        <v>362</v>
      </c>
      <c r="C81" t="s">
        <v>363</v>
      </c>
      <c r="D81" t="s">
        <v>364</v>
      </c>
      <c r="E81">
        <v>80</v>
      </c>
      <c r="F81" t="str">
        <f>IF(_xlfn.XLOOKUP(C81,'75'!$C$2:$C$509,'75'!$D$2:$D$509)=D81,'75'!F81)</f>
        <v>no</v>
      </c>
    </row>
    <row r="82" spans="1:6" x14ac:dyDescent="0.45">
      <c r="A82" t="s">
        <v>365</v>
      </c>
      <c r="B82" t="s">
        <v>366</v>
      </c>
      <c r="C82" t="s">
        <v>367</v>
      </c>
      <c r="D82" t="s">
        <v>368</v>
      </c>
      <c r="E82">
        <v>80</v>
      </c>
      <c r="F82" t="str">
        <f>IF(_xlfn.XLOOKUP(C82,'75'!$C$2:$C$509,'75'!$D$2:$D$509)=D82,'75'!F82)</f>
        <v>no</v>
      </c>
    </row>
    <row r="83" spans="1:6" x14ac:dyDescent="0.45">
      <c r="A83" t="s">
        <v>369</v>
      </c>
      <c r="B83" t="s">
        <v>370</v>
      </c>
      <c r="C83" t="s">
        <v>371</v>
      </c>
      <c r="D83" t="s">
        <v>372</v>
      </c>
      <c r="E83">
        <v>90</v>
      </c>
      <c r="F83" t="str">
        <f>IF(_xlfn.XLOOKUP(C83,'75'!$C$2:$C$509,'75'!$D$2:$D$509)=D83,'75'!F83)</f>
        <v>no</v>
      </c>
    </row>
    <row r="84" spans="1:6" x14ac:dyDescent="0.45">
      <c r="A84" t="s">
        <v>373</v>
      </c>
      <c r="B84" t="s">
        <v>374</v>
      </c>
      <c r="C84" t="s">
        <v>375</v>
      </c>
      <c r="D84" t="s">
        <v>376</v>
      </c>
      <c r="E84">
        <v>81</v>
      </c>
      <c r="F84" t="str">
        <f>IF(_xlfn.XLOOKUP(C84,'75'!$C$2:$C$509,'75'!$D$2:$D$509)=D84,'75'!F84)</f>
        <v>no</v>
      </c>
    </row>
    <row r="85" spans="1:6" x14ac:dyDescent="0.45">
      <c r="A85" t="s">
        <v>377</v>
      </c>
      <c r="B85" t="s">
        <v>378</v>
      </c>
      <c r="C85" t="s">
        <v>379</v>
      </c>
      <c r="D85" t="s">
        <v>380</v>
      </c>
      <c r="E85">
        <v>93</v>
      </c>
      <c r="F85" t="str">
        <f>IF(_xlfn.XLOOKUP(C85,'75'!$C$2:$C$509,'75'!$D$2:$D$509)=D85,'75'!F85)</f>
        <v>no</v>
      </c>
    </row>
    <row r="86" spans="1:6" x14ac:dyDescent="0.45">
      <c r="A86" t="s">
        <v>381</v>
      </c>
      <c r="B86" t="s">
        <v>382</v>
      </c>
      <c r="C86" t="s">
        <v>383</v>
      </c>
      <c r="D86" t="s">
        <v>384</v>
      </c>
      <c r="E86">
        <v>96</v>
      </c>
      <c r="F86" t="str">
        <f>IF(_xlfn.XLOOKUP(C86,'75'!$C$2:$C$509,'75'!$D$2:$D$509)=D86,'75'!F86)</f>
        <v>no</v>
      </c>
    </row>
    <row r="87" spans="1:6" x14ac:dyDescent="0.45">
      <c r="A87" t="s">
        <v>389</v>
      </c>
      <c r="B87" t="s">
        <v>390</v>
      </c>
      <c r="C87" t="s">
        <v>391</v>
      </c>
      <c r="D87" t="s">
        <v>392</v>
      </c>
      <c r="E87">
        <v>91</v>
      </c>
      <c r="F87" t="str">
        <f>IF(_xlfn.XLOOKUP(C87,'75'!$C$2:$C$509,'75'!$D$2:$D$509)=D87,'75'!F87)</f>
        <v>no</v>
      </c>
    </row>
    <row r="88" spans="1:6" x14ac:dyDescent="0.45">
      <c r="A88" t="s">
        <v>393</v>
      </c>
      <c r="B88" t="s">
        <v>394</v>
      </c>
      <c r="C88" t="s">
        <v>395</v>
      </c>
      <c r="D88" t="s">
        <v>396</v>
      </c>
      <c r="E88">
        <v>91</v>
      </c>
      <c r="F88" t="str">
        <f>IF(_xlfn.XLOOKUP(C88,'75'!$C$2:$C$509,'75'!$D$2:$D$509)=D88,'75'!F88)</f>
        <v>no</v>
      </c>
    </row>
    <row r="89" spans="1:6" x14ac:dyDescent="0.45">
      <c r="A89" t="s">
        <v>401</v>
      </c>
      <c r="B89" t="s">
        <v>402</v>
      </c>
      <c r="C89" t="s">
        <v>403</v>
      </c>
      <c r="D89" t="s">
        <v>404</v>
      </c>
      <c r="E89">
        <v>92</v>
      </c>
      <c r="F89" t="str">
        <f>IF(_xlfn.XLOOKUP(C89,'75'!$C$2:$C$509,'75'!$D$2:$D$509)=D89,'75'!F89)</f>
        <v>no</v>
      </c>
    </row>
    <row r="90" spans="1:6" x14ac:dyDescent="0.45">
      <c r="A90" t="s">
        <v>411</v>
      </c>
      <c r="B90" t="s">
        <v>412</v>
      </c>
      <c r="C90" t="s">
        <v>413</v>
      </c>
      <c r="D90" t="s">
        <v>414</v>
      </c>
      <c r="E90">
        <v>90</v>
      </c>
      <c r="F90" t="str">
        <f>IF(_xlfn.XLOOKUP(C90,'75'!$C$2:$C$509,'75'!$D$2:$D$509)=D90,'75'!F90)</f>
        <v>no</v>
      </c>
    </row>
    <row r="91" spans="1:6" x14ac:dyDescent="0.45">
      <c r="A91" t="s">
        <v>415</v>
      </c>
      <c r="B91" t="s">
        <v>416</v>
      </c>
      <c r="C91" t="s">
        <v>417</v>
      </c>
      <c r="D91" t="s">
        <v>418</v>
      </c>
      <c r="E91">
        <v>81</v>
      </c>
      <c r="F91" t="str">
        <f>IF(_xlfn.XLOOKUP(C91,'75'!$C$2:$C$509,'75'!$D$2:$D$509)=D91,'75'!F91)</f>
        <v>ok</v>
      </c>
    </row>
    <row r="92" spans="1:6" x14ac:dyDescent="0.45">
      <c r="A92" t="s">
        <v>419</v>
      </c>
      <c r="B92" t="s">
        <v>420</v>
      </c>
      <c r="C92" t="s">
        <v>421</v>
      </c>
      <c r="D92" t="s">
        <v>422</v>
      </c>
      <c r="E92">
        <v>84</v>
      </c>
      <c r="F92" t="str">
        <f>IF(_xlfn.XLOOKUP(C92,'75'!$C$2:$C$509,'75'!$D$2:$D$509)=D92,'75'!F92)</f>
        <v>no</v>
      </c>
    </row>
    <row r="93" spans="1:6" x14ac:dyDescent="0.45">
      <c r="A93" t="s">
        <v>423</v>
      </c>
      <c r="B93" t="s">
        <v>424</v>
      </c>
      <c r="C93" t="s">
        <v>425</v>
      </c>
      <c r="D93" t="s">
        <v>426</v>
      </c>
      <c r="E93">
        <v>80</v>
      </c>
      <c r="F93" t="str">
        <f>IF(_xlfn.XLOOKUP(C93,'75'!$C$2:$C$509,'75'!$D$2:$D$509)=D93,'75'!F93)</f>
        <v>ok</v>
      </c>
    </row>
    <row r="94" spans="1:6" x14ac:dyDescent="0.45">
      <c r="A94" t="s">
        <v>427</v>
      </c>
      <c r="B94" t="s">
        <v>428</v>
      </c>
      <c r="C94" t="s">
        <v>429</v>
      </c>
      <c r="D94" t="s">
        <v>430</v>
      </c>
      <c r="E94">
        <v>78</v>
      </c>
      <c r="F94" t="str">
        <f>IF(_xlfn.XLOOKUP(C94,'75'!$C$2:$C$509,'75'!$D$2:$D$509)=D94,'75'!F94)</f>
        <v>no</v>
      </c>
    </row>
    <row r="95" spans="1:6" x14ac:dyDescent="0.45">
      <c r="A95" t="s">
        <v>431</v>
      </c>
      <c r="B95" t="s">
        <v>394</v>
      </c>
      <c r="C95" t="s">
        <v>432</v>
      </c>
      <c r="D95" t="s">
        <v>396</v>
      </c>
      <c r="E95">
        <v>78</v>
      </c>
      <c r="F95" t="str">
        <f>IF(_xlfn.XLOOKUP(C95,'75'!$C$2:$C$509,'75'!$D$2:$D$509)=D95,'75'!F95)</f>
        <v>no</v>
      </c>
    </row>
    <row r="96" spans="1:6" x14ac:dyDescent="0.45">
      <c r="A96" t="s">
        <v>433</v>
      </c>
      <c r="B96" t="s">
        <v>434</v>
      </c>
      <c r="C96" t="s">
        <v>435</v>
      </c>
      <c r="D96" t="s">
        <v>436</v>
      </c>
      <c r="E96">
        <v>87</v>
      </c>
      <c r="F96" t="str">
        <f>IF(_xlfn.XLOOKUP(C96,'75'!$C$2:$C$509,'75'!$D$2:$D$509)=D96,'75'!F96)</f>
        <v>ok</v>
      </c>
    </row>
    <row r="97" spans="1:6" x14ac:dyDescent="0.45">
      <c r="A97" t="s">
        <v>449</v>
      </c>
      <c r="B97" t="s">
        <v>450</v>
      </c>
      <c r="C97" t="s">
        <v>451</v>
      </c>
      <c r="D97" t="s">
        <v>452</v>
      </c>
      <c r="E97">
        <v>88</v>
      </c>
      <c r="F97" t="str">
        <f>IF(_xlfn.XLOOKUP(C97,'75'!$C$2:$C$509,'75'!$D$2:$D$509)=D97,'75'!F97)</f>
        <v>no</v>
      </c>
    </row>
    <row r="98" spans="1:6" x14ac:dyDescent="0.45">
      <c r="A98" t="s">
        <v>453</v>
      </c>
      <c r="B98" t="s">
        <v>454</v>
      </c>
      <c r="C98" t="s">
        <v>455</v>
      </c>
      <c r="D98" t="s">
        <v>456</v>
      </c>
      <c r="E98">
        <v>92</v>
      </c>
      <c r="F98" t="str">
        <f>IF(_xlfn.XLOOKUP(C98,'75'!$C$2:$C$509,'75'!$D$2:$D$509)=D98,'75'!F98)</f>
        <v>no</v>
      </c>
    </row>
    <row r="99" spans="1:6" x14ac:dyDescent="0.45">
      <c r="A99" t="s">
        <v>459</v>
      </c>
      <c r="B99" t="s">
        <v>460</v>
      </c>
      <c r="C99" t="s">
        <v>461</v>
      </c>
      <c r="D99" t="s">
        <v>462</v>
      </c>
      <c r="E99">
        <v>96</v>
      </c>
      <c r="F99" t="str">
        <f>IF(_xlfn.XLOOKUP(C99,'75'!$C$2:$C$509,'75'!$D$2:$D$509)=D99,'75'!F99)</f>
        <v>ok</v>
      </c>
    </row>
    <row r="100" spans="1:6" x14ac:dyDescent="0.45">
      <c r="A100" t="s">
        <v>463</v>
      </c>
      <c r="B100" t="s">
        <v>464</v>
      </c>
      <c r="C100" t="s">
        <v>465</v>
      </c>
      <c r="D100" t="s">
        <v>466</v>
      </c>
      <c r="E100">
        <v>87</v>
      </c>
      <c r="F100" t="str">
        <f>IF(_xlfn.XLOOKUP(C100,'75'!$C$2:$C$509,'75'!$D$2:$D$509)=D100,'75'!F100)</f>
        <v>no</v>
      </c>
    </row>
    <row r="101" spans="1:6" x14ac:dyDescent="0.45">
      <c r="A101" t="s">
        <v>467</v>
      </c>
      <c r="B101" t="s">
        <v>468</v>
      </c>
      <c r="C101" t="s">
        <v>469</v>
      </c>
      <c r="D101" t="s">
        <v>470</v>
      </c>
      <c r="E101">
        <v>97</v>
      </c>
      <c r="F101" t="str">
        <f>IF(_xlfn.XLOOKUP(C101,'75'!$C$2:$C$509,'75'!$D$2:$D$509)=D101,'75'!F101)</f>
        <v>ok</v>
      </c>
    </row>
    <row r="102" spans="1:6" x14ac:dyDescent="0.45">
      <c r="A102" t="s">
        <v>471</v>
      </c>
      <c r="B102" t="s">
        <v>472</v>
      </c>
      <c r="C102" t="s">
        <v>473</v>
      </c>
      <c r="D102" t="s">
        <v>474</v>
      </c>
      <c r="E102">
        <v>97</v>
      </c>
      <c r="F102" t="str">
        <f>IF(_xlfn.XLOOKUP(C102,'75'!$C$2:$C$509,'75'!$D$2:$D$509)=D102,'75'!F102)</f>
        <v>ok</v>
      </c>
    </row>
    <row r="103" spans="1:6" x14ac:dyDescent="0.45">
      <c r="A103" t="s">
        <v>475</v>
      </c>
      <c r="B103" t="s">
        <v>476</v>
      </c>
      <c r="C103" t="s">
        <v>477</v>
      </c>
      <c r="D103" t="s">
        <v>478</v>
      </c>
      <c r="E103">
        <v>80</v>
      </c>
      <c r="F103" t="str">
        <f>IF(_xlfn.XLOOKUP(C103,'75'!$C$2:$C$509,'75'!$D$2:$D$509)=D103,'75'!F103)</f>
        <v>ok</v>
      </c>
    </row>
    <row r="104" spans="1:6" x14ac:dyDescent="0.45">
      <c r="A104" t="s">
        <v>479</v>
      </c>
      <c r="B104" t="s">
        <v>480</v>
      </c>
      <c r="C104" t="s">
        <v>481</v>
      </c>
      <c r="D104" t="s">
        <v>482</v>
      </c>
      <c r="E104">
        <v>89</v>
      </c>
      <c r="F104" t="str">
        <f>IF(_xlfn.XLOOKUP(C104,'75'!$C$2:$C$509,'75'!$D$2:$D$509)=D104,'75'!F104)</f>
        <v>no</v>
      </c>
    </row>
    <row r="105" spans="1:6" x14ac:dyDescent="0.45">
      <c r="A105" t="s">
        <v>491</v>
      </c>
      <c r="B105" t="s">
        <v>488</v>
      </c>
      <c r="C105" t="s">
        <v>492</v>
      </c>
      <c r="D105" t="s">
        <v>490</v>
      </c>
      <c r="E105">
        <v>82</v>
      </c>
      <c r="F105" t="str">
        <f>IF(_xlfn.XLOOKUP(C105,'75'!$C$2:$C$509,'75'!$D$2:$D$509)=D105,'75'!F105)</f>
        <v>no</v>
      </c>
    </row>
    <row r="106" spans="1:6" x14ac:dyDescent="0.45">
      <c r="A106" t="s">
        <v>493</v>
      </c>
      <c r="B106" t="s">
        <v>494</v>
      </c>
      <c r="C106" t="s">
        <v>495</v>
      </c>
      <c r="D106" t="s">
        <v>496</v>
      </c>
      <c r="E106">
        <v>84</v>
      </c>
      <c r="F106" t="str">
        <f>IF(_xlfn.XLOOKUP(C106,'75'!$C$2:$C$509,'75'!$D$2:$D$509)=D106,'75'!F106)</f>
        <v>no</v>
      </c>
    </row>
    <row r="107" spans="1:6" x14ac:dyDescent="0.45">
      <c r="A107" t="s">
        <v>497</v>
      </c>
      <c r="B107" t="s">
        <v>498</v>
      </c>
      <c r="C107" t="s">
        <v>499</v>
      </c>
      <c r="D107" t="s">
        <v>500</v>
      </c>
      <c r="E107">
        <v>92</v>
      </c>
      <c r="F107" t="str">
        <f>IF(_xlfn.XLOOKUP(C107,'75'!$C$2:$C$509,'75'!$D$2:$D$509)=D107,'75'!F107)</f>
        <v>no</v>
      </c>
    </row>
    <row r="108" spans="1:6" x14ac:dyDescent="0.45">
      <c r="A108" t="s">
        <v>501</v>
      </c>
      <c r="B108" t="s">
        <v>502</v>
      </c>
      <c r="C108" t="s">
        <v>503</v>
      </c>
      <c r="D108" t="s">
        <v>504</v>
      </c>
      <c r="E108">
        <v>95</v>
      </c>
      <c r="F108" t="str">
        <f>IF(_xlfn.XLOOKUP(C108,'75'!$C$2:$C$509,'75'!$D$2:$D$509)=D108,'75'!F108)</f>
        <v>ok</v>
      </c>
    </row>
    <row r="109" spans="1:6" x14ac:dyDescent="0.45">
      <c r="A109" t="s">
        <v>513</v>
      </c>
      <c r="B109" t="s">
        <v>514</v>
      </c>
      <c r="C109" t="s">
        <v>515</v>
      </c>
      <c r="D109" t="s">
        <v>516</v>
      </c>
      <c r="E109">
        <v>90</v>
      </c>
      <c r="F109" t="str">
        <f>IF(_xlfn.XLOOKUP(C109,'75'!$C$2:$C$509,'75'!$D$2:$D$509)=D109,'75'!F109)</f>
        <v>ok</v>
      </c>
    </row>
    <row r="110" spans="1:6" x14ac:dyDescent="0.45">
      <c r="A110" t="s">
        <v>521</v>
      </c>
      <c r="B110" t="s">
        <v>522</v>
      </c>
      <c r="C110" t="s">
        <v>523</v>
      </c>
      <c r="D110" t="s">
        <v>524</v>
      </c>
      <c r="E110">
        <v>80</v>
      </c>
      <c r="F110" t="str">
        <f>IF(_xlfn.XLOOKUP(C110,'75'!$C$2:$C$509,'75'!$D$2:$D$509)=D110,'75'!F110)</f>
        <v>ok</v>
      </c>
    </row>
    <row r="111" spans="1:6" x14ac:dyDescent="0.45">
      <c r="A111" t="s">
        <v>525</v>
      </c>
      <c r="B111" t="s">
        <v>526</v>
      </c>
      <c r="C111" t="s">
        <v>527</v>
      </c>
      <c r="D111" t="s">
        <v>528</v>
      </c>
      <c r="E111">
        <v>83</v>
      </c>
      <c r="F111" t="str">
        <f>IF(_xlfn.XLOOKUP(C111,'75'!$C$2:$C$509,'75'!$D$2:$D$509)=D111,'75'!F111)</f>
        <v>no</v>
      </c>
    </row>
    <row r="112" spans="1:6" x14ac:dyDescent="0.45">
      <c r="A112" t="s">
        <v>529</v>
      </c>
      <c r="B112" t="s">
        <v>530</v>
      </c>
      <c r="C112" t="s">
        <v>531</v>
      </c>
      <c r="D112" t="s">
        <v>532</v>
      </c>
      <c r="E112">
        <v>83</v>
      </c>
      <c r="F112" t="str">
        <f>IF(_xlfn.XLOOKUP(C112,'75'!$C$2:$C$509,'75'!$D$2:$D$509)=D112,'75'!F112)</f>
        <v>no</v>
      </c>
    </row>
    <row r="113" spans="1:6" x14ac:dyDescent="0.45">
      <c r="A113" t="s">
        <v>534</v>
      </c>
      <c r="B113" t="s">
        <v>537</v>
      </c>
      <c r="C113" t="s">
        <v>536</v>
      </c>
      <c r="D113" t="s">
        <v>538</v>
      </c>
      <c r="E113">
        <v>94</v>
      </c>
      <c r="F113" t="str">
        <f>IF(_xlfn.XLOOKUP(C113,'75'!$C$2:$C$509,'75'!$D$2:$D$509)=D113,'75'!F113)</f>
        <v>ok</v>
      </c>
    </row>
    <row r="114" spans="1:6" x14ac:dyDescent="0.45">
      <c r="A114" t="s">
        <v>539</v>
      </c>
      <c r="B114" t="s">
        <v>540</v>
      </c>
      <c r="C114" t="s">
        <v>541</v>
      </c>
      <c r="D114" t="s">
        <v>542</v>
      </c>
      <c r="E114">
        <v>88</v>
      </c>
      <c r="F114" t="str">
        <f>IF(_xlfn.XLOOKUP(C114,'75'!$C$2:$C$509,'75'!$D$2:$D$509)=D114,'75'!F114)</f>
        <v>ok</v>
      </c>
    </row>
    <row r="115" spans="1:6" x14ac:dyDescent="0.45">
      <c r="A115" t="s">
        <v>543</v>
      </c>
      <c r="B115" t="s">
        <v>544</v>
      </c>
      <c r="C115" t="s">
        <v>545</v>
      </c>
      <c r="D115" t="s">
        <v>546</v>
      </c>
      <c r="E115">
        <v>80</v>
      </c>
      <c r="F115" t="str">
        <f>IF(_xlfn.XLOOKUP(C115,'75'!$C$2:$C$509,'75'!$D$2:$D$509)=D115,'75'!F115)</f>
        <v>no</v>
      </c>
    </row>
    <row r="116" spans="1:6" x14ac:dyDescent="0.45">
      <c r="A116" t="s">
        <v>547</v>
      </c>
      <c r="B116" t="s">
        <v>548</v>
      </c>
      <c r="C116" t="s">
        <v>549</v>
      </c>
      <c r="D116" t="s">
        <v>550</v>
      </c>
      <c r="E116">
        <v>82</v>
      </c>
      <c r="F116" t="str">
        <f>IF(_xlfn.XLOOKUP(C116,'75'!$C$2:$C$509,'75'!$D$2:$D$509)=D116,'75'!F116)</f>
        <v>ok</v>
      </c>
    </row>
    <row r="117" spans="1:6" x14ac:dyDescent="0.45">
      <c r="A117" t="s">
        <v>563</v>
      </c>
      <c r="B117" t="s">
        <v>564</v>
      </c>
      <c r="C117" t="s">
        <v>565</v>
      </c>
      <c r="D117" t="s">
        <v>566</v>
      </c>
      <c r="E117">
        <v>83</v>
      </c>
      <c r="F117" t="str">
        <f>IF(_xlfn.XLOOKUP(C117,'75'!$C$2:$C$509,'75'!$D$2:$D$509)=D117,'75'!F117)</f>
        <v>ok</v>
      </c>
    </row>
    <row r="118" spans="1:6" x14ac:dyDescent="0.45">
      <c r="A118" t="s">
        <v>571</v>
      </c>
      <c r="B118" t="s">
        <v>572</v>
      </c>
      <c r="C118" t="s">
        <v>573</v>
      </c>
      <c r="D118" t="s">
        <v>574</v>
      </c>
      <c r="E118">
        <v>96</v>
      </c>
      <c r="F118" t="str">
        <f>IF(_xlfn.XLOOKUP(C118,'75'!$C$2:$C$509,'75'!$D$2:$D$509)=D118,'75'!F118)</f>
        <v>no</v>
      </c>
    </row>
    <row r="119" spans="1:6" x14ac:dyDescent="0.45">
      <c r="A119" t="s">
        <v>579</v>
      </c>
      <c r="B119" t="s">
        <v>580</v>
      </c>
      <c r="C119" t="s">
        <v>581</v>
      </c>
      <c r="D119" t="s">
        <v>582</v>
      </c>
      <c r="E119">
        <v>80</v>
      </c>
      <c r="F119" t="str">
        <f>IF(_xlfn.XLOOKUP(C119,'75'!$C$2:$C$509,'75'!$D$2:$D$509)=D119,'75'!F119)</f>
        <v>ok</v>
      </c>
    </row>
    <row r="120" spans="1:6" x14ac:dyDescent="0.45">
      <c r="A120" t="s">
        <v>585</v>
      </c>
      <c r="B120" t="s">
        <v>586</v>
      </c>
      <c r="C120" t="s">
        <v>587</v>
      </c>
      <c r="D120" t="s">
        <v>588</v>
      </c>
      <c r="E120">
        <v>79</v>
      </c>
      <c r="F120" t="str">
        <f>IF(_xlfn.XLOOKUP(C120,'75'!$C$2:$C$509,'75'!$D$2:$D$509)=D120,'75'!F120)</f>
        <v>no</v>
      </c>
    </row>
    <row r="121" spans="1:6" x14ac:dyDescent="0.45">
      <c r="A121" t="s">
        <v>580</v>
      </c>
      <c r="B121" t="s">
        <v>583</v>
      </c>
      <c r="C121" t="s">
        <v>582</v>
      </c>
      <c r="D121" t="s">
        <v>584</v>
      </c>
      <c r="E121">
        <v>94</v>
      </c>
      <c r="F121" t="str">
        <f>IF(_xlfn.XLOOKUP(C121,'75'!$C$2:$C$509,'75'!$D$2:$D$509)=D121,'75'!F121)</f>
        <v>ok</v>
      </c>
    </row>
    <row r="122" spans="1:6" x14ac:dyDescent="0.45">
      <c r="A122" t="s">
        <v>591</v>
      </c>
      <c r="B122" t="s">
        <v>592</v>
      </c>
      <c r="C122" t="s">
        <v>593</v>
      </c>
      <c r="D122" t="s">
        <v>594</v>
      </c>
      <c r="E122">
        <v>80</v>
      </c>
      <c r="F122" t="str">
        <f>IF(_xlfn.XLOOKUP(C122,'75'!$C$2:$C$509,'75'!$D$2:$D$509)=D122,'75'!F122)</f>
        <v>ok</v>
      </c>
    </row>
    <row r="123" spans="1:6" x14ac:dyDescent="0.45">
      <c r="A123" t="s">
        <v>595</v>
      </c>
      <c r="B123" t="s">
        <v>596</v>
      </c>
      <c r="C123" t="s">
        <v>597</v>
      </c>
      <c r="D123" t="s">
        <v>598</v>
      </c>
      <c r="E123">
        <v>80</v>
      </c>
      <c r="F123" t="str">
        <f>IF(_xlfn.XLOOKUP(C123,'75'!$C$2:$C$509,'75'!$D$2:$D$509)=D123,'75'!F123)</f>
        <v>no</v>
      </c>
    </row>
    <row r="124" spans="1:6" x14ac:dyDescent="0.45">
      <c r="A124" t="s">
        <v>599</v>
      </c>
      <c r="B124" t="s">
        <v>600</v>
      </c>
      <c r="C124" t="s">
        <v>601</v>
      </c>
      <c r="D124" t="s">
        <v>602</v>
      </c>
      <c r="E124">
        <v>96</v>
      </c>
      <c r="F124" t="str">
        <f>IF(_xlfn.XLOOKUP(C124,'75'!$C$2:$C$509,'75'!$D$2:$D$509)=D124,'75'!F124)</f>
        <v>ok</v>
      </c>
    </row>
    <row r="125" spans="1:6" x14ac:dyDescent="0.45">
      <c r="A125" t="s">
        <v>607</v>
      </c>
      <c r="B125" t="s">
        <v>608</v>
      </c>
      <c r="C125" t="s">
        <v>609</v>
      </c>
      <c r="D125" t="s">
        <v>610</v>
      </c>
      <c r="E125">
        <v>85</v>
      </c>
      <c r="F125" t="str">
        <f>IF(_xlfn.XLOOKUP(C125,'75'!$C$2:$C$509,'75'!$D$2:$D$509)=D125,'75'!F125)</f>
        <v>ok</v>
      </c>
    </row>
    <row r="126" spans="1:6" x14ac:dyDescent="0.45">
      <c r="A126" t="s">
        <v>611</v>
      </c>
      <c r="B126" t="s">
        <v>564</v>
      </c>
      <c r="C126" t="s">
        <v>612</v>
      </c>
      <c r="D126" t="s">
        <v>566</v>
      </c>
      <c r="E126">
        <v>89</v>
      </c>
      <c r="F126" t="str">
        <f>IF(_xlfn.XLOOKUP(C126,'75'!$C$2:$C$509,'75'!$D$2:$D$509)=D126,'75'!F126)</f>
        <v>no</v>
      </c>
    </row>
    <row r="127" spans="1:6" x14ac:dyDescent="0.45">
      <c r="A127" t="s">
        <v>613</v>
      </c>
      <c r="B127" t="s">
        <v>596</v>
      </c>
      <c r="C127" t="s">
        <v>614</v>
      </c>
      <c r="D127" t="s">
        <v>598</v>
      </c>
      <c r="E127">
        <v>80</v>
      </c>
      <c r="F127" t="str">
        <f>IF(_xlfn.XLOOKUP(C127,'75'!$C$2:$C$509,'75'!$D$2:$D$509)=D127,'75'!F127)</f>
        <v>ok</v>
      </c>
    </row>
    <row r="128" spans="1:6" x14ac:dyDescent="0.45">
      <c r="A128" t="s">
        <v>615</v>
      </c>
      <c r="B128" t="s">
        <v>616</v>
      </c>
      <c r="C128" t="s">
        <v>617</v>
      </c>
      <c r="D128" t="s">
        <v>618</v>
      </c>
      <c r="E128">
        <v>89</v>
      </c>
      <c r="F128" t="str">
        <f>IF(_xlfn.XLOOKUP(C128,'75'!$C$2:$C$509,'75'!$D$2:$D$509)=D128,'75'!F128)</f>
        <v>ok</v>
      </c>
    </row>
    <row r="129" spans="1:6" x14ac:dyDescent="0.45">
      <c r="A129" t="s">
        <v>627</v>
      </c>
      <c r="B129" t="s">
        <v>628</v>
      </c>
      <c r="C129" t="s">
        <v>629</v>
      </c>
      <c r="D129" t="s">
        <v>630</v>
      </c>
      <c r="E129">
        <v>92</v>
      </c>
      <c r="F129" t="str">
        <f>IF(_xlfn.XLOOKUP(C129,'75'!$C$2:$C$509,'75'!$D$2:$D$509)=D129,'75'!F129)</f>
        <v>no</v>
      </c>
    </row>
    <row r="130" spans="1:6" x14ac:dyDescent="0.45">
      <c r="A130" t="s">
        <v>635</v>
      </c>
      <c r="B130" t="s">
        <v>636</v>
      </c>
      <c r="C130" t="s">
        <v>637</v>
      </c>
      <c r="D130" t="s">
        <v>638</v>
      </c>
      <c r="E130">
        <v>94</v>
      </c>
      <c r="F130" t="str">
        <f>IF(_xlfn.XLOOKUP(C130,'75'!$C$2:$C$509,'75'!$D$2:$D$509)=D130,'75'!F130)</f>
        <v>ok</v>
      </c>
    </row>
    <row r="131" spans="1:6" x14ac:dyDescent="0.45">
      <c r="A131" t="s">
        <v>635</v>
      </c>
      <c r="B131" t="s">
        <v>639</v>
      </c>
      <c r="C131" t="s">
        <v>637</v>
      </c>
      <c r="D131" t="s">
        <v>640</v>
      </c>
      <c r="E131">
        <v>80</v>
      </c>
      <c r="F131" t="s">
        <v>1513</v>
      </c>
    </row>
    <row r="132" spans="1:6" x14ac:dyDescent="0.45">
      <c r="A132" t="s">
        <v>641</v>
      </c>
      <c r="B132" t="s">
        <v>642</v>
      </c>
      <c r="C132" t="s">
        <v>643</v>
      </c>
      <c r="D132" t="s">
        <v>644</v>
      </c>
      <c r="E132">
        <v>94</v>
      </c>
      <c r="F132" t="str">
        <f>IF(_xlfn.XLOOKUP(C132,'75'!$C$2:$C$509,'75'!$D$2:$D$509)=D132,'75'!F132)</f>
        <v>no</v>
      </c>
    </row>
    <row r="133" spans="1:6" x14ac:dyDescent="0.45">
      <c r="A133" t="s">
        <v>636</v>
      </c>
      <c r="B133" t="s">
        <v>639</v>
      </c>
      <c r="C133" t="s">
        <v>638</v>
      </c>
      <c r="D133" t="s">
        <v>640</v>
      </c>
      <c r="E133">
        <v>84</v>
      </c>
      <c r="F133" t="str">
        <f>IF(_xlfn.XLOOKUP(C133,'75'!$C$2:$C$509,'75'!$D$2:$D$509)=D133,'75'!F133)</f>
        <v>ok</v>
      </c>
    </row>
    <row r="134" spans="1:6" x14ac:dyDescent="0.45">
      <c r="A134" t="s">
        <v>645</v>
      </c>
      <c r="B134" t="s">
        <v>646</v>
      </c>
      <c r="C134" t="s">
        <v>647</v>
      </c>
      <c r="D134" t="s">
        <v>648</v>
      </c>
      <c r="E134">
        <v>91</v>
      </c>
      <c r="F134" t="str">
        <f>IF(_xlfn.XLOOKUP(C134,'75'!$C$2:$C$509,'75'!$D$2:$D$509)=D134,'75'!F134)</f>
        <v>no</v>
      </c>
    </row>
    <row r="135" spans="1:6" x14ac:dyDescent="0.45">
      <c r="A135" t="s">
        <v>649</v>
      </c>
      <c r="B135" t="s">
        <v>650</v>
      </c>
      <c r="C135" t="s">
        <v>651</v>
      </c>
      <c r="D135" t="s">
        <v>652</v>
      </c>
      <c r="E135">
        <v>98</v>
      </c>
      <c r="F135" t="str">
        <f>IF(_xlfn.XLOOKUP(C135,'75'!$C$2:$C$509,'75'!$D$2:$D$509)=D135,'75'!F135)</f>
        <v>ok</v>
      </c>
    </row>
    <row r="136" spans="1:6" x14ac:dyDescent="0.45">
      <c r="A136" t="s">
        <v>657</v>
      </c>
      <c r="B136" t="s">
        <v>658</v>
      </c>
      <c r="C136" t="s">
        <v>659</v>
      </c>
      <c r="D136" t="s">
        <v>660</v>
      </c>
      <c r="E136">
        <v>83</v>
      </c>
      <c r="F136" t="str">
        <f>IF(_xlfn.XLOOKUP(C136,'75'!$C$2:$C$509,'75'!$D$2:$D$509)=D136,'75'!F136)</f>
        <v>ok</v>
      </c>
    </row>
    <row r="137" spans="1:6" x14ac:dyDescent="0.45">
      <c r="A137" t="s">
        <v>665</v>
      </c>
      <c r="B137" t="s">
        <v>666</v>
      </c>
      <c r="C137" t="s">
        <v>667</v>
      </c>
      <c r="D137" t="s">
        <v>668</v>
      </c>
      <c r="E137">
        <v>80</v>
      </c>
      <c r="F137" t="str">
        <f>IF(_xlfn.XLOOKUP(C137,'75'!$C$2:$C$509,'75'!$D$2:$D$509)=D137,'75'!F137)</f>
        <v>no</v>
      </c>
    </row>
    <row r="138" spans="1:6" x14ac:dyDescent="0.45">
      <c r="A138" t="s">
        <v>669</v>
      </c>
      <c r="B138" t="s">
        <v>670</v>
      </c>
      <c r="C138" t="s">
        <v>671</v>
      </c>
      <c r="D138" t="s">
        <v>672</v>
      </c>
      <c r="E138">
        <v>85</v>
      </c>
      <c r="F138" t="str">
        <f>IF(_xlfn.XLOOKUP(C138,'75'!$C$2:$C$509,'75'!$D$2:$D$509)=D138,'75'!F138)</f>
        <v>no</v>
      </c>
    </row>
    <row r="139" spans="1:6" x14ac:dyDescent="0.45">
      <c r="A139" t="s">
        <v>673</v>
      </c>
      <c r="B139" t="s">
        <v>674</v>
      </c>
      <c r="C139" t="s">
        <v>675</v>
      </c>
      <c r="D139" t="s">
        <v>676</v>
      </c>
      <c r="E139">
        <v>82</v>
      </c>
      <c r="F139" t="str">
        <f>IF(_xlfn.XLOOKUP(C139,'75'!$C$2:$C$509,'75'!$D$2:$D$509)=D139,'75'!F139)</f>
        <v>ok</v>
      </c>
    </row>
    <row r="140" spans="1:6" x14ac:dyDescent="0.45">
      <c r="A140" t="s">
        <v>677</v>
      </c>
      <c r="B140" t="s">
        <v>678</v>
      </c>
      <c r="C140" t="s">
        <v>679</v>
      </c>
      <c r="D140" t="s">
        <v>680</v>
      </c>
      <c r="E140">
        <v>95</v>
      </c>
      <c r="F140" t="str">
        <f>IF(_xlfn.XLOOKUP(C140,'75'!$C$2:$C$509,'75'!$D$2:$D$509)=D140,'75'!F140)</f>
        <v>ok</v>
      </c>
    </row>
    <row r="141" spans="1:6" x14ac:dyDescent="0.45">
      <c r="A141" t="s">
        <v>681</v>
      </c>
      <c r="B141" t="s">
        <v>682</v>
      </c>
      <c r="C141" t="s">
        <v>683</v>
      </c>
      <c r="D141" t="s">
        <v>684</v>
      </c>
      <c r="E141">
        <v>87</v>
      </c>
      <c r="F141" t="str">
        <f>IF(_xlfn.XLOOKUP(C141,'75'!$C$2:$C$509,'75'!$D$2:$D$509)=D141,'75'!F141)</f>
        <v>no</v>
      </c>
    </row>
    <row r="142" spans="1:6" x14ac:dyDescent="0.45">
      <c r="A142" t="s">
        <v>685</v>
      </c>
      <c r="B142" t="s">
        <v>686</v>
      </c>
      <c r="C142" t="s">
        <v>687</v>
      </c>
      <c r="D142" t="s">
        <v>688</v>
      </c>
      <c r="E142">
        <v>91</v>
      </c>
      <c r="F142" t="str">
        <f>IF(_xlfn.XLOOKUP(C142,'75'!$C$2:$C$509,'75'!$D$2:$D$509)=D142,'75'!F142)</f>
        <v>no</v>
      </c>
    </row>
    <row r="143" spans="1:6" x14ac:dyDescent="0.45">
      <c r="A143" t="s">
        <v>689</v>
      </c>
      <c r="B143" t="s">
        <v>690</v>
      </c>
      <c r="C143" t="s">
        <v>691</v>
      </c>
      <c r="D143" t="s">
        <v>692</v>
      </c>
      <c r="E143">
        <v>80</v>
      </c>
      <c r="F143" t="str">
        <f>IF(_xlfn.XLOOKUP(C143,'75'!$C$2:$C$509,'75'!$D$2:$D$509)=D143,'75'!F143)</f>
        <v>ok</v>
      </c>
    </row>
    <row r="144" spans="1:6" x14ac:dyDescent="0.45">
      <c r="A144" t="s">
        <v>693</v>
      </c>
      <c r="B144" t="s">
        <v>694</v>
      </c>
      <c r="C144" t="s">
        <v>695</v>
      </c>
      <c r="D144" t="s">
        <v>696</v>
      </c>
      <c r="E144">
        <v>95</v>
      </c>
      <c r="F144" t="str">
        <f>IF(_xlfn.XLOOKUP(C144,'75'!$C$2:$C$509,'75'!$D$2:$D$509)=D144,'75'!F144)</f>
        <v>ok</v>
      </c>
    </row>
    <row r="145" spans="1:6" x14ac:dyDescent="0.45">
      <c r="A145" t="s">
        <v>697</v>
      </c>
      <c r="B145" t="s">
        <v>698</v>
      </c>
      <c r="C145" t="s">
        <v>699</v>
      </c>
      <c r="D145" t="s">
        <v>700</v>
      </c>
      <c r="E145">
        <v>90</v>
      </c>
      <c r="F145" t="str">
        <f>IF(_xlfn.XLOOKUP(C145,'75'!$C$2:$C$509,'75'!$D$2:$D$509)=D145,'75'!F145)</f>
        <v>no</v>
      </c>
    </row>
    <row r="146" spans="1:6" x14ac:dyDescent="0.45">
      <c r="A146" t="s">
        <v>701</v>
      </c>
      <c r="B146" t="s">
        <v>702</v>
      </c>
      <c r="C146" t="s">
        <v>703</v>
      </c>
      <c r="D146" t="s">
        <v>704</v>
      </c>
      <c r="E146">
        <v>80</v>
      </c>
      <c r="F146" t="str">
        <f>IF(_xlfn.XLOOKUP(C146,'75'!$C$2:$C$509,'75'!$D$2:$D$509)=D146,'75'!F146)</f>
        <v>ok</v>
      </c>
    </row>
    <row r="147" spans="1:6" x14ac:dyDescent="0.45">
      <c r="A147" t="s">
        <v>705</v>
      </c>
      <c r="B147" t="s">
        <v>706</v>
      </c>
      <c r="C147" t="s">
        <v>707</v>
      </c>
      <c r="D147" t="s">
        <v>708</v>
      </c>
      <c r="E147">
        <v>86</v>
      </c>
      <c r="F147" t="str">
        <f>IF(_xlfn.XLOOKUP(C147,'75'!$C$2:$C$509,'75'!$D$2:$D$509)=D147,'75'!F147)</f>
        <v>ok</v>
      </c>
    </row>
    <row r="148" spans="1:6" x14ac:dyDescent="0.45">
      <c r="A148" t="s">
        <v>709</v>
      </c>
      <c r="B148" t="s">
        <v>710</v>
      </c>
      <c r="C148" t="s">
        <v>711</v>
      </c>
      <c r="D148" t="s">
        <v>712</v>
      </c>
      <c r="E148">
        <v>92</v>
      </c>
      <c r="F148" t="str">
        <f>IF(_xlfn.XLOOKUP(C148,'75'!$C$2:$C$509,'75'!$D$2:$D$509)=D148,'75'!F148)</f>
        <v>ok</v>
      </c>
    </row>
    <row r="149" spans="1:6" x14ac:dyDescent="0.45">
      <c r="A149" t="s">
        <v>713</v>
      </c>
      <c r="B149" t="s">
        <v>714</v>
      </c>
      <c r="C149" t="s">
        <v>715</v>
      </c>
      <c r="D149" t="s">
        <v>716</v>
      </c>
      <c r="E149">
        <v>80</v>
      </c>
      <c r="F149" t="str">
        <f>IF(_xlfn.XLOOKUP(C149,'75'!$C$2:$C$509,'75'!$D$2:$D$509)=D149,'75'!F149)</f>
        <v>ok</v>
      </c>
    </row>
    <row r="150" spans="1:6" x14ac:dyDescent="0.45">
      <c r="A150" t="s">
        <v>713</v>
      </c>
      <c r="B150" t="s">
        <v>717</v>
      </c>
      <c r="C150" t="s">
        <v>715</v>
      </c>
      <c r="D150" t="s">
        <v>718</v>
      </c>
      <c r="E150">
        <v>89</v>
      </c>
      <c r="F150" t="s">
        <v>1512</v>
      </c>
    </row>
    <row r="151" spans="1:6" x14ac:dyDescent="0.45">
      <c r="A151" t="s">
        <v>713</v>
      </c>
      <c r="B151" t="s">
        <v>719</v>
      </c>
      <c r="C151" t="s">
        <v>715</v>
      </c>
      <c r="D151" t="s">
        <v>720</v>
      </c>
      <c r="E151">
        <v>80</v>
      </c>
      <c r="F151" t="s">
        <v>1513</v>
      </c>
    </row>
    <row r="152" spans="1:6" x14ac:dyDescent="0.45">
      <c r="A152" t="s">
        <v>713</v>
      </c>
      <c r="B152" t="s">
        <v>721</v>
      </c>
      <c r="C152" t="s">
        <v>715</v>
      </c>
      <c r="D152" t="s">
        <v>722</v>
      </c>
      <c r="E152">
        <v>83</v>
      </c>
      <c r="F152" t="s">
        <v>1512</v>
      </c>
    </row>
    <row r="153" spans="1:6" x14ac:dyDescent="0.45">
      <c r="A153" t="s">
        <v>723</v>
      </c>
      <c r="B153" t="s">
        <v>724</v>
      </c>
      <c r="C153" t="s">
        <v>725</v>
      </c>
      <c r="D153" t="s">
        <v>726</v>
      </c>
      <c r="E153">
        <v>80</v>
      </c>
      <c r="F153" t="s">
        <v>1513</v>
      </c>
    </row>
    <row r="154" spans="1:6" x14ac:dyDescent="0.45">
      <c r="A154" t="s">
        <v>723</v>
      </c>
      <c r="B154" t="s">
        <v>727</v>
      </c>
      <c r="C154" t="s">
        <v>725</v>
      </c>
      <c r="D154" t="s">
        <v>728</v>
      </c>
      <c r="E154">
        <v>80</v>
      </c>
      <c r="F154" t="s">
        <v>1513</v>
      </c>
    </row>
    <row r="155" spans="1:6" x14ac:dyDescent="0.45">
      <c r="A155" t="s">
        <v>723</v>
      </c>
      <c r="B155" t="s">
        <v>729</v>
      </c>
      <c r="C155" t="s">
        <v>725</v>
      </c>
      <c r="D155" t="s">
        <v>730</v>
      </c>
      <c r="E155">
        <v>80</v>
      </c>
      <c r="F155" t="s">
        <v>1513</v>
      </c>
    </row>
    <row r="156" spans="1:6" x14ac:dyDescent="0.45">
      <c r="A156" t="s">
        <v>731</v>
      </c>
      <c r="B156" t="s">
        <v>735</v>
      </c>
      <c r="C156" t="s">
        <v>733</v>
      </c>
      <c r="D156" t="s">
        <v>736</v>
      </c>
      <c r="E156">
        <v>94</v>
      </c>
      <c r="F156" t="s">
        <v>1512</v>
      </c>
    </row>
    <row r="157" spans="1:6" x14ac:dyDescent="0.45">
      <c r="A157" t="s">
        <v>737</v>
      </c>
      <c r="B157" t="s">
        <v>741</v>
      </c>
      <c r="C157" t="s">
        <v>739</v>
      </c>
      <c r="D157" t="s">
        <v>742</v>
      </c>
      <c r="E157">
        <v>90</v>
      </c>
      <c r="F157" t="s">
        <v>1513</v>
      </c>
    </row>
    <row r="158" spans="1:6" x14ac:dyDescent="0.45">
      <c r="A158" t="s">
        <v>743</v>
      </c>
      <c r="B158" t="s">
        <v>747</v>
      </c>
      <c r="C158" t="s">
        <v>745</v>
      </c>
      <c r="D158" t="s">
        <v>748</v>
      </c>
      <c r="E158">
        <v>80</v>
      </c>
      <c r="F158" t="s">
        <v>1513</v>
      </c>
    </row>
    <row r="159" spans="1:6" x14ac:dyDescent="0.45">
      <c r="A159" t="s">
        <v>749</v>
      </c>
      <c r="B159" t="s">
        <v>753</v>
      </c>
      <c r="C159" t="s">
        <v>751</v>
      </c>
      <c r="D159" t="s">
        <v>754</v>
      </c>
      <c r="E159">
        <v>82</v>
      </c>
      <c r="F159" t="s">
        <v>1512</v>
      </c>
    </row>
    <row r="160" spans="1:6" x14ac:dyDescent="0.45">
      <c r="A160" t="s">
        <v>749</v>
      </c>
      <c r="B160" t="s">
        <v>755</v>
      </c>
      <c r="C160" t="s">
        <v>751</v>
      </c>
      <c r="D160" t="s">
        <v>756</v>
      </c>
      <c r="E160">
        <v>83</v>
      </c>
      <c r="F160" t="s">
        <v>1512</v>
      </c>
    </row>
    <row r="161" spans="1:6" x14ac:dyDescent="0.45">
      <c r="A161" t="s">
        <v>724</v>
      </c>
      <c r="B161" t="s">
        <v>727</v>
      </c>
      <c r="C161" t="s">
        <v>726</v>
      </c>
      <c r="D161" t="s">
        <v>728</v>
      </c>
      <c r="E161">
        <v>78</v>
      </c>
      <c r="F161" t="str">
        <f>IF(_xlfn.XLOOKUP(C161,'75'!$C$2:$C$509,'75'!$D$2:$D$509)=D161,'75'!F161)</f>
        <v>no</v>
      </c>
    </row>
    <row r="162" spans="1:6" x14ac:dyDescent="0.45">
      <c r="A162" t="s">
        <v>724</v>
      </c>
      <c r="B162" t="s">
        <v>729</v>
      </c>
      <c r="C162" t="s">
        <v>726</v>
      </c>
      <c r="D162" t="s">
        <v>730</v>
      </c>
      <c r="E162">
        <v>78</v>
      </c>
      <c r="F162" t="s">
        <v>1513</v>
      </c>
    </row>
    <row r="163" spans="1:6" x14ac:dyDescent="0.45">
      <c r="A163" t="s">
        <v>761</v>
      </c>
      <c r="B163" t="s">
        <v>762</v>
      </c>
      <c r="C163" t="s">
        <v>763</v>
      </c>
      <c r="D163" t="s">
        <v>764</v>
      </c>
      <c r="E163">
        <v>81</v>
      </c>
      <c r="F163" t="str">
        <f>IF(_xlfn.XLOOKUP(C163,'75'!$C$2:$C$509,'75'!$D$2:$D$509)=D163,'75'!F163)</f>
        <v>ok</v>
      </c>
    </row>
    <row r="164" spans="1:6" x14ac:dyDescent="0.45">
      <c r="A164" t="s">
        <v>765</v>
      </c>
      <c r="B164" t="s">
        <v>753</v>
      </c>
      <c r="C164" t="s">
        <v>766</v>
      </c>
      <c r="D164" t="s">
        <v>754</v>
      </c>
      <c r="E164">
        <v>80</v>
      </c>
      <c r="F164" t="str">
        <f>IF(_xlfn.XLOOKUP(C164,'75'!$C$2:$C$509,'75'!$D$2:$D$509)=D164,'75'!F164)</f>
        <v>ok</v>
      </c>
    </row>
    <row r="165" spans="1:6" x14ac:dyDescent="0.45">
      <c r="A165" t="s">
        <v>767</v>
      </c>
      <c r="B165" t="s">
        <v>768</v>
      </c>
      <c r="C165" t="s">
        <v>769</v>
      </c>
      <c r="D165" t="s">
        <v>770</v>
      </c>
      <c r="E165">
        <v>78</v>
      </c>
      <c r="F165" t="str">
        <f>IF(_xlfn.XLOOKUP(C165,'75'!$C$2:$C$509,'75'!$D$2:$D$509)=D165,'75'!F165)</f>
        <v>no</v>
      </c>
    </row>
    <row r="166" spans="1:6" x14ac:dyDescent="0.45">
      <c r="A166" t="s">
        <v>771</v>
      </c>
      <c r="B166" t="s">
        <v>772</v>
      </c>
      <c r="C166" t="s">
        <v>773</v>
      </c>
      <c r="D166" t="s">
        <v>774</v>
      </c>
      <c r="E166">
        <v>86</v>
      </c>
      <c r="F166" t="str">
        <f>IF(_xlfn.XLOOKUP(C166,'75'!$C$2:$C$509,'75'!$D$2:$D$509)=D166,'75'!F166)</f>
        <v>no</v>
      </c>
    </row>
    <row r="167" spans="1:6" x14ac:dyDescent="0.45">
      <c r="A167" t="s">
        <v>779</v>
      </c>
      <c r="B167" t="s">
        <v>780</v>
      </c>
      <c r="C167" t="s">
        <v>781</v>
      </c>
      <c r="D167" t="s">
        <v>782</v>
      </c>
      <c r="E167">
        <v>83</v>
      </c>
      <c r="F167" t="str">
        <f>IF(_xlfn.XLOOKUP(C167,'75'!$C$2:$C$509,'75'!$D$2:$D$509)=D167,'75'!F167)</f>
        <v>ok</v>
      </c>
    </row>
    <row r="168" spans="1:6" x14ac:dyDescent="0.45">
      <c r="A168" t="s">
        <v>785</v>
      </c>
      <c r="B168" t="s">
        <v>776</v>
      </c>
      <c r="C168" t="s">
        <v>786</v>
      </c>
      <c r="D168" t="s">
        <v>778</v>
      </c>
      <c r="E168">
        <v>83</v>
      </c>
      <c r="F168" t="str">
        <f>IF(_xlfn.XLOOKUP(C168,'75'!$C$2:$C$509,'75'!$D$2:$D$509)=D168,'75'!F168)</f>
        <v>ok</v>
      </c>
    </row>
    <row r="169" spans="1:6" x14ac:dyDescent="0.45">
      <c r="A169" t="s">
        <v>787</v>
      </c>
      <c r="B169" t="s">
        <v>788</v>
      </c>
      <c r="C169" t="s">
        <v>789</v>
      </c>
      <c r="D169" t="s">
        <v>790</v>
      </c>
      <c r="E169">
        <v>94</v>
      </c>
      <c r="F169" t="str">
        <f>IF(_xlfn.XLOOKUP(C169,'75'!$C$2:$C$509,'75'!$D$2:$D$509)=D169,'75'!F169)</f>
        <v>no</v>
      </c>
    </row>
    <row r="170" spans="1:6" x14ac:dyDescent="0.45">
      <c r="A170" t="s">
        <v>795</v>
      </c>
      <c r="B170" t="s">
        <v>796</v>
      </c>
      <c r="C170" t="s">
        <v>797</v>
      </c>
      <c r="D170" t="s">
        <v>798</v>
      </c>
      <c r="E170">
        <v>97</v>
      </c>
      <c r="F170" t="str">
        <f>IF(_xlfn.XLOOKUP(C170,'75'!$C$2:$C$509,'75'!$D$2:$D$509)=D170,'75'!F170)</f>
        <v>no</v>
      </c>
    </row>
    <row r="171" spans="1:6" x14ac:dyDescent="0.45">
      <c r="A171" t="s">
        <v>780</v>
      </c>
      <c r="B171" t="s">
        <v>799</v>
      </c>
      <c r="C171" t="s">
        <v>782</v>
      </c>
      <c r="D171" t="s">
        <v>800</v>
      </c>
      <c r="E171">
        <v>80</v>
      </c>
      <c r="F171" t="str">
        <f>IF(_xlfn.XLOOKUP(C171,'75'!$C$2:$C$509,'75'!$D$2:$D$509)=D171,'75'!F171)</f>
        <v>no</v>
      </c>
    </row>
    <row r="172" spans="1:6" x14ac:dyDescent="0.45">
      <c r="A172" t="s">
        <v>801</v>
      </c>
      <c r="B172" t="s">
        <v>802</v>
      </c>
      <c r="C172" t="s">
        <v>803</v>
      </c>
      <c r="D172" t="s">
        <v>804</v>
      </c>
      <c r="E172">
        <v>82</v>
      </c>
      <c r="F172" t="str">
        <f>IF(_xlfn.XLOOKUP(C172,'75'!$C$2:$C$509,'75'!$D$2:$D$509)=D172,'75'!F172)</f>
        <v>no</v>
      </c>
    </row>
    <row r="173" spans="1:6" x14ac:dyDescent="0.45">
      <c r="A173" t="s">
        <v>744</v>
      </c>
      <c r="B173" t="s">
        <v>805</v>
      </c>
      <c r="C173" t="s">
        <v>746</v>
      </c>
      <c r="D173" t="s">
        <v>806</v>
      </c>
      <c r="E173">
        <v>80</v>
      </c>
      <c r="F173" t="str">
        <f>IF(_xlfn.XLOOKUP(C173,'75'!$C$2:$C$509,'75'!$D$2:$D$509)=D173,'75'!F173)</f>
        <v>no</v>
      </c>
    </row>
    <row r="174" spans="1:6" x14ac:dyDescent="0.45">
      <c r="A174" t="s">
        <v>744</v>
      </c>
      <c r="B174" t="s">
        <v>807</v>
      </c>
      <c r="C174" t="s">
        <v>746</v>
      </c>
      <c r="D174" t="s">
        <v>808</v>
      </c>
      <c r="E174">
        <v>84</v>
      </c>
      <c r="F174" t="s">
        <v>1513</v>
      </c>
    </row>
    <row r="175" spans="1:6" x14ac:dyDescent="0.45">
      <c r="A175" t="s">
        <v>809</v>
      </c>
      <c r="B175" t="s">
        <v>719</v>
      </c>
      <c r="C175" t="s">
        <v>810</v>
      </c>
      <c r="D175" t="s">
        <v>720</v>
      </c>
      <c r="E175">
        <v>80</v>
      </c>
      <c r="F175" t="str">
        <f>IF(_xlfn.XLOOKUP(C175,'75'!$C$2:$C$509,'75'!$D$2:$D$509)=D175,'75'!F175)</f>
        <v>ok</v>
      </c>
    </row>
    <row r="176" spans="1:6" x14ac:dyDescent="0.45">
      <c r="A176" t="s">
        <v>738</v>
      </c>
      <c r="B176" t="s">
        <v>741</v>
      </c>
      <c r="C176" t="s">
        <v>740</v>
      </c>
      <c r="D176" t="s">
        <v>742</v>
      </c>
      <c r="E176">
        <v>86</v>
      </c>
      <c r="F176" t="str">
        <f>IF(_xlfn.XLOOKUP(C176,'75'!$C$2:$C$509,'75'!$D$2:$D$509)=D176,'75'!F176)</f>
        <v>no</v>
      </c>
    </row>
    <row r="177" spans="1:6" x14ac:dyDescent="0.45">
      <c r="A177" t="s">
        <v>811</v>
      </c>
      <c r="B177" t="s">
        <v>812</v>
      </c>
      <c r="C177" t="s">
        <v>813</v>
      </c>
      <c r="D177" t="s">
        <v>814</v>
      </c>
      <c r="E177">
        <v>89</v>
      </c>
      <c r="F177" t="str">
        <f>IF(_xlfn.XLOOKUP(C177,'75'!$C$2:$C$509,'75'!$D$2:$D$509)=D177,'75'!F177)</f>
        <v>ok</v>
      </c>
    </row>
    <row r="178" spans="1:6" x14ac:dyDescent="0.45">
      <c r="A178" t="s">
        <v>802</v>
      </c>
      <c r="B178" t="s">
        <v>815</v>
      </c>
      <c r="C178" t="s">
        <v>804</v>
      </c>
      <c r="D178" t="s">
        <v>816</v>
      </c>
      <c r="E178">
        <v>80</v>
      </c>
      <c r="F178" t="str">
        <f>IF(_xlfn.XLOOKUP(C178,'75'!$C$2:$C$509,'75'!$D$2:$D$509)=D178,'75'!F178)</f>
        <v>no</v>
      </c>
    </row>
    <row r="179" spans="1:6" x14ac:dyDescent="0.45">
      <c r="A179" t="s">
        <v>817</v>
      </c>
      <c r="B179" t="s">
        <v>755</v>
      </c>
      <c r="C179" t="s">
        <v>818</v>
      </c>
      <c r="D179" t="s">
        <v>756</v>
      </c>
      <c r="E179">
        <v>80</v>
      </c>
      <c r="F179" t="str">
        <f>IF(_xlfn.XLOOKUP(C179,'75'!$C$2:$C$509,'75'!$D$2:$D$509)=D179,'75'!F179)</f>
        <v>ok</v>
      </c>
    </row>
    <row r="180" spans="1:6" x14ac:dyDescent="0.45">
      <c r="A180" t="s">
        <v>805</v>
      </c>
      <c r="B180" t="s">
        <v>819</v>
      </c>
      <c r="C180" t="s">
        <v>806</v>
      </c>
      <c r="D180" t="s">
        <v>820</v>
      </c>
      <c r="E180">
        <v>78</v>
      </c>
      <c r="F180" t="s">
        <v>1512</v>
      </c>
    </row>
    <row r="181" spans="1:6" x14ac:dyDescent="0.45">
      <c r="A181" t="s">
        <v>821</v>
      </c>
      <c r="B181" t="s">
        <v>822</v>
      </c>
      <c r="C181" t="s">
        <v>823</v>
      </c>
      <c r="D181" t="s">
        <v>824</v>
      </c>
      <c r="E181">
        <v>89</v>
      </c>
      <c r="F181" t="str">
        <f>IF(_xlfn.XLOOKUP(C181,'75'!$C$2:$C$509,'75'!$D$2:$D$509)=D181,'75'!F181)</f>
        <v>no</v>
      </c>
    </row>
    <row r="182" spans="1:6" x14ac:dyDescent="0.45">
      <c r="A182" t="s">
        <v>825</v>
      </c>
      <c r="B182" t="s">
        <v>826</v>
      </c>
      <c r="C182" t="s">
        <v>827</v>
      </c>
      <c r="D182" t="s">
        <v>828</v>
      </c>
      <c r="E182">
        <v>80</v>
      </c>
      <c r="F182" t="str">
        <f>IF(_xlfn.XLOOKUP(C182,'75'!$C$2:$C$509,'75'!$D$2:$D$509)=D182,'75'!F182)</f>
        <v>no</v>
      </c>
    </row>
    <row r="183" spans="1:6" x14ac:dyDescent="0.45">
      <c r="A183" t="s">
        <v>835</v>
      </c>
      <c r="B183" t="s">
        <v>836</v>
      </c>
      <c r="C183" t="s">
        <v>837</v>
      </c>
      <c r="D183" t="s">
        <v>838</v>
      </c>
      <c r="E183">
        <v>88</v>
      </c>
      <c r="F183" t="str">
        <f>IF(_xlfn.XLOOKUP(C183,'75'!$C$2:$C$509,'75'!$D$2:$D$509)=D183,'75'!F183)</f>
        <v>ok</v>
      </c>
    </row>
    <row r="184" spans="1:6" x14ac:dyDescent="0.45">
      <c r="A184" t="s">
        <v>714</v>
      </c>
      <c r="B184" t="s">
        <v>719</v>
      </c>
      <c r="C184" t="s">
        <v>716</v>
      </c>
      <c r="D184" t="s">
        <v>720</v>
      </c>
      <c r="E184">
        <v>80</v>
      </c>
      <c r="F184" t="str">
        <f>IF(_xlfn.XLOOKUP(C184,'75'!$C$2:$C$509,'75'!$D$2:$D$509)=D184,'75'!F184)</f>
        <v>no</v>
      </c>
    </row>
    <row r="185" spans="1:6" x14ac:dyDescent="0.45">
      <c r="A185" t="s">
        <v>839</v>
      </c>
      <c r="B185" t="s">
        <v>840</v>
      </c>
      <c r="C185" t="s">
        <v>841</v>
      </c>
      <c r="D185" t="s">
        <v>842</v>
      </c>
      <c r="E185">
        <v>86</v>
      </c>
      <c r="F185" t="str">
        <f>IF(_xlfn.XLOOKUP(C185,'75'!$C$2:$C$509,'75'!$D$2:$D$509)=D185,'75'!F185)</f>
        <v>ok</v>
      </c>
    </row>
    <row r="186" spans="1:6" x14ac:dyDescent="0.45">
      <c r="A186" t="s">
        <v>847</v>
      </c>
      <c r="B186" t="s">
        <v>848</v>
      </c>
      <c r="C186" t="s">
        <v>849</v>
      </c>
      <c r="D186" t="s">
        <v>850</v>
      </c>
      <c r="E186">
        <v>90</v>
      </c>
      <c r="F186" t="str">
        <f>IF(_xlfn.XLOOKUP(C186,'75'!$C$2:$C$509,'75'!$D$2:$D$509)=D186,'75'!F186)</f>
        <v>ok</v>
      </c>
    </row>
    <row r="187" spans="1:6" x14ac:dyDescent="0.45">
      <c r="A187" t="s">
        <v>855</v>
      </c>
      <c r="B187" t="s">
        <v>856</v>
      </c>
      <c r="C187" t="s">
        <v>857</v>
      </c>
      <c r="D187" t="s">
        <v>858</v>
      </c>
      <c r="E187">
        <v>82</v>
      </c>
      <c r="F187" t="str">
        <f>IF(_xlfn.XLOOKUP(C187,'75'!$C$2:$C$509,'75'!$D$2:$D$509)=D187,'75'!F187)</f>
        <v>no</v>
      </c>
    </row>
    <row r="188" spans="1:6" x14ac:dyDescent="0.45">
      <c r="A188" t="s">
        <v>859</v>
      </c>
      <c r="B188" t="s">
        <v>860</v>
      </c>
      <c r="C188" t="s">
        <v>861</v>
      </c>
      <c r="D188" t="s">
        <v>862</v>
      </c>
      <c r="E188">
        <v>85</v>
      </c>
      <c r="F188" t="str">
        <f>IF(_xlfn.XLOOKUP(C188,'75'!$C$2:$C$509,'75'!$D$2:$D$509)=D188,'75'!F188)</f>
        <v>no</v>
      </c>
    </row>
    <row r="189" spans="1:6" x14ac:dyDescent="0.45">
      <c r="A189" t="s">
        <v>863</v>
      </c>
      <c r="B189" t="s">
        <v>864</v>
      </c>
      <c r="C189" t="s">
        <v>865</v>
      </c>
      <c r="D189" t="s">
        <v>866</v>
      </c>
      <c r="E189">
        <v>80</v>
      </c>
      <c r="F189" t="str">
        <f>IF(_xlfn.XLOOKUP(C189,'75'!$C$2:$C$509,'75'!$D$2:$D$509)=D189,'75'!F189)</f>
        <v>ok</v>
      </c>
    </row>
    <row r="190" spans="1:6" x14ac:dyDescent="0.45">
      <c r="A190" t="s">
        <v>869</v>
      </c>
      <c r="B190" t="s">
        <v>870</v>
      </c>
      <c r="C190" t="s">
        <v>871</v>
      </c>
      <c r="D190" t="s">
        <v>872</v>
      </c>
      <c r="E190">
        <v>81</v>
      </c>
      <c r="F190" t="str">
        <f>IF(_xlfn.XLOOKUP(C190,'75'!$C$2:$C$509,'75'!$D$2:$D$509)=D190,'75'!F190)</f>
        <v>no</v>
      </c>
    </row>
    <row r="191" spans="1:6" x14ac:dyDescent="0.45">
      <c r="A191" t="s">
        <v>873</v>
      </c>
      <c r="B191" t="s">
        <v>874</v>
      </c>
      <c r="C191" t="s">
        <v>875</v>
      </c>
      <c r="D191" t="s">
        <v>876</v>
      </c>
      <c r="E191">
        <v>83</v>
      </c>
      <c r="F191" t="str">
        <f>IF(_xlfn.XLOOKUP(C191,'75'!$C$2:$C$509,'75'!$D$2:$D$509)=D191,'75'!F191)</f>
        <v>ok</v>
      </c>
    </row>
    <row r="192" spans="1:6" x14ac:dyDescent="0.45">
      <c r="A192" t="s">
        <v>848</v>
      </c>
      <c r="B192" t="s">
        <v>878</v>
      </c>
      <c r="C192" t="s">
        <v>850</v>
      </c>
      <c r="D192" t="s">
        <v>880</v>
      </c>
      <c r="E192">
        <v>86</v>
      </c>
      <c r="F192" t="str">
        <f>IF(_xlfn.XLOOKUP(C192,'75'!$C$2:$C$509,'75'!$D$2:$D$509)=D192,'75'!F192)</f>
        <v>no</v>
      </c>
    </row>
    <row r="193" spans="1:6" x14ac:dyDescent="0.45">
      <c r="A193" t="s">
        <v>851</v>
      </c>
      <c r="B193" t="s">
        <v>853</v>
      </c>
      <c r="C193" t="s">
        <v>852</v>
      </c>
      <c r="D193" t="s">
        <v>854</v>
      </c>
      <c r="E193">
        <v>79</v>
      </c>
      <c r="F193" t="str">
        <f>IF(_xlfn.XLOOKUP(C193,'75'!$C$2:$C$509,'75'!$D$2:$D$509)=D193,'75'!F193)</f>
        <v>no</v>
      </c>
    </row>
    <row r="194" spans="1:6" x14ac:dyDescent="0.45">
      <c r="A194" t="s">
        <v>885</v>
      </c>
      <c r="B194" t="s">
        <v>886</v>
      </c>
      <c r="C194" t="s">
        <v>887</v>
      </c>
      <c r="D194" t="s">
        <v>888</v>
      </c>
      <c r="E194">
        <v>78</v>
      </c>
      <c r="F194" t="str">
        <f>IF(_xlfn.XLOOKUP(C194,'75'!$C$2:$C$509,'75'!$D$2:$D$509)=D194,'75'!F194)</f>
        <v>ok</v>
      </c>
    </row>
    <row r="195" spans="1:6" x14ac:dyDescent="0.45">
      <c r="A195" t="s">
        <v>893</v>
      </c>
      <c r="B195" t="s">
        <v>894</v>
      </c>
      <c r="C195" t="s">
        <v>895</v>
      </c>
      <c r="D195" t="s">
        <v>896</v>
      </c>
      <c r="E195">
        <v>81</v>
      </c>
      <c r="F195" t="str">
        <f>IF(_xlfn.XLOOKUP(C195,'75'!$C$2:$C$509,'75'!$D$2:$D$509)=D195,'75'!F195)</f>
        <v>no</v>
      </c>
    </row>
    <row r="196" spans="1:6" x14ac:dyDescent="0.45">
      <c r="A196" t="s">
        <v>897</v>
      </c>
      <c r="B196" t="s">
        <v>898</v>
      </c>
      <c r="C196" t="s">
        <v>899</v>
      </c>
      <c r="D196" t="s">
        <v>900</v>
      </c>
      <c r="E196">
        <v>79</v>
      </c>
      <c r="F196" t="str">
        <f>IF(_xlfn.XLOOKUP(C196,'75'!$C$2:$C$509,'75'!$D$2:$D$509)=D196,'75'!F196)</f>
        <v>no</v>
      </c>
    </row>
    <row r="197" spans="1:6" x14ac:dyDescent="0.45">
      <c r="A197" t="s">
        <v>901</v>
      </c>
      <c r="B197" t="s">
        <v>902</v>
      </c>
      <c r="C197" t="s">
        <v>903</v>
      </c>
      <c r="D197" t="s">
        <v>904</v>
      </c>
      <c r="E197">
        <v>83</v>
      </c>
      <c r="F197" t="str">
        <f>IF(_xlfn.XLOOKUP(C197,'75'!$C$2:$C$509,'75'!$D$2:$D$509)=D197,'75'!F197)</f>
        <v>no</v>
      </c>
    </row>
    <row r="198" spans="1:6" x14ac:dyDescent="0.45">
      <c r="A198" t="s">
        <v>905</v>
      </c>
      <c r="B198" t="s">
        <v>909</v>
      </c>
      <c r="C198" t="s">
        <v>907</v>
      </c>
      <c r="D198" t="s">
        <v>910</v>
      </c>
      <c r="E198">
        <v>80</v>
      </c>
      <c r="F198" t="s">
        <v>1512</v>
      </c>
    </row>
    <row r="199" spans="1:6" x14ac:dyDescent="0.45">
      <c r="A199" t="s">
        <v>911</v>
      </c>
      <c r="B199" t="s">
        <v>912</v>
      </c>
      <c r="C199" t="s">
        <v>913</v>
      </c>
      <c r="D199" t="s">
        <v>914</v>
      </c>
      <c r="E199">
        <v>79</v>
      </c>
      <c r="F199" t="str">
        <f>IF(_xlfn.XLOOKUP(C199,'75'!$C$2:$C$509,'75'!$D$2:$D$509)=D199,'75'!F199)</f>
        <v>ok</v>
      </c>
    </row>
    <row r="200" spans="1:6" x14ac:dyDescent="0.45">
      <c r="A200" t="s">
        <v>915</v>
      </c>
      <c r="B200" t="s">
        <v>916</v>
      </c>
      <c r="C200" t="s">
        <v>917</v>
      </c>
      <c r="D200" t="s">
        <v>918</v>
      </c>
      <c r="E200">
        <v>92</v>
      </c>
      <c r="F200" t="str">
        <f>IF(_xlfn.XLOOKUP(C200,'75'!$C$2:$C$509,'75'!$D$2:$D$509)=D200,'75'!F200)</f>
        <v>ok</v>
      </c>
    </row>
    <row r="201" spans="1:6" x14ac:dyDescent="0.45">
      <c r="A201" t="s">
        <v>919</v>
      </c>
      <c r="B201" t="s">
        <v>920</v>
      </c>
      <c r="C201" t="s">
        <v>921</v>
      </c>
      <c r="D201" t="s">
        <v>922</v>
      </c>
      <c r="E201">
        <v>97</v>
      </c>
      <c r="F201" t="str">
        <f>IF(_xlfn.XLOOKUP(C201,'75'!$C$2:$C$509,'75'!$D$2:$D$509)=D201,'75'!F201)</f>
        <v>ok</v>
      </c>
    </row>
    <row r="202" spans="1:6" x14ac:dyDescent="0.45">
      <c r="A202" t="s">
        <v>923</v>
      </c>
      <c r="B202" t="s">
        <v>924</v>
      </c>
      <c r="C202" t="s">
        <v>925</v>
      </c>
      <c r="D202" t="s">
        <v>926</v>
      </c>
      <c r="E202">
        <v>93</v>
      </c>
      <c r="F202" t="str">
        <f>IF(_xlfn.XLOOKUP(C202,'75'!$C$2:$C$509,'75'!$D$2:$D$509)=D202,'75'!F202)</f>
        <v>no</v>
      </c>
    </row>
    <row r="203" spans="1:6" x14ac:dyDescent="0.45">
      <c r="A203" t="s">
        <v>931</v>
      </c>
      <c r="B203" t="s">
        <v>932</v>
      </c>
      <c r="C203" t="s">
        <v>933</v>
      </c>
      <c r="D203" t="s">
        <v>934</v>
      </c>
      <c r="E203">
        <v>83</v>
      </c>
      <c r="F203" t="str">
        <f>IF(_xlfn.XLOOKUP(C203,'75'!$C$2:$C$509,'75'!$D$2:$D$509)=D203,'75'!F203)</f>
        <v>no</v>
      </c>
    </row>
    <row r="204" spans="1:6" x14ac:dyDescent="0.45">
      <c r="A204" t="s">
        <v>840</v>
      </c>
      <c r="B204" t="s">
        <v>935</v>
      </c>
      <c r="C204" t="s">
        <v>842</v>
      </c>
      <c r="D204" t="s">
        <v>936</v>
      </c>
      <c r="E204">
        <v>80</v>
      </c>
      <c r="F204" t="str">
        <f>IF(_xlfn.XLOOKUP(C204,'75'!$C$2:$C$509,'75'!$D$2:$D$509)=D204,'75'!F204)</f>
        <v>no</v>
      </c>
    </row>
    <row r="205" spans="1:6" x14ac:dyDescent="0.45">
      <c r="A205" t="s">
        <v>945</v>
      </c>
      <c r="B205" t="s">
        <v>946</v>
      </c>
      <c r="C205" t="s">
        <v>947</v>
      </c>
      <c r="D205" t="s">
        <v>948</v>
      </c>
      <c r="E205">
        <v>86</v>
      </c>
      <c r="F205" t="str">
        <f>IF(_xlfn.XLOOKUP(C205,'75'!$C$2:$C$509,'75'!$D$2:$D$509)=D205,'75'!F205)</f>
        <v>no</v>
      </c>
    </row>
    <row r="206" spans="1:6" x14ac:dyDescent="0.45">
      <c r="A206" t="s">
        <v>949</v>
      </c>
      <c r="B206" t="s">
        <v>950</v>
      </c>
      <c r="C206" t="s">
        <v>951</v>
      </c>
      <c r="D206" t="s">
        <v>952</v>
      </c>
      <c r="E206">
        <v>94</v>
      </c>
      <c r="F206" t="str">
        <f>IF(_xlfn.XLOOKUP(C206,'75'!$C$2:$C$509,'75'!$D$2:$D$509)=D206,'75'!F206)</f>
        <v>no</v>
      </c>
    </row>
    <row r="207" spans="1:6" x14ac:dyDescent="0.45">
      <c r="A207" t="s">
        <v>949</v>
      </c>
      <c r="B207" t="s">
        <v>953</v>
      </c>
      <c r="C207" t="s">
        <v>951</v>
      </c>
      <c r="D207" t="s">
        <v>954</v>
      </c>
      <c r="E207">
        <v>91</v>
      </c>
      <c r="F207" t="s">
        <v>1512</v>
      </c>
    </row>
    <row r="208" spans="1:6" x14ac:dyDescent="0.45">
      <c r="A208" t="s">
        <v>950</v>
      </c>
      <c r="B208" t="s">
        <v>953</v>
      </c>
      <c r="C208" t="s">
        <v>952</v>
      </c>
      <c r="D208" t="s">
        <v>954</v>
      </c>
      <c r="E208">
        <v>91</v>
      </c>
      <c r="F208" t="str">
        <f>IF(_xlfn.XLOOKUP(C208,'75'!$C$2:$C$509,'75'!$D$2:$D$509)=D208,'75'!F208)</f>
        <v>ok</v>
      </c>
    </row>
    <row r="209" spans="1:6" x14ac:dyDescent="0.45">
      <c r="A209" t="s">
        <v>955</v>
      </c>
      <c r="B209" t="s">
        <v>956</v>
      </c>
      <c r="C209" t="s">
        <v>957</v>
      </c>
      <c r="D209" t="s">
        <v>958</v>
      </c>
      <c r="E209">
        <v>86</v>
      </c>
      <c r="F209" t="str">
        <f>IF(_xlfn.XLOOKUP(C209,'75'!$C$2:$C$509,'75'!$D$2:$D$509)=D209,'75'!F209)</f>
        <v>ok</v>
      </c>
    </row>
    <row r="210" spans="1:6" x14ac:dyDescent="0.45">
      <c r="A210" t="s">
        <v>959</v>
      </c>
      <c r="B210" t="s">
        <v>963</v>
      </c>
      <c r="C210" t="s">
        <v>961</v>
      </c>
      <c r="D210" t="s">
        <v>964</v>
      </c>
      <c r="E210">
        <v>91</v>
      </c>
      <c r="F210" t="s">
        <v>1512</v>
      </c>
    </row>
    <row r="211" spans="1:6" x14ac:dyDescent="0.45">
      <c r="A211" t="s">
        <v>965</v>
      </c>
      <c r="B211" t="s">
        <v>966</v>
      </c>
      <c r="C211" t="s">
        <v>967</v>
      </c>
      <c r="D211" t="s">
        <v>968</v>
      </c>
      <c r="E211">
        <v>95</v>
      </c>
      <c r="F211" t="str">
        <f>IF(_xlfn.XLOOKUP(C211,'75'!$C$2:$C$509,'75'!$D$2:$D$509)=D211,'75'!F211)</f>
        <v>no</v>
      </c>
    </row>
    <row r="212" spans="1:6" x14ac:dyDescent="0.45">
      <c r="A212" t="s">
        <v>969</v>
      </c>
      <c r="B212" t="s">
        <v>970</v>
      </c>
      <c r="C212" t="s">
        <v>971</v>
      </c>
      <c r="D212" t="s">
        <v>972</v>
      </c>
      <c r="E212">
        <v>78</v>
      </c>
      <c r="F212" t="str">
        <f>IF(_xlfn.XLOOKUP(C212,'75'!$C$2:$C$509,'75'!$D$2:$D$509)=D212,'75'!F212)</f>
        <v>ok</v>
      </c>
    </row>
    <row r="213" spans="1:6" x14ac:dyDescent="0.45">
      <c r="A213" t="s">
        <v>973</v>
      </c>
      <c r="B213" t="s">
        <v>974</v>
      </c>
      <c r="C213" t="s">
        <v>975</v>
      </c>
      <c r="D213" t="s">
        <v>976</v>
      </c>
      <c r="E213">
        <v>95</v>
      </c>
      <c r="F213" t="str">
        <f>IF(_xlfn.XLOOKUP(C213,'75'!$C$2:$C$509,'75'!$D$2:$D$509)=D213,'75'!F213)</f>
        <v>ok</v>
      </c>
    </row>
    <row r="214" spans="1:6" x14ac:dyDescent="0.45">
      <c r="A214" t="s">
        <v>977</v>
      </c>
      <c r="B214" t="s">
        <v>978</v>
      </c>
      <c r="C214" t="s">
        <v>979</v>
      </c>
      <c r="D214" t="s">
        <v>980</v>
      </c>
      <c r="E214">
        <v>89</v>
      </c>
      <c r="F214" t="str">
        <f>IF(_xlfn.XLOOKUP(C214,'75'!$C$2:$C$509,'75'!$D$2:$D$509)=D214,'75'!F214)</f>
        <v>ok</v>
      </c>
    </row>
    <row r="215" spans="1:6" x14ac:dyDescent="0.45">
      <c r="A215" t="s">
        <v>981</v>
      </c>
      <c r="B215" t="s">
        <v>982</v>
      </c>
      <c r="C215" t="s">
        <v>983</v>
      </c>
      <c r="D215" t="s">
        <v>984</v>
      </c>
      <c r="E215">
        <v>92</v>
      </c>
      <c r="F215" t="str">
        <f>IF(_xlfn.XLOOKUP(C215,'75'!$C$2:$C$509,'75'!$D$2:$D$509)=D215,'75'!F215)</f>
        <v>no</v>
      </c>
    </row>
    <row r="216" spans="1:6" x14ac:dyDescent="0.45">
      <c r="A216" t="s">
        <v>981</v>
      </c>
      <c r="B216" t="s">
        <v>985</v>
      </c>
      <c r="C216" t="s">
        <v>983</v>
      </c>
      <c r="D216" t="s">
        <v>986</v>
      </c>
      <c r="E216">
        <v>92</v>
      </c>
      <c r="F216" t="s">
        <v>1513</v>
      </c>
    </row>
    <row r="217" spans="1:6" x14ac:dyDescent="0.45">
      <c r="A217" t="s">
        <v>981</v>
      </c>
      <c r="B217" t="s">
        <v>987</v>
      </c>
      <c r="C217" t="s">
        <v>983</v>
      </c>
      <c r="D217" t="s">
        <v>988</v>
      </c>
      <c r="E217">
        <v>83</v>
      </c>
      <c r="F217" t="s">
        <v>1513</v>
      </c>
    </row>
    <row r="218" spans="1:6" x14ac:dyDescent="0.45">
      <c r="A218" t="s">
        <v>982</v>
      </c>
      <c r="B218" t="s">
        <v>985</v>
      </c>
      <c r="C218" t="s">
        <v>984</v>
      </c>
      <c r="D218" t="s">
        <v>986</v>
      </c>
      <c r="E218">
        <v>83</v>
      </c>
      <c r="F218" t="str">
        <f>IF(_xlfn.XLOOKUP(C218,'75'!$C$2:$C$509,'75'!$D$2:$D$509)=D218,'75'!F218)</f>
        <v>no</v>
      </c>
    </row>
    <row r="219" spans="1:6" x14ac:dyDescent="0.45">
      <c r="A219" t="s">
        <v>982</v>
      </c>
      <c r="B219" t="s">
        <v>987</v>
      </c>
      <c r="C219" t="s">
        <v>984</v>
      </c>
      <c r="D219" t="s">
        <v>988</v>
      </c>
      <c r="E219">
        <v>91</v>
      </c>
      <c r="F219" t="s">
        <v>1513</v>
      </c>
    </row>
    <row r="220" spans="1:6" x14ac:dyDescent="0.45">
      <c r="A220" t="s">
        <v>997</v>
      </c>
      <c r="B220" t="s">
        <v>998</v>
      </c>
      <c r="C220" t="s">
        <v>999</v>
      </c>
      <c r="D220" t="s">
        <v>1000</v>
      </c>
      <c r="E220">
        <v>83</v>
      </c>
      <c r="F220" t="str">
        <f>IF(_xlfn.XLOOKUP(C220,'75'!$C$2:$C$509,'75'!$D$2:$D$509)=D220,'75'!F220)</f>
        <v>no</v>
      </c>
    </row>
    <row r="221" spans="1:6" x14ac:dyDescent="0.45">
      <c r="A221" t="s">
        <v>1001</v>
      </c>
      <c r="B221" t="s">
        <v>1005</v>
      </c>
      <c r="C221" t="s">
        <v>1003</v>
      </c>
      <c r="D221" t="s">
        <v>1006</v>
      </c>
      <c r="E221">
        <v>78</v>
      </c>
      <c r="F221" t="s">
        <v>1513</v>
      </c>
    </row>
    <row r="222" spans="1:6" x14ac:dyDescent="0.45">
      <c r="A222" t="s">
        <v>1007</v>
      </c>
      <c r="B222" t="s">
        <v>1008</v>
      </c>
      <c r="C222" t="s">
        <v>1009</v>
      </c>
      <c r="D222" t="s">
        <v>1010</v>
      </c>
      <c r="E222">
        <v>92</v>
      </c>
      <c r="F222" t="str">
        <f>IF(_xlfn.XLOOKUP(C222,'75'!$C$2:$C$509,'75'!$D$2:$D$509)=D222,'75'!F222)</f>
        <v>no</v>
      </c>
    </row>
    <row r="223" spans="1:6" x14ac:dyDescent="0.45">
      <c r="A223" t="s">
        <v>1011</v>
      </c>
      <c r="B223" t="s">
        <v>1012</v>
      </c>
      <c r="C223" t="s">
        <v>1013</v>
      </c>
      <c r="D223" t="s">
        <v>1014</v>
      </c>
      <c r="E223">
        <v>79</v>
      </c>
      <c r="F223" t="str">
        <f>IF(_xlfn.XLOOKUP(C223,'75'!$C$2:$C$509,'75'!$D$2:$D$509)=D223,'75'!F223)</f>
        <v>no</v>
      </c>
    </row>
    <row r="224" spans="1:6" x14ac:dyDescent="0.45">
      <c r="A224" t="s">
        <v>985</v>
      </c>
      <c r="B224" t="s">
        <v>987</v>
      </c>
      <c r="C224" t="s">
        <v>986</v>
      </c>
      <c r="D224" t="s">
        <v>988</v>
      </c>
      <c r="E224">
        <v>92</v>
      </c>
      <c r="F224" t="str">
        <f>IF(_xlfn.XLOOKUP(C224,'75'!$C$2:$C$509,'75'!$D$2:$D$509)=D224,'75'!F224)</f>
        <v>no</v>
      </c>
    </row>
    <row r="225" spans="1:6" x14ac:dyDescent="0.45">
      <c r="A225" t="s">
        <v>1021</v>
      </c>
      <c r="B225" t="s">
        <v>1022</v>
      </c>
      <c r="C225" t="s">
        <v>1023</v>
      </c>
      <c r="D225" t="s">
        <v>1024</v>
      </c>
      <c r="E225">
        <v>95</v>
      </c>
      <c r="F225" t="str">
        <f>IF(_xlfn.XLOOKUP(C225,'75'!$C$2:$C$509,'75'!$D$2:$D$509)=D225,'75'!F225)</f>
        <v>no</v>
      </c>
    </row>
    <row r="226" spans="1:6" x14ac:dyDescent="0.45">
      <c r="A226" t="s">
        <v>1002</v>
      </c>
      <c r="B226" t="s">
        <v>1005</v>
      </c>
      <c r="C226" t="s">
        <v>1004</v>
      </c>
      <c r="D226" t="s">
        <v>1006</v>
      </c>
      <c r="E226">
        <v>83</v>
      </c>
      <c r="F226" t="str">
        <f>IF(_xlfn.XLOOKUP(C226,'75'!$C$2:$C$509,'75'!$D$2:$D$509)=D226,'75'!F226)</f>
        <v>no</v>
      </c>
    </row>
    <row r="227" spans="1:6" x14ac:dyDescent="0.45">
      <c r="A227" t="s">
        <v>1027</v>
      </c>
      <c r="B227" t="s">
        <v>1028</v>
      </c>
      <c r="C227" t="s">
        <v>1029</v>
      </c>
      <c r="D227" t="s">
        <v>1030</v>
      </c>
      <c r="E227">
        <v>94</v>
      </c>
      <c r="F227" t="str">
        <f>IF(_xlfn.XLOOKUP(C227,'75'!$C$2:$C$509,'75'!$D$2:$D$509)=D227,'75'!F227)</f>
        <v>no</v>
      </c>
    </row>
    <row r="228" spans="1:6" x14ac:dyDescent="0.45">
      <c r="A228" t="s">
        <v>1031</v>
      </c>
      <c r="B228" t="s">
        <v>1032</v>
      </c>
      <c r="C228" t="s">
        <v>1033</v>
      </c>
      <c r="D228" t="s">
        <v>1034</v>
      </c>
      <c r="E228">
        <v>90</v>
      </c>
      <c r="F228" t="str">
        <f>IF(_xlfn.XLOOKUP(C228,'75'!$C$2:$C$509,'75'!$D$2:$D$509)=D228,'75'!F228)</f>
        <v>no</v>
      </c>
    </row>
    <row r="229" spans="1:6" x14ac:dyDescent="0.45">
      <c r="A229" t="s">
        <v>1035</v>
      </c>
      <c r="B229" t="s">
        <v>1039</v>
      </c>
      <c r="C229" t="s">
        <v>1037</v>
      </c>
      <c r="D229" t="s">
        <v>1040</v>
      </c>
      <c r="E229">
        <v>98</v>
      </c>
      <c r="F229" t="s">
        <v>1512</v>
      </c>
    </row>
    <row r="230" spans="1:6" x14ac:dyDescent="0.45">
      <c r="A230" t="s">
        <v>1045</v>
      </c>
      <c r="B230" t="s">
        <v>1046</v>
      </c>
      <c r="C230" t="s">
        <v>1047</v>
      </c>
      <c r="D230" t="s">
        <v>1048</v>
      </c>
      <c r="E230">
        <v>97</v>
      </c>
      <c r="F230" t="str">
        <f>IF(_xlfn.XLOOKUP(C230,'75'!$C$2:$C$509,'75'!$D$2:$D$509)=D230,'75'!F230)</f>
        <v>no</v>
      </c>
    </row>
    <row r="231" spans="1:6" x14ac:dyDescent="0.45">
      <c r="A231" t="s">
        <v>1045</v>
      </c>
      <c r="B231" t="s">
        <v>1049</v>
      </c>
      <c r="C231" t="s">
        <v>1047</v>
      </c>
      <c r="D231" t="s">
        <v>1050</v>
      </c>
      <c r="E231">
        <v>80</v>
      </c>
      <c r="F231" t="s">
        <v>1512</v>
      </c>
    </row>
    <row r="232" spans="1:6" x14ac:dyDescent="0.45">
      <c r="A232" t="s">
        <v>1051</v>
      </c>
      <c r="B232" t="s">
        <v>1042</v>
      </c>
      <c r="C232" t="s">
        <v>1052</v>
      </c>
      <c r="D232" t="s">
        <v>1044</v>
      </c>
      <c r="E232">
        <v>93</v>
      </c>
      <c r="F232" t="str">
        <f>IF(_xlfn.XLOOKUP(C232,'75'!$C$2:$C$509,'75'!$D$2:$D$509)=D232,'75'!F232)</f>
        <v>ok</v>
      </c>
    </row>
    <row r="233" spans="1:6" x14ac:dyDescent="0.45">
      <c r="A233" t="s">
        <v>1053</v>
      </c>
      <c r="B233" t="s">
        <v>1054</v>
      </c>
      <c r="C233" t="s">
        <v>1055</v>
      </c>
      <c r="D233" t="s">
        <v>1056</v>
      </c>
      <c r="E233">
        <v>84</v>
      </c>
      <c r="F233" t="str">
        <f>IF(_xlfn.XLOOKUP(C233,'75'!$C$2:$C$509,'75'!$D$2:$D$509)=D233,'75'!F233)</f>
        <v>no</v>
      </c>
    </row>
    <row r="234" spans="1:6" x14ac:dyDescent="0.45">
      <c r="A234" t="s">
        <v>1046</v>
      </c>
      <c r="B234" t="s">
        <v>1049</v>
      </c>
      <c r="C234" t="s">
        <v>1048</v>
      </c>
      <c r="D234" t="s">
        <v>1050</v>
      </c>
      <c r="E234">
        <v>83</v>
      </c>
      <c r="F234" t="str">
        <f>IF(_xlfn.XLOOKUP(C234,'75'!$C$2:$C$509,'75'!$D$2:$D$509)=D234,'75'!F234)</f>
        <v>no</v>
      </c>
    </row>
    <row r="235" spans="1:6" x14ac:dyDescent="0.45">
      <c r="A235" t="s">
        <v>1057</v>
      </c>
      <c r="B235" t="s">
        <v>1058</v>
      </c>
      <c r="C235" t="s">
        <v>1059</v>
      </c>
      <c r="D235" t="s">
        <v>1060</v>
      </c>
      <c r="E235">
        <v>93</v>
      </c>
      <c r="F235" t="str">
        <f>IF(_xlfn.XLOOKUP(C235,'75'!$C$2:$C$509,'75'!$D$2:$D$509)=D235,'75'!F235)</f>
        <v>no</v>
      </c>
    </row>
    <row r="236" spans="1:6" x14ac:dyDescent="0.45">
      <c r="A236" t="s">
        <v>1061</v>
      </c>
      <c r="B236" t="s">
        <v>1062</v>
      </c>
      <c r="C236" t="s">
        <v>1063</v>
      </c>
      <c r="D236" t="s">
        <v>1064</v>
      </c>
      <c r="E236">
        <v>86</v>
      </c>
      <c r="F236" t="str">
        <f>IF(_xlfn.XLOOKUP(C236,'75'!$C$2:$C$509,'75'!$D$2:$D$509)=D236,'75'!F236)</f>
        <v>ok</v>
      </c>
    </row>
    <row r="237" spans="1:6" x14ac:dyDescent="0.45">
      <c r="A237" t="s">
        <v>1069</v>
      </c>
      <c r="B237" t="s">
        <v>1070</v>
      </c>
      <c r="C237" t="s">
        <v>1071</v>
      </c>
      <c r="D237" t="s">
        <v>1072</v>
      </c>
      <c r="E237">
        <v>93</v>
      </c>
      <c r="F237" t="str">
        <f>IF(_xlfn.XLOOKUP(C237,'75'!$C$2:$C$509,'75'!$D$2:$D$509)=D237,'75'!F237)</f>
        <v>ok</v>
      </c>
    </row>
    <row r="238" spans="1:6" x14ac:dyDescent="0.45">
      <c r="A238" t="s">
        <v>1073</v>
      </c>
      <c r="B238" t="s">
        <v>1074</v>
      </c>
      <c r="C238" t="s">
        <v>1075</v>
      </c>
      <c r="D238" t="s">
        <v>1076</v>
      </c>
      <c r="E238">
        <v>94</v>
      </c>
      <c r="F238" t="str">
        <f>IF(_xlfn.XLOOKUP(C238,'75'!$C$2:$C$509,'75'!$D$2:$D$509)=D238,'75'!F238)</f>
        <v>ok</v>
      </c>
    </row>
    <row r="239" spans="1:6" x14ac:dyDescent="0.45">
      <c r="A239" t="s">
        <v>1077</v>
      </c>
      <c r="B239" t="s">
        <v>1078</v>
      </c>
      <c r="C239" t="s">
        <v>1079</v>
      </c>
      <c r="D239" t="s">
        <v>1080</v>
      </c>
      <c r="E239">
        <v>95</v>
      </c>
      <c r="F239" t="str">
        <f>IF(_xlfn.XLOOKUP(C239,'75'!$C$2:$C$509,'75'!$D$2:$D$509)=D239,'75'!F239)</f>
        <v>no</v>
      </c>
    </row>
    <row r="240" spans="1:6" x14ac:dyDescent="0.45">
      <c r="A240" t="s">
        <v>1085</v>
      </c>
      <c r="B240" t="s">
        <v>1086</v>
      </c>
      <c r="C240" t="s">
        <v>1087</v>
      </c>
      <c r="D240" t="s">
        <v>1088</v>
      </c>
      <c r="E240">
        <v>87</v>
      </c>
      <c r="F240" t="str">
        <f>IF(_xlfn.XLOOKUP(C240,'75'!$C$2:$C$509,'75'!$D$2:$D$509)=D240,'75'!F240)</f>
        <v>no</v>
      </c>
    </row>
    <row r="241" spans="1:6" x14ac:dyDescent="0.45">
      <c r="A241" t="s">
        <v>1089</v>
      </c>
      <c r="B241" t="s">
        <v>1090</v>
      </c>
      <c r="C241" t="s">
        <v>1091</v>
      </c>
      <c r="D241" t="s">
        <v>1092</v>
      </c>
      <c r="E241">
        <v>81</v>
      </c>
      <c r="F241" t="str">
        <f>IF(_xlfn.XLOOKUP(C241,'75'!$C$2:$C$509,'75'!$D$2:$D$509)=D241,'75'!F241)</f>
        <v>no</v>
      </c>
    </row>
    <row r="242" spans="1:6" x14ac:dyDescent="0.45">
      <c r="A242" t="s">
        <v>1097</v>
      </c>
      <c r="B242" t="s">
        <v>1098</v>
      </c>
      <c r="C242" t="s">
        <v>1099</v>
      </c>
      <c r="D242" t="s">
        <v>1100</v>
      </c>
      <c r="E242">
        <v>90</v>
      </c>
      <c r="F242" t="str">
        <f>IF(_xlfn.XLOOKUP(C242,'75'!$C$2:$C$509,'75'!$D$2:$D$509)=D242,'75'!F242)</f>
        <v>no</v>
      </c>
    </row>
    <row r="243" spans="1:6" x14ac:dyDescent="0.45">
      <c r="A243" t="s">
        <v>1101</v>
      </c>
      <c r="B243" t="s">
        <v>1102</v>
      </c>
      <c r="C243" t="s">
        <v>1103</v>
      </c>
      <c r="D243" t="s">
        <v>1104</v>
      </c>
      <c r="E243">
        <v>80</v>
      </c>
      <c r="F243" t="str">
        <f>IF(_xlfn.XLOOKUP(C243,'75'!$C$2:$C$509,'75'!$D$2:$D$509)=D243,'75'!F243)</f>
        <v>no</v>
      </c>
    </row>
    <row r="244" spans="1:6" x14ac:dyDescent="0.45">
      <c r="A244" t="s">
        <v>1109</v>
      </c>
      <c r="B244" t="s">
        <v>1110</v>
      </c>
      <c r="C244" t="s">
        <v>1111</v>
      </c>
      <c r="D244" t="s">
        <v>1112</v>
      </c>
      <c r="E244">
        <v>90</v>
      </c>
      <c r="F244" t="str">
        <f>IF(_xlfn.XLOOKUP(C244,'75'!$C$2:$C$509,'75'!$D$2:$D$509)=D244,'75'!F244)</f>
        <v>ok</v>
      </c>
    </row>
    <row r="245" spans="1:6" x14ac:dyDescent="0.45">
      <c r="A245" t="s">
        <v>1113</v>
      </c>
      <c r="B245" t="s">
        <v>1114</v>
      </c>
      <c r="C245" t="s">
        <v>1115</v>
      </c>
      <c r="D245" t="s">
        <v>1116</v>
      </c>
      <c r="E245">
        <v>93</v>
      </c>
      <c r="F245" t="str">
        <f>IF(_xlfn.XLOOKUP(C245,'75'!$C$2:$C$509,'75'!$D$2:$D$509)=D245,'75'!F245)</f>
        <v>no</v>
      </c>
    </row>
    <row r="246" spans="1:6" x14ac:dyDescent="0.45">
      <c r="A246" t="s">
        <v>1117</v>
      </c>
      <c r="B246" t="s">
        <v>1118</v>
      </c>
      <c r="C246" t="s">
        <v>1119</v>
      </c>
      <c r="D246" t="s">
        <v>1120</v>
      </c>
      <c r="E246">
        <v>97</v>
      </c>
      <c r="F246" t="str">
        <f>IF(_xlfn.XLOOKUP(C246,'75'!$C$2:$C$509,'75'!$D$2:$D$509)=D246,'75'!F246)</f>
        <v>ok</v>
      </c>
    </row>
    <row r="247" spans="1:6" x14ac:dyDescent="0.45">
      <c r="A247" t="s">
        <v>1121</v>
      </c>
      <c r="B247" t="s">
        <v>1122</v>
      </c>
      <c r="C247" t="s">
        <v>1123</v>
      </c>
      <c r="D247" t="s">
        <v>1124</v>
      </c>
      <c r="E247">
        <v>82</v>
      </c>
      <c r="F247" t="str">
        <f>IF(_xlfn.XLOOKUP(C247,'75'!$C$2:$C$509,'75'!$D$2:$D$509)=D247,'75'!F247)</f>
        <v>no</v>
      </c>
    </row>
    <row r="248" spans="1:6" x14ac:dyDescent="0.45">
      <c r="A248" t="s">
        <v>1125</v>
      </c>
      <c r="B248" t="s">
        <v>1126</v>
      </c>
      <c r="C248" t="s">
        <v>1127</v>
      </c>
      <c r="D248" t="s">
        <v>1128</v>
      </c>
      <c r="E248">
        <v>78</v>
      </c>
      <c r="F248" t="str">
        <f>IF(_xlfn.XLOOKUP(C248,'75'!$C$2:$C$509,'75'!$D$2:$D$509)=D248,'75'!F248)</f>
        <v>no</v>
      </c>
    </row>
    <row r="249" spans="1:6" x14ac:dyDescent="0.45">
      <c r="A249" t="s">
        <v>1125</v>
      </c>
      <c r="B249" t="s">
        <v>1129</v>
      </c>
      <c r="C249" t="s">
        <v>1127</v>
      </c>
      <c r="D249" t="s">
        <v>1130</v>
      </c>
      <c r="E249">
        <v>82</v>
      </c>
      <c r="F249" t="s">
        <v>1513</v>
      </c>
    </row>
    <row r="250" spans="1:6" x14ac:dyDescent="0.45">
      <c r="A250" t="s">
        <v>1137</v>
      </c>
      <c r="B250" t="s">
        <v>1138</v>
      </c>
      <c r="C250" t="s">
        <v>1139</v>
      </c>
      <c r="D250" t="s">
        <v>1140</v>
      </c>
      <c r="E250">
        <v>96</v>
      </c>
      <c r="F250" t="str">
        <f>IF(_xlfn.XLOOKUP(C250,'75'!$C$2:$C$509,'75'!$D$2:$D$509)=D250,'75'!F250)</f>
        <v>no</v>
      </c>
    </row>
    <row r="251" spans="1:6" x14ac:dyDescent="0.45">
      <c r="A251" t="s">
        <v>1145</v>
      </c>
      <c r="B251" t="s">
        <v>1146</v>
      </c>
      <c r="C251" t="s">
        <v>1147</v>
      </c>
      <c r="D251" t="s">
        <v>1148</v>
      </c>
      <c r="E251">
        <v>80</v>
      </c>
      <c r="F251" t="str">
        <f>IF(_xlfn.XLOOKUP(C251,'75'!$C$2:$C$509,'75'!$D$2:$D$509)=D251,'75'!F251)</f>
        <v>no</v>
      </c>
    </row>
    <row r="252" spans="1:6" x14ac:dyDescent="0.45">
      <c r="A252" t="s">
        <v>1153</v>
      </c>
      <c r="B252" t="s">
        <v>1154</v>
      </c>
      <c r="C252" t="s">
        <v>1155</v>
      </c>
      <c r="D252" t="s">
        <v>1156</v>
      </c>
      <c r="E252">
        <v>78</v>
      </c>
      <c r="F252" t="str">
        <f>IF(_xlfn.XLOOKUP(C252,'75'!$C$2:$C$509,'75'!$D$2:$D$509)=D252,'75'!F252)</f>
        <v>no</v>
      </c>
    </row>
    <row r="253" spans="1:6" x14ac:dyDescent="0.45">
      <c r="A253" t="s">
        <v>1161</v>
      </c>
      <c r="B253" t="s">
        <v>1162</v>
      </c>
      <c r="C253" t="s">
        <v>1163</v>
      </c>
      <c r="D253" t="s">
        <v>1164</v>
      </c>
      <c r="E253">
        <v>90</v>
      </c>
      <c r="F253" t="str">
        <f>IF(_xlfn.XLOOKUP(C253,'75'!$C$2:$C$509,'75'!$D$2:$D$509)=D253,'75'!F253)</f>
        <v>no</v>
      </c>
    </row>
    <row r="254" spans="1:6" x14ac:dyDescent="0.45">
      <c r="A254" t="s">
        <v>1165</v>
      </c>
      <c r="B254" t="s">
        <v>1166</v>
      </c>
      <c r="C254" t="s">
        <v>1167</v>
      </c>
      <c r="D254" t="s">
        <v>1168</v>
      </c>
      <c r="E254">
        <v>93</v>
      </c>
      <c r="F254" t="str">
        <f>IF(_xlfn.XLOOKUP(C254,'75'!$C$2:$C$509,'75'!$D$2:$D$509)=D254,'75'!F254)</f>
        <v>no</v>
      </c>
    </row>
    <row r="255" spans="1:6" x14ac:dyDescent="0.45">
      <c r="A255" t="s">
        <v>1173</v>
      </c>
      <c r="B255" t="s">
        <v>1174</v>
      </c>
      <c r="C255" t="s">
        <v>1175</v>
      </c>
      <c r="D255" t="s">
        <v>1176</v>
      </c>
      <c r="E255">
        <v>82</v>
      </c>
      <c r="F255" t="str">
        <f>IF(_xlfn.XLOOKUP(C255,'75'!$C$2:$C$509,'75'!$D$2:$D$509)=D255,'75'!F255)</f>
        <v>no</v>
      </c>
    </row>
    <row r="256" spans="1:6" x14ac:dyDescent="0.45">
      <c r="A256" t="s">
        <v>1177</v>
      </c>
      <c r="B256" t="s">
        <v>1178</v>
      </c>
      <c r="C256" t="s">
        <v>1179</v>
      </c>
      <c r="D256" t="s">
        <v>1180</v>
      </c>
      <c r="E256">
        <v>78</v>
      </c>
      <c r="F256" t="str">
        <f>IF(_xlfn.XLOOKUP(C256,'75'!$C$2:$C$509,'75'!$D$2:$D$509)=D256,'75'!F256)</f>
        <v>no</v>
      </c>
    </row>
    <row r="257" spans="1:6" x14ac:dyDescent="0.45">
      <c r="A257" t="s">
        <v>1189</v>
      </c>
      <c r="B257" t="s">
        <v>1190</v>
      </c>
      <c r="C257" t="s">
        <v>1191</v>
      </c>
      <c r="D257" t="s">
        <v>1192</v>
      </c>
      <c r="E257">
        <v>92</v>
      </c>
      <c r="F257" t="str">
        <f>IF(_xlfn.XLOOKUP(C257,'75'!$C$2:$C$509,'75'!$D$2:$D$509)=D257,'75'!F257)</f>
        <v>no</v>
      </c>
    </row>
    <row r="258" spans="1:6" x14ac:dyDescent="0.45">
      <c r="A258" t="s">
        <v>1205</v>
      </c>
      <c r="B258" t="s">
        <v>1206</v>
      </c>
      <c r="C258" t="s">
        <v>1207</v>
      </c>
      <c r="D258" t="s">
        <v>1208</v>
      </c>
      <c r="E258">
        <v>95</v>
      </c>
      <c r="F258" t="str">
        <f>IF(_xlfn.XLOOKUP(C258,'75'!$C$2:$C$509,'75'!$D$2:$D$509)=D258,'75'!F258)</f>
        <v>no</v>
      </c>
    </row>
    <row r="259" spans="1:6" x14ac:dyDescent="0.45">
      <c r="A259" t="s">
        <v>1209</v>
      </c>
      <c r="B259" t="s">
        <v>1210</v>
      </c>
      <c r="C259" t="s">
        <v>1211</v>
      </c>
      <c r="D259" t="s">
        <v>1212</v>
      </c>
      <c r="E259">
        <v>88</v>
      </c>
      <c r="F259" t="str">
        <f>IF(_xlfn.XLOOKUP(C259,'75'!$C$2:$C$509,'75'!$D$2:$D$509)=D259,'75'!F259)</f>
        <v>no</v>
      </c>
    </row>
    <row r="260" spans="1:6" x14ac:dyDescent="0.45">
      <c r="A260" t="s">
        <v>1215</v>
      </c>
      <c r="B260" t="s">
        <v>1216</v>
      </c>
      <c r="C260" t="s">
        <v>1217</v>
      </c>
      <c r="D260" t="s">
        <v>1218</v>
      </c>
      <c r="E260">
        <v>80</v>
      </c>
      <c r="F260" t="str">
        <f>IF(_xlfn.XLOOKUP(C260,'75'!$C$2:$C$509,'75'!$D$2:$D$509)=D260,'75'!F260)</f>
        <v>no</v>
      </c>
    </row>
    <row r="261" spans="1:6" x14ac:dyDescent="0.45">
      <c r="A261" t="s">
        <v>1219</v>
      </c>
      <c r="B261" t="s">
        <v>1220</v>
      </c>
      <c r="C261" t="s">
        <v>1221</v>
      </c>
      <c r="D261" t="s">
        <v>1222</v>
      </c>
      <c r="E261">
        <v>87</v>
      </c>
      <c r="F261" t="str">
        <f>IF(_xlfn.XLOOKUP(C261,'75'!$C$2:$C$509,'75'!$D$2:$D$509)=D261,'75'!F261)</f>
        <v>no</v>
      </c>
    </row>
    <row r="262" spans="1:6" x14ac:dyDescent="0.45">
      <c r="A262" t="s">
        <v>1223</v>
      </c>
      <c r="B262" t="s">
        <v>1224</v>
      </c>
      <c r="C262" t="s">
        <v>1225</v>
      </c>
      <c r="D262" t="s">
        <v>1226</v>
      </c>
      <c r="E262">
        <v>98</v>
      </c>
      <c r="F262" t="str">
        <f>IF(_xlfn.XLOOKUP(C262,'75'!$C$2:$C$509,'75'!$D$2:$D$509)=D262,'75'!F262)</f>
        <v>ok</v>
      </c>
    </row>
    <row r="263" spans="1:6" x14ac:dyDescent="0.45">
      <c r="A263" t="s">
        <v>1227</v>
      </c>
      <c r="B263" t="s">
        <v>1228</v>
      </c>
      <c r="C263" t="s">
        <v>1229</v>
      </c>
      <c r="D263" t="s">
        <v>1230</v>
      </c>
      <c r="E263">
        <v>80</v>
      </c>
      <c r="F263" t="str">
        <f>IF(_xlfn.XLOOKUP(C263,'75'!$C$2:$C$509,'75'!$D$2:$D$509)=D263,'75'!F263)</f>
        <v>no</v>
      </c>
    </row>
    <row r="264" spans="1:6" x14ac:dyDescent="0.45">
      <c r="A264" t="s">
        <v>1231</v>
      </c>
      <c r="B264" t="s">
        <v>1228</v>
      </c>
      <c r="C264" t="s">
        <v>1232</v>
      </c>
      <c r="D264" t="s">
        <v>1230</v>
      </c>
      <c r="E264">
        <v>94</v>
      </c>
      <c r="F264" t="str">
        <f>IF(_xlfn.XLOOKUP(C264,'75'!$C$2:$C$509,'75'!$D$2:$D$509)=D264,'75'!F264)</f>
        <v>ok</v>
      </c>
    </row>
    <row r="265" spans="1:6" x14ac:dyDescent="0.45">
      <c r="A265" t="s">
        <v>1233</v>
      </c>
      <c r="B265" t="s">
        <v>1186</v>
      </c>
      <c r="C265" t="s">
        <v>1234</v>
      </c>
      <c r="D265" t="s">
        <v>1188</v>
      </c>
      <c r="E265">
        <v>90</v>
      </c>
      <c r="F265" t="str">
        <f>IF(_xlfn.XLOOKUP(C265,'75'!$C$2:$C$509,'75'!$D$2:$D$509)=D265,'75'!F265)</f>
        <v>no</v>
      </c>
    </row>
    <row r="266" spans="1:6" x14ac:dyDescent="0.45">
      <c r="A266" t="s">
        <v>1235</v>
      </c>
      <c r="B266" t="s">
        <v>1236</v>
      </c>
      <c r="C266" t="s">
        <v>1237</v>
      </c>
      <c r="D266" t="s">
        <v>1238</v>
      </c>
      <c r="E266">
        <v>87</v>
      </c>
      <c r="F266" t="str">
        <f>IF(_xlfn.XLOOKUP(C266,'75'!$C$2:$C$509,'75'!$D$2:$D$509)=D266,'75'!F266)</f>
        <v>no</v>
      </c>
    </row>
    <row r="267" spans="1:6" x14ac:dyDescent="0.45">
      <c r="A267" t="s">
        <v>1239</v>
      </c>
      <c r="B267" t="s">
        <v>1240</v>
      </c>
      <c r="C267" t="s">
        <v>1241</v>
      </c>
      <c r="D267" t="s">
        <v>1242</v>
      </c>
      <c r="E267">
        <v>84</v>
      </c>
      <c r="F267" t="str">
        <f>IF(_xlfn.XLOOKUP(C267,'75'!$C$2:$C$509,'75'!$D$2:$D$509)=D267,'75'!F267)</f>
        <v>no</v>
      </c>
    </row>
    <row r="268" spans="1:6" x14ac:dyDescent="0.45">
      <c r="A268" t="s">
        <v>1251</v>
      </c>
      <c r="B268" t="s">
        <v>1252</v>
      </c>
      <c r="C268" t="s">
        <v>1253</v>
      </c>
      <c r="D268" t="s">
        <v>1254</v>
      </c>
      <c r="E268">
        <v>94</v>
      </c>
      <c r="F268" t="str">
        <f>IF(_xlfn.XLOOKUP(C268,'75'!$C$2:$C$509,'75'!$D$2:$D$509)=D268,'75'!F268)</f>
        <v>no</v>
      </c>
    </row>
    <row r="269" spans="1:6" x14ac:dyDescent="0.45">
      <c r="A269" t="s">
        <v>1255</v>
      </c>
      <c r="B269" t="s">
        <v>1256</v>
      </c>
      <c r="C269" t="s">
        <v>1257</v>
      </c>
      <c r="D269" t="s">
        <v>1258</v>
      </c>
      <c r="E269">
        <v>78</v>
      </c>
      <c r="F269" t="str">
        <f>IF(_xlfn.XLOOKUP(C269,'75'!$C$2:$C$509,'75'!$D$2:$D$509)=D269,'75'!F269)</f>
        <v>ok</v>
      </c>
    </row>
    <row r="270" spans="1:6" x14ac:dyDescent="0.45">
      <c r="A270" t="s">
        <v>1261</v>
      </c>
      <c r="B270" t="s">
        <v>1262</v>
      </c>
      <c r="C270" t="s">
        <v>1263</v>
      </c>
      <c r="D270" t="s">
        <v>1264</v>
      </c>
      <c r="E270">
        <v>85</v>
      </c>
      <c r="F270" t="str">
        <f>IF(_xlfn.XLOOKUP(C270,'75'!$C$2:$C$509,'75'!$D$2:$D$509)=D270,'75'!F270)</f>
        <v>ok</v>
      </c>
    </row>
    <row r="271" spans="1:6" x14ac:dyDescent="0.45">
      <c r="A271" t="s">
        <v>1265</v>
      </c>
      <c r="B271" t="s">
        <v>1266</v>
      </c>
      <c r="C271" t="s">
        <v>1267</v>
      </c>
      <c r="D271" t="s">
        <v>1268</v>
      </c>
      <c r="E271">
        <v>82</v>
      </c>
      <c r="F271" t="str">
        <f>IF(_xlfn.XLOOKUP(C271,'75'!$C$2:$C$509,'75'!$D$2:$D$509)=D271,'75'!F271)</f>
        <v>no</v>
      </c>
    </row>
    <row r="272" spans="1:6" x14ac:dyDescent="0.45">
      <c r="A272" t="s">
        <v>1269</v>
      </c>
      <c r="B272" t="s">
        <v>1270</v>
      </c>
      <c r="C272" t="s">
        <v>1271</v>
      </c>
      <c r="D272" t="s">
        <v>1272</v>
      </c>
      <c r="E272">
        <v>84</v>
      </c>
      <c r="F272" t="str">
        <f>IF(_xlfn.XLOOKUP(C272,'75'!$C$2:$C$509,'75'!$D$2:$D$509)=D272,'75'!F272)</f>
        <v>no</v>
      </c>
    </row>
    <row r="273" spans="1:6" x14ac:dyDescent="0.45">
      <c r="A273" t="s">
        <v>1273</v>
      </c>
      <c r="B273" t="s">
        <v>1274</v>
      </c>
      <c r="C273" t="s">
        <v>1275</v>
      </c>
      <c r="D273" t="s">
        <v>1276</v>
      </c>
      <c r="E273">
        <v>91</v>
      </c>
      <c r="F273" t="str">
        <f>IF(_xlfn.XLOOKUP(C273,'75'!$C$2:$C$509,'75'!$D$2:$D$509)=D273,'75'!F273)</f>
        <v>no</v>
      </c>
    </row>
    <row r="274" spans="1:6" x14ac:dyDescent="0.45">
      <c r="A274" t="s">
        <v>1281</v>
      </c>
      <c r="B274" t="s">
        <v>1282</v>
      </c>
      <c r="C274" t="s">
        <v>1283</v>
      </c>
      <c r="D274" t="s">
        <v>1284</v>
      </c>
      <c r="E274">
        <v>85</v>
      </c>
      <c r="F274" t="str">
        <f>IF(_xlfn.XLOOKUP(C274,'75'!$C$2:$C$509,'75'!$D$2:$D$509)=D274,'75'!F274)</f>
        <v>ok</v>
      </c>
    </row>
    <row r="275" spans="1:6" x14ac:dyDescent="0.45">
      <c r="A275" t="s">
        <v>1285</v>
      </c>
      <c r="B275" t="s">
        <v>1286</v>
      </c>
      <c r="C275" t="s">
        <v>1287</v>
      </c>
      <c r="D275" t="s">
        <v>1288</v>
      </c>
      <c r="E275">
        <v>82</v>
      </c>
      <c r="F275" t="str">
        <f>IF(_xlfn.XLOOKUP(C275,'75'!$C$2:$C$509,'75'!$D$2:$D$509)=D275,'75'!F275)</f>
        <v>no</v>
      </c>
    </row>
    <row r="276" spans="1:6" x14ac:dyDescent="0.45">
      <c r="A276" t="s">
        <v>1293</v>
      </c>
      <c r="B276" t="s">
        <v>1294</v>
      </c>
      <c r="C276" t="s">
        <v>1295</v>
      </c>
      <c r="D276" t="s">
        <v>1296</v>
      </c>
      <c r="E276">
        <v>78</v>
      </c>
      <c r="F276" t="str">
        <f>IF(_xlfn.XLOOKUP(C276,'75'!$C$2:$C$509,'75'!$D$2:$D$509)=D276,'75'!F276)</f>
        <v>no</v>
      </c>
    </row>
    <row r="277" spans="1:6" x14ac:dyDescent="0.45">
      <c r="A277" t="s">
        <v>1299</v>
      </c>
      <c r="B277" t="s">
        <v>1300</v>
      </c>
      <c r="C277" t="s">
        <v>1301</v>
      </c>
      <c r="D277" t="s">
        <v>1302</v>
      </c>
      <c r="E277">
        <v>86</v>
      </c>
      <c r="F277" t="str">
        <f>IF(_xlfn.XLOOKUP(C277,'75'!$C$2:$C$509,'75'!$D$2:$D$509)=D277,'75'!F277)</f>
        <v>ok</v>
      </c>
    </row>
    <row r="278" spans="1:6" x14ac:dyDescent="0.45">
      <c r="A278" t="s">
        <v>1307</v>
      </c>
      <c r="B278" t="s">
        <v>1319</v>
      </c>
      <c r="C278" t="s">
        <v>1309</v>
      </c>
      <c r="D278" t="s">
        <v>1320</v>
      </c>
      <c r="E278">
        <v>86</v>
      </c>
      <c r="F278" t="s">
        <v>1513</v>
      </c>
    </row>
    <row r="279" spans="1:6" x14ac:dyDescent="0.45">
      <c r="A279" t="s">
        <v>1307</v>
      </c>
      <c r="B279" t="s">
        <v>1321</v>
      </c>
      <c r="C279" t="s">
        <v>1309</v>
      </c>
      <c r="D279" t="s">
        <v>1322</v>
      </c>
      <c r="E279">
        <v>82</v>
      </c>
      <c r="F279" t="s">
        <v>1513</v>
      </c>
    </row>
    <row r="280" spans="1:6" x14ac:dyDescent="0.45">
      <c r="A280" t="s">
        <v>1307</v>
      </c>
      <c r="B280" t="s">
        <v>1323</v>
      </c>
      <c r="C280" t="s">
        <v>1309</v>
      </c>
      <c r="D280" t="s">
        <v>1324</v>
      </c>
      <c r="E280">
        <v>80</v>
      </c>
      <c r="F280" t="s">
        <v>1513</v>
      </c>
    </row>
    <row r="281" spans="1:6" x14ac:dyDescent="0.45">
      <c r="A281" t="s">
        <v>1325</v>
      </c>
      <c r="B281" t="s">
        <v>1326</v>
      </c>
      <c r="C281" t="s">
        <v>1327</v>
      </c>
      <c r="D281" t="s">
        <v>1328</v>
      </c>
      <c r="E281">
        <v>81</v>
      </c>
      <c r="F281" t="str">
        <f>IF(_xlfn.XLOOKUP(C281,'75'!$C$2:$C$509,'75'!$D$2:$D$509)=D281,'75'!F281)</f>
        <v>no</v>
      </c>
    </row>
    <row r="282" spans="1:6" x14ac:dyDescent="0.45">
      <c r="A282" t="s">
        <v>1329</v>
      </c>
      <c r="B282" t="s">
        <v>1330</v>
      </c>
      <c r="C282" t="s">
        <v>1331</v>
      </c>
      <c r="D282" t="s">
        <v>1332</v>
      </c>
      <c r="E282">
        <v>92</v>
      </c>
      <c r="F282" t="str">
        <f>IF(_xlfn.XLOOKUP(C282,'75'!$C$2:$C$509,'75'!$D$2:$D$509)=D282,'75'!F282)</f>
        <v>no</v>
      </c>
    </row>
    <row r="283" spans="1:6" x14ac:dyDescent="0.45">
      <c r="A283" t="s">
        <v>1333</v>
      </c>
      <c r="B283" t="s">
        <v>1334</v>
      </c>
      <c r="C283" t="s">
        <v>1335</v>
      </c>
      <c r="D283" t="s">
        <v>1336</v>
      </c>
      <c r="E283">
        <v>80</v>
      </c>
      <c r="F283" t="str">
        <f>IF(_xlfn.XLOOKUP(C283,'75'!$C$2:$C$509,'75'!$D$2:$D$509)=D283,'75'!F283)</f>
        <v>ok</v>
      </c>
    </row>
    <row r="284" spans="1:6" x14ac:dyDescent="0.45">
      <c r="A284" t="s">
        <v>1333</v>
      </c>
      <c r="B284" t="s">
        <v>1313</v>
      </c>
      <c r="C284" t="s">
        <v>1335</v>
      </c>
      <c r="D284" t="s">
        <v>1314</v>
      </c>
      <c r="E284">
        <v>80</v>
      </c>
      <c r="F284" t="s">
        <v>1513</v>
      </c>
    </row>
    <row r="285" spans="1:6" x14ac:dyDescent="0.45">
      <c r="A285" t="s">
        <v>1339</v>
      </c>
      <c r="B285" t="s">
        <v>1323</v>
      </c>
      <c r="C285" t="s">
        <v>1340</v>
      </c>
      <c r="D285" t="s">
        <v>1324</v>
      </c>
      <c r="E285">
        <v>78</v>
      </c>
      <c r="F285" t="str">
        <f>IF(_xlfn.XLOOKUP(C285,'75'!$C$2:$C$509,'75'!$D$2:$D$509)=D285,'75'!F285)</f>
        <v>no</v>
      </c>
    </row>
    <row r="286" spans="1:6" x14ac:dyDescent="0.45">
      <c r="A286" t="s">
        <v>1339</v>
      </c>
      <c r="B286" t="s">
        <v>1341</v>
      </c>
      <c r="C286" t="s">
        <v>1340</v>
      </c>
      <c r="D286" t="s">
        <v>1342</v>
      </c>
      <c r="E286">
        <v>95</v>
      </c>
      <c r="F286" t="s">
        <v>1512</v>
      </c>
    </row>
    <row r="287" spans="1:6" x14ac:dyDescent="0.45">
      <c r="A287" t="s">
        <v>1343</v>
      </c>
      <c r="B287" t="s">
        <v>1344</v>
      </c>
      <c r="C287" t="s">
        <v>1345</v>
      </c>
      <c r="D287" t="s">
        <v>1346</v>
      </c>
      <c r="E287">
        <v>78</v>
      </c>
      <c r="F287" t="str">
        <f>IF(_xlfn.XLOOKUP(C287,'75'!$C$2:$C$509,'75'!$D$2:$D$509)=D287,'75'!F287)</f>
        <v>ok</v>
      </c>
    </row>
    <row r="288" spans="1:6" x14ac:dyDescent="0.45">
      <c r="A288" t="s">
        <v>1334</v>
      </c>
      <c r="B288" t="s">
        <v>1319</v>
      </c>
      <c r="C288" t="s">
        <v>1336</v>
      </c>
      <c r="D288" t="s">
        <v>1320</v>
      </c>
      <c r="E288">
        <v>78</v>
      </c>
      <c r="F288" t="str">
        <f>IF(_xlfn.XLOOKUP(C288,'75'!$C$2:$C$509,'75'!$D$2:$D$509)=D288,'75'!F288)</f>
        <v>no</v>
      </c>
    </row>
    <row r="289" spans="1:6" x14ac:dyDescent="0.45">
      <c r="A289" t="s">
        <v>1355</v>
      </c>
      <c r="B289" t="s">
        <v>1356</v>
      </c>
      <c r="C289" t="s">
        <v>1357</v>
      </c>
      <c r="D289" t="s">
        <v>1358</v>
      </c>
      <c r="E289">
        <v>85</v>
      </c>
      <c r="F289" t="str">
        <f>IF(_xlfn.XLOOKUP(C289,'75'!$C$2:$C$509,'75'!$D$2:$D$509)=D289,'75'!F289)</f>
        <v>ok</v>
      </c>
    </row>
    <row r="290" spans="1:6" x14ac:dyDescent="0.45">
      <c r="A290" t="s">
        <v>1337</v>
      </c>
      <c r="B290" t="s">
        <v>1359</v>
      </c>
      <c r="C290" t="s">
        <v>1338</v>
      </c>
      <c r="D290" t="s">
        <v>1360</v>
      </c>
      <c r="E290">
        <v>80</v>
      </c>
      <c r="F290" t="str">
        <f>IF(_xlfn.XLOOKUP(C290,'75'!$C$2:$C$509,'75'!$D$2:$D$509)=D290,'75'!F290)</f>
        <v>no</v>
      </c>
    </row>
    <row r="291" spans="1:6" x14ac:dyDescent="0.45">
      <c r="A291" t="s">
        <v>1361</v>
      </c>
      <c r="B291" t="s">
        <v>1362</v>
      </c>
      <c r="C291" t="s">
        <v>1363</v>
      </c>
      <c r="D291" t="s">
        <v>1364</v>
      </c>
      <c r="E291">
        <v>80</v>
      </c>
      <c r="F291" t="str">
        <f>IF(_xlfn.XLOOKUP(C291,'75'!$C$2:$C$509,'75'!$D$2:$D$509)=D291,'75'!F291)</f>
        <v>ok</v>
      </c>
    </row>
    <row r="292" spans="1:6" x14ac:dyDescent="0.45">
      <c r="A292" t="s">
        <v>1365</v>
      </c>
      <c r="B292" t="s">
        <v>1366</v>
      </c>
      <c r="C292" t="s">
        <v>1367</v>
      </c>
      <c r="D292" t="s">
        <v>1368</v>
      </c>
      <c r="E292">
        <v>80</v>
      </c>
      <c r="F292" t="str">
        <f>IF(_xlfn.XLOOKUP(C292,'75'!$C$2:$C$509,'75'!$D$2:$D$509)=D292,'75'!F292)</f>
        <v>ok</v>
      </c>
    </row>
    <row r="293" spans="1:6" x14ac:dyDescent="0.45">
      <c r="A293" t="s">
        <v>1369</v>
      </c>
      <c r="B293" t="s">
        <v>1370</v>
      </c>
      <c r="C293" t="s">
        <v>1371</v>
      </c>
      <c r="D293" t="s">
        <v>1372</v>
      </c>
      <c r="E293">
        <v>83</v>
      </c>
      <c r="F293" t="str">
        <f>IF(_xlfn.XLOOKUP(C293,'75'!$C$2:$C$509,'75'!$D$2:$D$509)=D293,'75'!F293)</f>
        <v>no</v>
      </c>
    </row>
    <row r="294" spans="1:6" x14ac:dyDescent="0.45">
      <c r="A294" t="s">
        <v>1373</v>
      </c>
      <c r="B294" t="s">
        <v>1374</v>
      </c>
      <c r="C294" t="s">
        <v>1375</v>
      </c>
      <c r="D294" t="s">
        <v>1376</v>
      </c>
      <c r="E294">
        <v>89</v>
      </c>
      <c r="F294" t="str">
        <f>IF(_xlfn.XLOOKUP(C294,'75'!$C$2:$C$509,'75'!$D$2:$D$509)=D294,'75'!F294)</f>
        <v>ok</v>
      </c>
    </row>
    <row r="295" spans="1:6" x14ac:dyDescent="0.45">
      <c r="A295" t="s">
        <v>1308</v>
      </c>
      <c r="B295" t="s">
        <v>1311</v>
      </c>
      <c r="C295" t="s">
        <v>1310</v>
      </c>
      <c r="D295" t="s">
        <v>1312</v>
      </c>
      <c r="E295">
        <v>83</v>
      </c>
      <c r="F295" t="str">
        <f>IF(_xlfn.XLOOKUP(C295,'75'!$C$2:$C$509,'75'!$D$2:$D$509)=D295,'75'!F295)</f>
        <v>no</v>
      </c>
    </row>
    <row r="296" spans="1:6" x14ac:dyDescent="0.45">
      <c r="A296" t="s">
        <v>1308</v>
      </c>
      <c r="B296" t="s">
        <v>1313</v>
      </c>
      <c r="C296" t="s">
        <v>1310</v>
      </c>
      <c r="D296" t="s">
        <v>1314</v>
      </c>
      <c r="E296">
        <v>83</v>
      </c>
      <c r="F296" t="s">
        <v>1513</v>
      </c>
    </row>
    <row r="297" spans="1:6" x14ac:dyDescent="0.45">
      <c r="A297" t="s">
        <v>1308</v>
      </c>
      <c r="B297" t="s">
        <v>1315</v>
      </c>
      <c r="C297" t="s">
        <v>1310</v>
      </c>
      <c r="D297" t="s">
        <v>1316</v>
      </c>
      <c r="E297">
        <v>83</v>
      </c>
      <c r="F297" t="s">
        <v>1513</v>
      </c>
    </row>
    <row r="298" spans="1:6" x14ac:dyDescent="0.45">
      <c r="A298" t="s">
        <v>1308</v>
      </c>
      <c r="B298" t="s">
        <v>1317</v>
      </c>
      <c r="C298" t="s">
        <v>1310</v>
      </c>
      <c r="D298" t="s">
        <v>1318</v>
      </c>
      <c r="E298">
        <v>83</v>
      </c>
      <c r="F298" t="s">
        <v>1513</v>
      </c>
    </row>
    <row r="299" spans="1:6" x14ac:dyDescent="0.45">
      <c r="A299" t="s">
        <v>1379</v>
      </c>
      <c r="B299" t="s">
        <v>1380</v>
      </c>
      <c r="C299" t="s">
        <v>1381</v>
      </c>
      <c r="D299" t="s">
        <v>1382</v>
      </c>
      <c r="E299">
        <v>82</v>
      </c>
      <c r="F299" t="str">
        <f>IF(_xlfn.XLOOKUP(C299,'75'!$C$2:$C$509,'75'!$D$2:$D$509)=D299,'75'!F299)</f>
        <v>ok</v>
      </c>
    </row>
    <row r="300" spans="1:6" x14ac:dyDescent="0.45">
      <c r="A300" t="s">
        <v>1311</v>
      </c>
      <c r="B300" t="s">
        <v>1313</v>
      </c>
      <c r="C300" t="s">
        <v>1312</v>
      </c>
      <c r="D300" t="s">
        <v>1314</v>
      </c>
      <c r="E300">
        <v>83</v>
      </c>
      <c r="F300" t="str">
        <f>IF(_xlfn.XLOOKUP(C300,'75'!$C$2:$C$509,'75'!$D$2:$D$509)=D300,'75'!F300)</f>
        <v>ok</v>
      </c>
    </row>
    <row r="301" spans="1:6" x14ac:dyDescent="0.45">
      <c r="A301" t="s">
        <v>1311</v>
      </c>
      <c r="B301" t="s">
        <v>1315</v>
      </c>
      <c r="C301" t="s">
        <v>1312</v>
      </c>
      <c r="D301" t="s">
        <v>1316</v>
      </c>
      <c r="E301">
        <v>83</v>
      </c>
      <c r="F301" t="s">
        <v>1513</v>
      </c>
    </row>
    <row r="302" spans="1:6" x14ac:dyDescent="0.45">
      <c r="A302" t="s">
        <v>1311</v>
      </c>
      <c r="B302" t="s">
        <v>1317</v>
      </c>
      <c r="C302" t="s">
        <v>1312</v>
      </c>
      <c r="D302" t="s">
        <v>1318</v>
      </c>
      <c r="E302">
        <v>83</v>
      </c>
      <c r="F302" t="s">
        <v>1513</v>
      </c>
    </row>
    <row r="303" spans="1:6" x14ac:dyDescent="0.45">
      <c r="A303" t="s">
        <v>1313</v>
      </c>
      <c r="B303" t="s">
        <v>1315</v>
      </c>
      <c r="C303" t="s">
        <v>1314</v>
      </c>
      <c r="D303" t="s">
        <v>1316</v>
      </c>
      <c r="E303">
        <v>83</v>
      </c>
      <c r="F303" t="str">
        <f>IF(_xlfn.XLOOKUP(C303,'75'!$C$2:$C$509,'75'!$D$2:$D$509)=D303,'75'!F303)</f>
        <v>ok</v>
      </c>
    </row>
    <row r="304" spans="1:6" x14ac:dyDescent="0.45">
      <c r="A304" t="s">
        <v>1313</v>
      </c>
      <c r="B304" t="s">
        <v>1317</v>
      </c>
      <c r="C304" t="s">
        <v>1314</v>
      </c>
      <c r="D304" t="s">
        <v>1318</v>
      </c>
      <c r="E304">
        <v>83</v>
      </c>
      <c r="F304" t="s">
        <v>1513</v>
      </c>
    </row>
    <row r="305" spans="1:6" x14ac:dyDescent="0.45">
      <c r="A305" t="s">
        <v>1383</v>
      </c>
      <c r="B305" t="s">
        <v>1380</v>
      </c>
      <c r="C305" t="s">
        <v>1384</v>
      </c>
      <c r="D305" t="s">
        <v>1382</v>
      </c>
      <c r="E305">
        <v>86</v>
      </c>
      <c r="F305" t="str">
        <f>IF(_xlfn.XLOOKUP(C305,'75'!$C$2:$C$509,'75'!$D$2:$D$509)=D305,'75'!F305)</f>
        <v>ok</v>
      </c>
    </row>
    <row r="306" spans="1:6" x14ac:dyDescent="0.45">
      <c r="A306" t="s">
        <v>1315</v>
      </c>
      <c r="B306" t="s">
        <v>1317</v>
      </c>
      <c r="C306" t="s">
        <v>1316</v>
      </c>
      <c r="D306" t="s">
        <v>1318</v>
      </c>
      <c r="E306">
        <v>83</v>
      </c>
      <c r="F306" t="str">
        <f>IF(_xlfn.XLOOKUP(C306,'75'!$C$2:$C$509,'75'!$D$2:$D$509)=D306,'75'!F306)</f>
        <v>no</v>
      </c>
    </row>
    <row r="307" spans="1:6" x14ac:dyDescent="0.45">
      <c r="A307" t="s">
        <v>1385</v>
      </c>
      <c r="B307" t="s">
        <v>1386</v>
      </c>
      <c r="C307" t="s">
        <v>1387</v>
      </c>
      <c r="D307" t="s">
        <v>1388</v>
      </c>
      <c r="E307">
        <v>89</v>
      </c>
      <c r="F307" t="str">
        <f>IF(_xlfn.XLOOKUP(C307,'75'!$C$2:$C$509,'75'!$D$2:$D$509)=D307,'75'!F307)</f>
        <v>ok</v>
      </c>
    </row>
    <row r="308" spans="1:6" x14ac:dyDescent="0.45">
      <c r="A308" t="s">
        <v>1389</v>
      </c>
      <c r="B308" t="s">
        <v>1351</v>
      </c>
      <c r="C308" t="s">
        <v>1390</v>
      </c>
      <c r="D308" t="s">
        <v>1352</v>
      </c>
      <c r="E308">
        <v>80</v>
      </c>
      <c r="F308" t="str">
        <f>IF(_xlfn.XLOOKUP(C308,'75'!$C$2:$C$509,'75'!$D$2:$D$509)=D308,'75'!F308)</f>
        <v>ok</v>
      </c>
    </row>
    <row r="309" spans="1:6" x14ac:dyDescent="0.45">
      <c r="A309" t="s">
        <v>1319</v>
      </c>
      <c r="B309" t="s">
        <v>1323</v>
      </c>
      <c r="C309" t="s">
        <v>1320</v>
      </c>
      <c r="D309" t="s">
        <v>1324</v>
      </c>
      <c r="E309">
        <v>80</v>
      </c>
      <c r="F309" t="str">
        <f>IF(_xlfn.XLOOKUP(C309,'75'!$C$2:$C$509,'75'!$D$2:$D$509)=D309,'75'!F309)</f>
        <v>ok</v>
      </c>
    </row>
    <row r="310" spans="1:6" x14ac:dyDescent="0.45">
      <c r="A310" t="s">
        <v>1319</v>
      </c>
      <c r="B310" t="s">
        <v>1359</v>
      </c>
      <c r="C310" t="s">
        <v>1320</v>
      </c>
      <c r="D310" t="s">
        <v>1360</v>
      </c>
      <c r="E310">
        <v>80</v>
      </c>
      <c r="F310" t="s">
        <v>1513</v>
      </c>
    </row>
    <row r="311" spans="1:6" x14ac:dyDescent="0.45">
      <c r="A311" t="s">
        <v>1391</v>
      </c>
      <c r="B311" t="s">
        <v>1392</v>
      </c>
      <c r="C311" t="s">
        <v>1393</v>
      </c>
      <c r="D311" t="s">
        <v>1394</v>
      </c>
      <c r="E311">
        <v>86</v>
      </c>
      <c r="F311" t="str">
        <f>IF(_xlfn.XLOOKUP(C311,'75'!$C$2:$C$509,'75'!$D$2:$D$509)=D311,'75'!F311)</f>
        <v>no</v>
      </c>
    </row>
    <row r="312" spans="1:6" x14ac:dyDescent="0.45">
      <c r="A312" t="s">
        <v>1359</v>
      </c>
      <c r="B312" t="s">
        <v>1377</v>
      </c>
      <c r="C312" t="s">
        <v>1360</v>
      </c>
      <c r="D312" t="s">
        <v>1378</v>
      </c>
      <c r="E312">
        <v>80</v>
      </c>
      <c r="F312" t="str">
        <f>IF(_xlfn.XLOOKUP(C312,'75'!$C$2:$C$509,'75'!$D$2:$D$509)=D312,'75'!F312)</f>
        <v>ok</v>
      </c>
    </row>
    <row r="313" spans="1:6" x14ac:dyDescent="0.45">
      <c r="A313" t="s">
        <v>1397</v>
      </c>
      <c r="B313" t="s">
        <v>1398</v>
      </c>
      <c r="C313" t="s">
        <v>1399</v>
      </c>
      <c r="D313" t="s">
        <v>1400</v>
      </c>
      <c r="E313">
        <v>83</v>
      </c>
      <c r="F313" t="str">
        <f>IF(_xlfn.XLOOKUP(C313,'75'!$C$2:$C$509,'75'!$D$2:$D$509)=D313,'75'!F313)</f>
        <v>no</v>
      </c>
    </row>
    <row r="314" spans="1:6" x14ac:dyDescent="0.45">
      <c r="A314" t="s">
        <v>1401</v>
      </c>
      <c r="B314" t="s">
        <v>1402</v>
      </c>
      <c r="C314" t="s">
        <v>1403</v>
      </c>
      <c r="D314" t="s">
        <v>1404</v>
      </c>
      <c r="E314">
        <v>84</v>
      </c>
      <c r="F314" t="str">
        <f>IF(_xlfn.XLOOKUP(C314,'75'!$C$2:$C$509,'75'!$D$2:$D$509)=D314,'75'!F314)</f>
        <v>no</v>
      </c>
    </row>
    <row r="315" spans="1:6" x14ac:dyDescent="0.45">
      <c r="A315" t="s">
        <v>1405</v>
      </c>
      <c r="B315" t="s">
        <v>1406</v>
      </c>
      <c r="C315" t="s">
        <v>1407</v>
      </c>
      <c r="D315" t="s">
        <v>1408</v>
      </c>
      <c r="E315">
        <v>83</v>
      </c>
      <c r="F315" t="str">
        <f>IF(_xlfn.XLOOKUP(C315,'75'!$C$2:$C$509,'75'!$D$2:$D$509)=D315,'75'!F315)</f>
        <v>no</v>
      </c>
    </row>
    <row r="316" spans="1:6" x14ac:dyDescent="0.45">
      <c r="A316" t="s">
        <v>1409</v>
      </c>
      <c r="B316" t="s">
        <v>1410</v>
      </c>
      <c r="C316" t="s">
        <v>1411</v>
      </c>
      <c r="D316" t="s">
        <v>1412</v>
      </c>
      <c r="E316">
        <v>96</v>
      </c>
      <c r="F316" t="str">
        <f>IF(_xlfn.XLOOKUP(C316,'75'!$C$2:$C$509,'75'!$D$2:$D$509)=D316,'75'!F316)</f>
        <v>ok</v>
      </c>
    </row>
    <row r="317" spans="1:6" x14ac:dyDescent="0.45">
      <c r="A317" t="s">
        <v>1423</v>
      </c>
      <c r="B317" t="s">
        <v>1424</v>
      </c>
      <c r="C317" t="s">
        <v>1425</v>
      </c>
      <c r="D317" t="s">
        <v>1426</v>
      </c>
      <c r="E317">
        <v>78</v>
      </c>
      <c r="F317" t="str">
        <f>IF(_xlfn.XLOOKUP(C317,'75'!$C$2:$C$509,'75'!$D$2:$D$509)=D317,'75'!F317)</f>
        <v>no</v>
      </c>
    </row>
    <row r="318" spans="1:6" x14ac:dyDescent="0.45">
      <c r="A318" t="s">
        <v>1414</v>
      </c>
      <c r="B318" t="s">
        <v>1431</v>
      </c>
      <c r="C318" t="s">
        <v>1416</v>
      </c>
      <c r="D318" t="s">
        <v>1432</v>
      </c>
      <c r="E318">
        <v>78</v>
      </c>
      <c r="F318" t="str">
        <f>IF(_xlfn.XLOOKUP(C318,'75'!$C$2:$C$509,'75'!$D$2:$D$509)=D318,'75'!F318)</f>
        <v>no</v>
      </c>
    </row>
    <row r="319" spans="1:6" x14ac:dyDescent="0.45">
      <c r="A319" t="s">
        <v>1414</v>
      </c>
      <c r="B319" t="s">
        <v>1417</v>
      </c>
      <c r="C319" t="s">
        <v>1416</v>
      </c>
      <c r="D319" t="s">
        <v>1418</v>
      </c>
      <c r="E319">
        <v>88</v>
      </c>
      <c r="F319" t="s">
        <v>1513</v>
      </c>
    </row>
    <row r="320" spans="1:6" x14ac:dyDescent="0.45">
      <c r="A320" t="s">
        <v>1433</v>
      </c>
      <c r="B320" t="s">
        <v>1434</v>
      </c>
      <c r="C320" t="s">
        <v>1435</v>
      </c>
      <c r="D320" t="s">
        <v>1436</v>
      </c>
      <c r="E320">
        <v>78</v>
      </c>
      <c r="F320" t="str">
        <f>IF(_xlfn.XLOOKUP(C320,'75'!$C$2:$C$509,'75'!$D$2:$D$509)=D320,'75'!F320)</f>
        <v>no</v>
      </c>
    </row>
    <row r="321" spans="1:6" x14ac:dyDescent="0.45">
      <c r="A321" t="s">
        <v>1437</v>
      </c>
      <c r="B321" t="s">
        <v>1434</v>
      </c>
      <c r="C321" t="s">
        <v>1438</v>
      </c>
      <c r="D321" t="s">
        <v>1436</v>
      </c>
      <c r="E321">
        <v>82</v>
      </c>
      <c r="F321" t="str">
        <f>IF(_xlfn.XLOOKUP(C321,'75'!$C$2:$C$509,'75'!$D$2:$D$509)=D321,'75'!F321)</f>
        <v>no</v>
      </c>
    </row>
    <row r="322" spans="1:6" x14ac:dyDescent="0.45">
      <c r="A322" t="s">
        <v>1439</v>
      </c>
      <c r="B322" t="s">
        <v>1440</v>
      </c>
      <c r="C322" t="s">
        <v>1441</v>
      </c>
      <c r="D322" t="s">
        <v>1442</v>
      </c>
      <c r="E322">
        <v>91</v>
      </c>
      <c r="F322" t="str">
        <f>IF(_xlfn.XLOOKUP(C322,'75'!$C$2:$C$509,'75'!$D$2:$D$509)=D322,'75'!F322)</f>
        <v>ok</v>
      </c>
    </row>
    <row r="323" spans="1:6" x14ac:dyDescent="0.45">
      <c r="A323" t="s">
        <v>1439</v>
      </c>
      <c r="B323" t="s">
        <v>1443</v>
      </c>
      <c r="C323" t="s">
        <v>1441</v>
      </c>
      <c r="D323" t="s">
        <v>1444</v>
      </c>
      <c r="E323">
        <v>79</v>
      </c>
      <c r="F323" t="s">
        <v>1512</v>
      </c>
    </row>
    <row r="324" spans="1:6" x14ac:dyDescent="0.45">
      <c r="A324" t="s">
        <v>1431</v>
      </c>
      <c r="B324" t="s">
        <v>1417</v>
      </c>
      <c r="C324" t="s">
        <v>1432</v>
      </c>
      <c r="D324" t="s">
        <v>1418</v>
      </c>
      <c r="E324">
        <v>78</v>
      </c>
      <c r="F324" t="str">
        <f>IF(_xlfn.XLOOKUP(C324,'75'!$C$2:$C$509,'75'!$D$2:$D$509)=D324,'75'!F324)</f>
        <v>ok</v>
      </c>
    </row>
    <row r="325" spans="1:6" x14ac:dyDescent="0.45">
      <c r="A325" t="s">
        <v>1449</v>
      </c>
      <c r="B325" t="s">
        <v>1450</v>
      </c>
      <c r="C325" t="s">
        <v>1451</v>
      </c>
      <c r="D325" t="s">
        <v>1452</v>
      </c>
      <c r="E325">
        <v>78</v>
      </c>
      <c r="F325" t="str">
        <f>IF(_xlfn.XLOOKUP(C325,'75'!$C$2:$C$509,'75'!$D$2:$D$509)=D325,'75'!F325)</f>
        <v>ok</v>
      </c>
    </row>
    <row r="326" spans="1:6" x14ac:dyDescent="0.45">
      <c r="A326" t="s">
        <v>1449</v>
      </c>
      <c r="B326" t="s">
        <v>1461</v>
      </c>
      <c r="C326" t="s">
        <v>1451</v>
      </c>
      <c r="D326" t="s">
        <v>1462</v>
      </c>
      <c r="E326">
        <v>84</v>
      </c>
      <c r="F326" t="s">
        <v>1513</v>
      </c>
    </row>
    <row r="327" spans="1:6" x14ac:dyDescent="0.45">
      <c r="A327" t="s">
        <v>1463</v>
      </c>
      <c r="B327" t="s">
        <v>1464</v>
      </c>
      <c r="C327" t="s">
        <v>1465</v>
      </c>
      <c r="D327" t="s">
        <v>1466</v>
      </c>
      <c r="E327">
        <v>80</v>
      </c>
      <c r="F327" t="str">
        <f>IF(_xlfn.XLOOKUP(C327,'75'!$C$2:$C$509,'75'!$D$2:$D$509)=D327,'75'!F327)</f>
        <v>ok</v>
      </c>
    </row>
    <row r="328" spans="1:6" x14ac:dyDescent="0.45">
      <c r="A328" t="s">
        <v>1475</v>
      </c>
      <c r="B328" t="s">
        <v>1476</v>
      </c>
      <c r="C328" t="s">
        <v>1477</v>
      </c>
      <c r="D328" t="s">
        <v>1478</v>
      </c>
      <c r="E328">
        <v>80</v>
      </c>
      <c r="F328" t="str">
        <f>IF(_xlfn.XLOOKUP(C328,'75'!$C$2:$C$509,'75'!$D$2:$D$509)=D328,'75'!F328)</f>
        <v>ok</v>
      </c>
    </row>
    <row r="329" spans="1:6" x14ac:dyDescent="0.45">
      <c r="A329" t="s">
        <v>1464</v>
      </c>
      <c r="B329" t="s">
        <v>1469</v>
      </c>
      <c r="C329" t="s">
        <v>1466</v>
      </c>
      <c r="D329" t="s">
        <v>1470</v>
      </c>
      <c r="E329">
        <v>82</v>
      </c>
      <c r="F329" t="str">
        <f>IF(_xlfn.XLOOKUP(C329,'75'!$C$2:$C$509,'75'!$D$2:$D$509)=D329,'75'!F329)</f>
        <v>ok</v>
      </c>
    </row>
    <row r="330" spans="1:6" x14ac:dyDescent="0.45">
      <c r="A330" t="s">
        <v>1479</v>
      </c>
      <c r="B330" t="s">
        <v>1480</v>
      </c>
      <c r="C330" t="s">
        <v>1481</v>
      </c>
      <c r="D330" t="s">
        <v>1482</v>
      </c>
      <c r="E330">
        <v>88</v>
      </c>
      <c r="F330" t="str">
        <f>IF(_xlfn.XLOOKUP(C330,'75'!$C$2:$C$509,'75'!$D$2:$D$509)=D330,'75'!F330)</f>
        <v>ok</v>
      </c>
    </row>
    <row r="331" spans="1:6" x14ac:dyDescent="0.45">
      <c r="A331" t="s">
        <v>1485</v>
      </c>
      <c r="B331" t="s">
        <v>1489</v>
      </c>
      <c r="C331" t="s">
        <v>1487</v>
      </c>
      <c r="D331" t="s">
        <v>1490</v>
      </c>
      <c r="E331">
        <v>78</v>
      </c>
      <c r="F331" t="s">
        <v>1513</v>
      </c>
    </row>
    <row r="332" spans="1:6" x14ac:dyDescent="0.45">
      <c r="A332" t="s">
        <v>1491</v>
      </c>
      <c r="B332" t="s">
        <v>1492</v>
      </c>
      <c r="C332" t="s">
        <v>1493</v>
      </c>
      <c r="D332" t="s">
        <v>1494</v>
      </c>
      <c r="E332">
        <v>83</v>
      </c>
      <c r="F332" t="str">
        <f>IF(_xlfn.XLOOKUP(C332,'75'!$C$2:$C$509,'75'!$D$2:$D$509)=D332,'75'!F332)</f>
        <v>ok</v>
      </c>
    </row>
    <row r="333" spans="1:6" x14ac:dyDescent="0.45">
      <c r="A333" t="s">
        <v>1492</v>
      </c>
      <c r="B333" t="s">
        <v>1495</v>
      </c>
      <c r="C333" t="s">
        <v>1494</v>
      </c>
      <c r="D333" t="s">
        <v>1496</v>
      </c>
      <c r="E333">
        <v>78</v>
      </c>
      <c r="F333" t="str">
        <f>IF(_xlfn.XLOOKUP(C333,'75'!$C$2:$C$509,'75'!$D$2:$D$509)=D333,'75'!F333)</f>
        <v>ok</v>
      </c>
    </row>
    <row r="334" spans="1:6" x14ac:dyDescent="0.45">
      <c r="A334" t="s">
        <v>1486</v>
      </c>
      <c r="B334" t="s">
        <v>1497</v>
      </c>
      <c r="C334" t="s">
        <v>1488</v>
      </c>
      <c r="D334" t="s">
        <v>1498</v>
      </c>
      <c r="E334">
        <v>78</v>
      </c>
      <c r="F334" t="str">
        <f>IF(_xlfn.XLOOKUP(C334,'75'!$C$2:$C$509,'75'!$D$2:$D$509)=D334,'75'!F334)</f>
        <v>ok</v>
      </c>
    </row>
    <row r="335" spans="1:6" x14ac:dyDescent="0.45">
      <c r="A335" t="s">
        <v>1455</v>
      </c>
      <c r="B335" t="s">
        <v>1457</v>
      </c>
      <c r="C335" t="s">
        <v>1456</v>
      </c>
      <c r="D335" t="s">
        <v>1458</v>
      </c>
      <c r="E335">
        <v>86</v>
      </c>
      <c r="F335" t="str">
        <f>IF(_xlfn.XLOOKUP(C335,'75'!$C$2:$C$509,'75'!$D$2:$D$509)=D335,'75'!F335)</f>
        <v>ok</v>
      </c>
    </row>
    <row r="336" spans="1:6" x14ac:dyDescent="0.45">
      <c r="A336" t="s">
        <v>1455</v>
      </c>
      <c r="B336" t="s">
        <v>1459</v>
      </c>
      <c r="C336" t="s">
        <v>1456</v>
      </c>
      <c r="D336" t="s">
        <v>1460</v>
      </c>
      <c r="E336">
        <v>86</v>
      </c>
      <c r="F336" t="s">
        <v>1513</v>
      </c>
    </row>
    <row r="337" spans="1:6" x14ac:dyDescent="0.45">
      <c r="A337" t="s">
        <v>1507</v>
      </c>
      <c r="B337" t="s">
        <v>1508</v>
      </c>
      <c r="C337" t="s">
        <v>1509</v>
      </c>
      <c r="D337" t="s">
        <v>1510</v>
      </c>
      <c r="E337">
        <v>92</v>
      </c>
      <c r="F337" t="str">
        <f>IF(_xlfn.XLOOKUP(C337,'75'!$C$2:$C$509,'75'!$D$2:$D$509)=D337,'75'!F337)</f>
        <v>ok</v>
      </c>
    </row>
    <row r="338" spans="1:6" x14ac:dyDescent="0.45">
      <c r="A338" t="s">
        <v>1457</v>
      </c>
      <c r="B338" t="s">
        <v>1459</v>
      </c>
      <c r="C338" t="s">
        <v>1458</v>
      </c>
      <c r="D338" t="s">
        <v>1460</v>
      </c>
      <c r="E338">
        <v>86</v>
      </c>
      <c r="F338" t="str">
        <f>IF(_xlfn.XLOOKUP(C338,'75'!$C$2:$C$509,'75'!$D$2:$D$509)=D338,'75'!F338)</f>
        <v>no</v>
      </c>
    </row>
    <row r="339" spans="1:6" x14ac:dyDescent="0.45">
      <c r="A339" t="s">
        <v>1457</v>
      </c>
      <c r="B339" t="s">
        <v>1497</v>
      </c>
      <c r="C339" t="s">
        <v>1458</v>
      </c>
      <c r="D339" t="s">
        <v>1498</v>
      </c>
      <c r="E339">
        <v>82</v>
      </c>
      <c r="F339" t="s">
        <v>1513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8318-AAC5-4F2A-9527-08E6E057CC8F}">
  <dimension ref="A1:J292"/>
  <sheetViews>
    <sheetView workbookViewId="0">
      <selection activeCell="F2" sqref="F2"/>
    </sheetView>
  </sheetViews>
  <sheetFormatPr defaultRowHeight="14.25" x14ac:dyDescent="0.45"/>
  <cols>
    <col min="1" max="1" width="26.86328125" bestFit="1" customWidth="1"/>
    <col min="2" max="2" width="25.06640625" bestFit="1" customWidth="1"/>
    <col min="3" max="4" width="11.73046875" bestFit="1" customWidth="1"/>
    <col min="5" max="5" width="13.4648437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1516</v>
      </c>
    </row>
    <row r="2" spans="1:10" x14ac:dyDescent="0.45">
      <c r="A2" t="s">
        <v>5</v>
      </c>
      <c r="B2" t="s">
        <v>6</v>
      </c>
      <c r="C2" t="s">
        <v>7</v>
      </c>
      <c r="D2" t="s">
        <v>8</v>
      </c>
      <c r="E2">
        <v>92</v>
      </c>
      <c r="F2" t="str">
        <f>IF(_xlfn.XLOOKUP(C2,'75'!$C$2:$C$509,'75'!$D$2:$D$509)=D2,'75'!F2)</f>
        <v>ok</v>
      </c>
      <c r="H2" t="s">
        <v>1517</v>
      </c>
      <c r="I2">
        <f>COUNTIF(F2:F292,"ok")/291</f>
        <v>0.38487972508591067</v>
      </c>
      <c r="J2">
        <f>COUNTIF(F2:F292,"ok")</f>
        <v>112</v>
      </c>
    </row>
    <row r="3" spans="1:10" x14ac:dyDescent="0.45">
      <c r="A3" t="s">
        <v>9</v>
      </c>
      <c r="B3" t="s">
        <v>10</v>
      </c>
      <c r="C3" t="s">
        <v>11</v>
      </c>
      <c r="D3" t="s">
        <v>12</v>
      </c>
      <c r="E3">
        <v>81</v>
      </c>
      <c r="F3" t="str">
        <f>IF(_xlfn.XLOOKUP(C3,'75'!$C$2:$C$509,'75'!$D$2:$D$509)=D3,'75'!F3)</f>
        <v>no</v>
      </c>
      <c r="H3" t="s">
        <v>1518</v>
      </c>
      <c r="I3">
        <f>COUNTIF(F2:F292,"no")/291</f>
        <v>0.61512027491408938</v>
      </c>
      <c r="J3">
        <f>COUNTIF(F2:F292,"no")</f>
        <v>179</v>
      </c>
    </row>
    <row r="4" spans="1:10" x14ac:dyDescent="0.45">
      <c r="A4" t="s">
        <v>19</v>
      </c>
      <c r="B4" t="s">
        <v>20</v>
      </c>
      <c r="C4" t="s">
        <v>21</v>
      </c>
      <c r="D4" t="s">
        <v>22</v>
      </c>
      <c r="E4">
        <v>94</v>
      </c>
      <c r="F4" t="str">
        <f>IF(_xlfn.XLOOKUP(C4,'75'!$C$2:$C$509,'75'!$D$2:$D$509)=D4,'75'!F4)</f>
        <v>no</v>
      </c>
    </row>
    <row r="5" spans="1:10" x14ac:dyDescent="0.45">
      <c r="A5" t="s">
        <v>10</v>
      </c>
      <c r="B5" t="s">
        <v>24</v>
      </c>
      <c r="C5" t="s">
        <v>12</v>
      </c>
      <c r="D5" t="s">
        <v>26</v>
      </c>
      <c r="E5">
        <v>81</v>
      </c>
      <c r="F5" t="str">
        <f>IF(_xlfn.XLOOKUP(C5,'75'!$C$2:$C$509,'75'!$D$2:$D$509)=D5,'75'!F5)</f>
        <v>no</v>
      </c>
    </row>
    <row r="6" spans="1:10" x14ac:dyDescent="0.45">
      <c r="A6" t="s">
        <v>31</v>
      </c>
      <c r="B6" t="s">
        <v>32</v>
      </c>
      <c r="C6" t="s">
        <v>33</v>
      </c>
      <c r="D6" t="s">
        <v>34</v>
      </c>
      <c r="E6">
        <v>85</v>
      </c>
      <c r="F6" t="str">
        <f>IF(_xlfn.XLOOKUP(C6,'75'!$C$2:$C$509,'75'!$D$2:$D$509)=D6,'75'!F6)</f>
        <v>ok</v>
      </c>
    </row>
    <row r="7" spans="1:10" x14ac:dyDescent="0.45">
      <c r="A7" t="s">
        <v>24</v>
      </c>
      <c r="B7" t="s">
        <v>13</v>
      </c>
      <c r="C7" t="s">
        <v>26</v>
      </c>
      <c r="D7" t="s">
        <v>14</v>
      </c>
      <c r="E7">
        <v>83</v>
      </c>
      <c r="F7" t="str">
        <f>IF(_xlfn.XLOOKUP(C7,'75'!$C$2:$C$509,'75'!$D$2:$D$509)=D7,'75'!F7)</f>
        <v>no</v>
      </c>
    </row>
    <row r="8" spans="1:10" x14ac:dyDescent="0.45">
      <c r="A8" t="s">
        <v>49</v>
      </c>
      <c r="B8" t="s">
        <v>50</v>
      </c>
      <c r="C8" t="s">
        <v>51</v>
      </c>
      <c r="D8" t="s">
        <v>52</v>
      </c>
      <c r="E8">
        <v>83</v>
      </c>
      <c r="F8" t="str">
        <f>IF(_xlfn.XLOOKUP(C8,'75'!$C$2:$C$509,'75'!$D$2:$D$509)=D8,'75'!F8)</f>
        <v>no</v>
      </c>
    </row>
    <row r="9" spans="1:10" x14ac:dyDescent="0.45">
      <c r="A9" t="s">
        <v>57</v>
      </c>
      <c r="B9" t="s">
        <v>58</v>
      </c>
      <c r="C9" t="s">
        <v>59</v>
      </c>
      <c r="D9" t="s">
        <v>60</v>
      </c>
      <c r="E9">
        <v>85</v>
      </c>
      <c r="F9" t="str">
        <f>IF(_xlfn.XLOOKUP(C9,'75'!$C$2:$C$509,'75'!$D$2:$D$509)=D9,'75'!F9)</f>
        <v>no</v>
      </c>
    </row>
    <row r="10" spans="1:10" x14ac:dyDescent="0.45">
      <c r="A10" t="s">
        <v>65</v>
      </c>
      <c r="B10" t="s">
        <v>66</v>
      </c>
      <c r="C10" t="s">
        <v>67</v>
      </c>
      <c r="D10" t="s">
        <v>68</v>
      </c>
      <c r="E10">
        <v>80</v>
      </c>
      <c r="F10" t="str">
        <f>IF(_xlfn.XLOOKUP(C10,'75'!$C$2:$C$509,'75'!$D$2:$D$509)=D10,'75'!F10)</f>
        <v>no</v>
      </c>
    </row>
    <row r="11" spans="1:10" x14ac:dyDescent="0.45">
      <c r="A11" t="s">
        <v>71</v>
      </c>
      <c r="B11" t="s">
        <v>72</v>
      </c>
      <c r="C11" t="s">
        <v>73</v>
      </c>
      <c r="D11" t="s">
        <v>74</v>
      </c>
      <c r="E11">
        <v>83</v>
      </c>
      <c r="F11" t="str">
        <f>IF(_xlfn.XLOOKUP(C11,'75'!$C$2:$C$509,'75'!$D$2:$D$509)=D11,'75'!F11)</f>
        <v>ok</v>
      </c>
    </row>
    <row r="12" spans="1:10" x14ac:dyDescent="0.45">
      <c r="A12" t="s">
        <v>75</v>
      </c>
      <c r="B12" t="s">
        <v>76</v>
      </c>
      <c r="C12" t="s">
        <v>77</v>
      </c>
      <c r="D12" t="s">
        <v>78</v>
      </c>
      <c r="E12">
        <v>80</v>
      </c>
      <c r="F12" t="str">
        <f>IF(_xlfn.XLOOKUP(C12,'75'!$C$2:$C$509,'75'!$D$2:$D$509)=D12,'75'!F12)</f>
        <v>no</v>
      </c>
    </row>
    <row r="13" spans="1:10" x14ac:dyDescent="0.45">
      <c r="A13" t="s">
        <v>79</v>
      </c>
      <c r="B13" t="s">
        <v>83</v>
      </c>
      <c r="C13" t="s">
        <v>81</v>
      </c>
      <c r="D13" t="s">
        <v>84</v>
      </c>
      <c r="E13">
        <v>90</v>
      </c>
      <c r="F13" t="s">
        <v>1513</v>
      </c>
    </row>
    <row r="14" spans="1:10" x14ac:dyDescent="0.45">
      <c r="A14" t="s">
        <v>85</v>
      </c>
      <c r="B14" t="s">
        <v>86</v>
      </c>
      <c r="C14" t="s">
        <v>87</v>
      </c>
      <c r="D14" t="s">
        <v>88</v>
      </c>
      <c r="E14">
        <v>90</v>
      </c>
      <c r="F14" t="str">
        <f>IF(_xlfn.XLOOKUP(C14,'75'!$C$2:$C$509,'75'!$D$2:$D$509)=D14,'75'!F14)</f>
        <v>ok</v>
      </c>
    </row>
    <row r="15" spans="1:10" x14ac:dyDescent="0.45">
      <c r="A15" t="s">
        <v>89</v>
      </c>
      <c r="B15" t="s">
        <v>90</v>
      </c>
      <c r="C15" t="s">
        <v>91</v>
      </c>
      <c r="D15" t="s">
        <v>92</v>
      </c>
      <c r="E15">
        <v>94</v>
      </c>
      <c r="F15" t="str">
        <f>IF(_xlfn.XLOOKUP(C15,'75'!$C$2:$C$509,'75'!$D$2:$D$509)=D15,'75'!F15)</f>
        <v>no</v>
      </c>
    </row>
    <row r="16" spans="1:10" x14ac:dyDescent="0.45">
      <c r="A16" t="s">
        <v>93</v>
      </c>
      <c r="B16" t="s">
        <v>94</v>
      </c>
      <c r="C16" t="s">
        <v>95</v>
      </c>
      <c r="D16" t="s">
        <v>96</v>
      </c>
      <c r="E16">
        <v>81</v>
      </c>
      <c r="F16" t="str">
        <f>IF(_xlfn.XLOOKUP(C16,'75'!$C$2:$C$509,'75'!$D$2:$D$509)=D16,'75'!F16)</f>
        <v>no</v>
      </c>
    </row>
    <row r="17" spans="1:6" x14ac:dyDescent="0.45">
      <c r="A17" t="s">
        <v>97</v>
      </c>
      <c r="B17" t="s">
        <v>98</v>
      </c>
      <c r="C17" t="s">
        <v>99</v>
      </c>
      <c r="D17" t="s">
        <v>100</v>
      </c>
      <c r="E17">
        <v>92</v>
      </c>
      <c r="F17" t="str">
        <f>IF(_xlfn.XLOOKUP(C17,'75'!$C$2:$C$509,'75'!$D$2:$D$509)=D17,'75'!F17)</f>
        <v>ok</v>
      </c>
    </row>
    <row r="18" spans="1:6" x14ac:dyDescent="0.45">
      <c r="A18" t="s">
        <v>101</v>
      </c>
      <c r="B18" t="s">
        <v>102</v>
      </c>
      <c r="C18" t="s">
        <v>103</v>
      </c>
      <c r="D18" t="s">
        <v>104</v>
      </c>
      <c r="E18">
        <v>88</v>
      </c>
      <c r="F18" t="str">
        <f>IF(_xlfn.XLOOKUP(C18,'75'!$C$2:$C$509,'75'!$D$2:$D$509)=D18,'75'!F18)</f>
        <v>no</v>
      </c>
    </row>
    <row r="19" spans="1:6" x14ac:dyDescent="0.45">
      <c r="A19" t="s">
        <v>109</v>
      </c>
      <c r="B19" t="s">
        <v>110</v>
      </c>
      <c r="C19" t="s">
        <v>111</v>
      </c>
      <c r="D19" t="s">
        <v>112</v>
      </c>
      <c r="E19">
        <v>85</v>
      </c>
      <c r="F19" t="str">
        <f>IF(_xlfn.XLOOKUP(C19,'75'!$C$2:$C$509,'75'!$D$2:$D$509)=D19,'75'!F19)</f>
        <v>ok</v>
      </c>
    </row>
    <row r="20" spans="1:6" x14ac:dyDescent="0.45">
      <c r="A20" t="s">
        <v>121</v>
      </c>
      <c r="B20" t="s">
        <v>122</v>
      </c>
      <c r="C20" t="s">
        <v>123</v>
      </c>
      <c r="D20" t="s">
        <v>124</v>
      </c>
      <c r="E20">
        <v>92</v>
      </c>
      <c r="F20" t="str">
        <f>IF(_xlfn.XLOOKUP(C20,'75'!$C$2:$C$509,'75'!$D$2:$D$509)=D20,'75'!F20)</f>
        <v>no</v>
      </c>
    </row>
    <row r="21" spans="1:6" x14ac:dyDescent="0.45">
      <c r="A21" t="s">
        <v>133</v>
      </c>
      <c r="B21" t="s">
        <v>134</v>
      </c>
      <c r="C21" t="s">
        <v>135</v>
      </c>
      <c r="D21" t="s">
        <v>136</v>
      </c>
      <c r="E21">
        <v>80</v>
      </c>
      <c r="F21" t="str">
        <f>IF(_xlfn.XLOOKUP(C21,'75'!$C$2:$C$509,'75'!$D$2:$D$509)=D21,'75'!F21)</f>
        <v>no</v>
      </c>
    </row>
    <row r="22" spans="1:6" x14ac:dyDescent="0.45">
      <c r="A22" t="s">
        <v>141</v>
      </c>
      <c r="B22" t="s">
        <v>142</v>
      </c>
      <c r="C22" t="s">
        <v>143</v>
      </c>
      <c r="D22" t="s">
        <v>144</v>
      </c>
      <c r="E22">
        <v>80</v>
      </c>
      <c r="F22" t="str">
        <f>IF(_xlfn.XLOOKUP(C22,'75'!$C$2:$C$509,'75'!$D$2:$D$509)=D22,'75'!F22)</f>
        <v>no</v>
      </c>
    </row>
    <row r="23" spans="1:6" x14ac:dyDescent="0.45">
      <c r="A23" t="s">
        <v>149</v>
      </c>
      <c r="B23" t="s">
        <v>150</v>
      </c>
      <c r="C23" t="s">
        <v>151</v>
      </c>
      <c r="D23" t="s">
        <v>152</v>
      </c>
      <c r="E23">
        <v>94</v>
      </c>
      <c r="F23" t="str">
        <f>IF(_xlfn.XLOOKUP(C23,'75'!$C$2:$C$509,'75'!$D$2:$D$509)=D23,'75'!F23)</f>
        <v>ok</v>
      </c>
    </row>
    <row r="24" spans="1:6" x14ac:dyDescent="0.45">
      <c r="A24" t="s">
        <v>153</v>
      </c>
      <c r="B24" t="s">
        <v>154</v>
      </c>
      <c r="C24" t="s">
        <v>155</v>
      </c>
      <c r="D24" t="s">
        <v>156</v>
      </c>
      <c r="E24">
        <v>92</v>
      </c>
      <c r="F24" t="str">
        <f>IF(_xlfn.XLOOKUP(C24,'75'!$C$2:$C$509,'75'!$D$2:$D$509)=D24,'75'!F24)</f>
        <v>no</v>
      </c>
    </row>
    <row r="25" spans="1:6" x14ac:dyDescent="0.45">
      <c r="A25" t="s">
        <v>159</v>
      </c>
      <c r="B25" t="s">
        <v>160</v>
      </c>
      <c r="C25" t="s">
        <v>161</v>
      </c>
      <c r="D25" t="s">
        <v>162</v>
      </c>
      <c r="E25">
        <v>98</v>
      </c>
      <c r="F25" t="str">
        <f>IF(_xlfn.XLOOKUP(C25,'75'!$C$2:$C$509,'75'!$D$2:$D$509)=D25,'75'!F25)</f>
        <v>no</v>
      </c>
    </row>
    <row r="26" spans="1:6" x14ac:dyDescent="0.45">
      <c r="A26" t="s">
        <v>163</v>
      </c>
      <c r="B26" t="s">
        <v>164</v>
      </c>
      <c r="C26" t="s">
        <v>165</v>
      </c>
      <c r="D26" t="s">
        <v>166</v>
      </c>
      <c r="E26">
        <v>94</v>
      </c>
      <c r="F26" t="str">
        <f>IF(_xlfn.XLOOKUP(C26,'75'!$C$2:$C$509,'75'!$D$2:$D$509)=D26,'75'!F26)</f>
        <v>no</v>
      </c>
    </row>
    <row r="27" spans="1:6" x14ac:dyDescent="0.45">
      <c r="A27" t="s">
        <v>167</v>
      </c>
      <c r="B27" t="s">
        <v>168</v>
      </c>
      <c r="C27" t="s">
        <v>169</v>
      </c>
      <c r="D27" t="s">
        <v>170</v>
      </c>
      <c r="E27">
        <v>97</v>
      </c>
      <c r="F27" t="str">
        <f>IF(_xlfn.XLOOKUP(C27,'75'!$C$2:$C$509,'75'!$D$2:$D$509)=D27,'75'!F27)</f>
        <v>ok</v>
      </c>
    </row>
    <row r="28" spans="1:6" x14ac:dyDescent="0.45">
      <c r="A28" t="s">
        <v>171</v>
      </c>
      <c r="B28" t="s">
        <v>172</v>
      </c>
      <c r="C28" t="s">
        <v>173</v>
      </c>
      <c r="D28" t="s">
        <v>174</v>
      </c>
      <c r="E28">
        <v>87</v>
      </c>
      <c r="F28" t="str">
        <f>IF(_xlfn.XLOOKUP(C28,'75'!$C$2:$C$509,'75'!$D$2:$D$509)=D28,'75'!F28)</f>
        <v>ok</v>
      </c>
    </row>
    <row r="29" spans="1:6" x14ac:dyDescent="0.45">
      <c r="A29" t="s">
        <v>179</v>
      </c>
      <c r="B29" t="s">
        <v>180</v>
      </c>
      <c r="C29" t="s">
        <v>181</v>
      </c>
      <c r="D29" t="s">
        <v>182</v>
      </c>
      <c r="E29">
        <v>88</v>
      </c>
      <c r="F29" t="str">
        <f>IF(_xlfn.XLOOKUP(C29,'75'!$C$2:$C$509,'75'!$D$2:$D$509)=D29,'75'!F29)</f>
        <v>no</v>
      </c>
    </row>
    <row r="30" spans="1:6" x14ac:dyDescent="0.45">
      <c r="A30" t="s">
        <v>191</v>
      </c>
      <c r="B30" t="s">
        <v>192</v>
      </c>
      <c r="C30" t="s">
        <v>193</v>
      </c>
      <c r="D30" t="s">
        <v>194</v>
      </c>
      <c r="E30">
        <v>93</v>
      </c>
      <c r="F30" t="str">
        <f>IF(_xlfn.XLOOKUP(C30,'75'!$C$2:$C$509,'75'!$D$2:$D$509)=D30,'75'!F30)</f>
        <v>ok</v>
      </c>
    </row>
    <row r="31" spans="1:6" x14ac:dyDescent="0.45">
      <c r="A31" t="s">
        <v>191</v>
      </c>
      <c r="B31" t="s">
        <v>195</v>
      </c>
      <c r="C31" t="s">
        <v>193</v>
      </c>
      <c r="D31" t="s">
        <v>196</v>
      </c>
      <c r="E31">
        <v>97</v>
      </c>
      <c r="F31" t="s">
        <v>1512</v>
      </c>
    </row>
    <row r="32" spans="1:6" x14ac:dyDescent="0.45">
      <c r="A32" t="s">
        <v>197</v>
      </c>
      <c r="B32" t="s">
        <v>198</v>
      </c>
      <c r="C32" t="s">
        <v>199</v>
      </c>
      <c r="D32" t="s">
        <v>200</v>
      </c>
      <c r="E32">
        <v>81</v>
      </c>
      <c r="F32" t="str">
        <f>IF(_xlfn.XLOOKUP(C32,'75'!$C$2:$C$509,'75'!$D$2:$D$509)=D32,'75'!F32)</f>
        <v>no</v>
      </c>
    </row>
    <row r="33" spans="1:6" x14ac:dyDescent="0.45">
      <c r="A33" t="s">
        <v>201</v>
      </c>
      <c r="B33" t="s">
        <v>184</v>
      </c>
      <c r="C33" t="s">
        <v>203</v>
      </c>
      <c r="D33" t="s">
        <v>186</v>
      </c>
      <c r="E33">
        <v>80</v>
      </c>
      <c r="F33" t="s">
        <v>1512</v>
      </c>
    </row>
    <row r="34" spans="1:6" x14ac:dyDescent="0.45">
      <c r="A34" t="s">
        <v>211</v>
      </c>
      <c r="B34" t="s">
        <v>209</v>
      </c>
      <c r="C34" t="s">
        <v>212</v>
      </c>
      <c r="D34" t="s">
        <v>210</v>
      </c>
      <c r="E34">
        <v>88</v>
      </c>
      <c r="F34" t="s">
        <v>1513</v>
      </c>
    </row>
    <row r="35" spans="1:6" x14ac:dyDescent="0.45">
      <c r="A35" t="s">
        <v>213</v>
      </c>
      <c r="B35" t="s">
        <v>214</v>
      </c>
      <c r="C35" t="s">
        <v>215</v>
      </c>
      <c r="D35" t="s">
        <v>216</v>
      </c>
      <c r="E35">
        <v>92</v>
      </c>
      <c r="F35" t="str">
        <f>IF(_xlfn.XLOOKUP(C35,'75'!$C$2:$C$509,'75'!$D$2:$D$509)=D35,'75'!F35)</f>
        <v>ok</v>
      </c>
    </row>
    <row r="36" spans="1:6" x14ac:dyDescent="0.45">
      <c r="A36" t="s">
        <v>217</v>
      </c>
      <c r="B36" t="s">
        <v>218</v>
      </c>
      <c r="C36" t="s">
        <v>219</v>
      </c>
      <c r="D36" t="s">
        <v>220</v>
      </c>
      <c r="E36">
        <v>80</v>
      </c>
      <c r="F36" t="str">
        <f>IF(_xlfn.XLOOKUP(C36,'75'!$C$2:$C$509,'75'!$D$2:$D$509)=D36,'75'!F36)</f>
        <v>ok</v>
      </c>
    </row>
    <row r="37" spans="1:6" x14ac:dyDescent="0.45">
      <c r="A37" t="s">
        <v>217</v>
      </c>
      <c r="B37" t="s">
        <v>221</v>
      </c>
      <c r="C37" t="s">
        <v>219</v>
      </c>
      <c r="D37" t="s">
        <v>222</v>
      </c>
      <c r="E37">
        <v>89</v>
      </c>
      <c r="F37" t="s">
        <v>1512</v>
      </c>
    </row>
    <row r="38" spans="1:6" x14ac:dyDescent="0.45">
      <c r="A38" t="s">
        <v>227</v>
      </c>
      <c r="B38" t="s">
        <v>228</v>
      </c>
      <c r="C38" t="s">
        <v>229</v>
      </c>
      <c r="D38" t="s">
        <v>230</v>
      </c>
      <c r="E38">
        <v>80</v>
      </c>
      <c r="F38" t="str">
        <f>IF(_xlfn.XLOOKUP(C38,'75'!$C$2:$C$509,'75'!$D$2:$D$509)=D38,'75'!F38)</f>
        <v>no</v>
      </c>
    </row>
    <row r="39" spans="1:6" x14ac:dyDescent="0.45">
      <c r="A39" t="s">
        <v>231</v>
      </c>
      <c r="B39" t="s">
        <v>232</v>
      </c>
      <c r="C39" t="s">
        <v>233</v>
      </c>
      <c r="D39" t="s">
        <v>234</v>
      </c>
      <c r="E39">
        <v>83</v>
      </c>
      <c r="F39" t="str">
        <f>IF(_xlfn.XLOOKUP(C39,'75'!$C$2:$C$509,'75'!$D$2:$D$509)=D39,'75'!F39)</f>
        <v>ok</v>
      </c>
    </row>
    <row r="40" spans="1:6" x14ac:dyDescent="0.45">
      <c r="A40" t="s">
        <v>231</v>
      </c>
      <c r="B40" t="s">
        <v>235</v>
      </c>
      <c r="C40" t="s">
        <v>233</v>
      </c>
      <c r="D40" t="s">
        <v>236</v>
      </c>
      <c r="E40">
        <v>93</v>
      </c>
      <c r="F40" t="s">
        <v>1512</v>
      </c>
    </row>
    <row r="41" spans="1:6" x14ac:dyDescent="0.45">
      <c r="A41" t="s">
        <v>237</v>
      </c>
      <c r="B41" t="s">
        <v>238</v>
      </c>
      <c r="C41" t="s">
        <v>239</v>
      </c>
      <c r="D41" t="s">
        <v>240</v>
      </c>
      <c r="E41">
        <v>91</v>
      </c>
      <c r="F41" t="str">
        <f>IF(_xlfn.XLOOKUP(C41,'75'!$C$2:$C$509,'75'!$D$2:$D$509)=D41,'75'!F41)</f>
        <v>no</v>
      </c>
    </row>
    <row r="42" spans="1:6" x14ac:dyDescent="0.45">
      <c r="A42" t="s">
        <v>245</v>
      </c>
      <c r="B42" t="s">
        <v>246</v>
      </c>
      <c r="C42" t="s">
        <v>247</v>
      </c>
      <c r="D42" t="s">
        <v>248</v>
      </c>
      <c r="E42">
        <v>81</v>
      </c>
      <c r="F42" t="str">
        <f>IF(_xlfn.XLOOKUP(C42,'75'!$C$2:$C$509,'75'!$D$2:$D$509)=D42,'75'!F42)</f>
        <v>no</v>
      </c>
    </row>
    <row r="43" spans="1:6" x14ac:dyDescent="0.45">
      <c r="A43" t="s">
        <v>253</v>
      </c>
      <c r="B43" t="s">
        <v>254</v>
      </c>
      <c r="C43" t="s">
        <v>255</v>
      </c>
      <c r="D43" t="s">
        <v>256</v>
      </c>
      <c r="E43">
        <v>85</v>
      </c>
      <c r="F43" t="str">
        <f>IF(_xlfn.XLOOKUP(C43,'75'!$C$2:$C$509,'75'!$D$2:$D$509)=D43,'75'!F43)</f>
        <v>ok</v>
      </c>
    </row>
    <row r="44" spans="1:6" x14ac:dyDescent="0.45">
      <c r="A44" t="s">
        <v>259</v>
      </c>
      <c r="B44" t="s">
        <v>260</v>
      </c>
      <c r="C44" t="s">
        <v>261</v>
      </c>
      <c r="D44" t="s">
        <v>262</v>
      </c>
      <c r="E44">
        <v>82</v>
      </c>
      <c r="F44" t="str">
        <f>IF(_xlfn.XLOOKUP(C44,'75'!$C$2:$C$509,'75'!$D$2:$D$509)=D44,'75'!F44)</f>
        <v>ok</v>
      </c>
    </row>
    <row r="45" spans="1:6" x14ac:dyDescent="0.45">
      <c r="A45" t="s">
        <v>259</v>
      </c>
      <c r="B45" t="s">
        <v>263</v>
      </c>
      <c r="C45" t="s">
        <v>261</v>
      </c>
      <c r="D45" t="s">
        <v>264</v>
      </c>
      <c r="E45">
        <v>96</v>
      </c>
      <c r="F45" t="s">
        <v>1513</v>
      </c>
    </row>
    <row r="46" spans="1:6" x14ac:dyDescent="0.45">
      <c r="A46" t="s">
        <v>205</v>
      </c>
      <c r="B46" t="s">
        <v>209</v>
      </c>
      <c r="C46" t="s">
        <v>206</v>
      </c>
      <c r="D46" t="s">
        <v>210</v>
      </c>
      <c r="E46">
        <v>86</v>
      </c>
      <c r="F46" t="s">
        <v>1513</v>
      </c>
    </row>
    <row r="47" spans="1:6" x14ac:dyDescent="0.45">
      <c r="A47" t="s">
        <v>269</v>
      </c>
      <c r="B47" t="s">
        <v>270</v>
      </c>
      <c r="C47" t="s">
        <v>271</v>
      </c>
      <c r="D47" t="s">
        <v>272</v>
      </c>
      <c r="E47">
        <v>83</v>
      </c>
      <c r="F47" t="str">
        <f>IF(_xlfn.XLOOKUP(C47,'75'!$C$2:$C$509,'75'!$D$2:$D$509)=D47,'75'!F47)</f>
        <v>ok</v>
      </c>
    </row>
    <row r="48" spans="1:6" x14ac:dyDescent="0.45">
      <c r="A48" t="s">
        <v>232</v>
      </c>
      <c r="B48" t="s">
        <v>273</v>
      </c>
      <c r="C48" t="s">
        <v>234</v>
      </c>
      <c r="D48" t="s">
        <v>274</v>
      </c>
      <c r="E48">
        <v>80</v>
      </c>
      <c r="F48" t="s">
        <v>1513</v>
      </c>
    </row>
    <row r="49" spans="1:6" x14ac:dyDescent="0.45">
      <c r="A49" t="s">
        <v>275</v>
      </c>
      <c r="B49" t="s">
        <v>276</v>
      </c>
      <c r="C49" t="s">
        <v>277</v>
      </c>
      <c r="D49" t="s">
        <v>278</v>
      </c>
      <c r="E49">
        <v>80</v>
      </c>
      <c r="F49" t="str">
        <f>IF(_xlfn.XLOOKUP(C49,'75'!$C$2:$C$509,'75'!$D$2:$D$509)=D49,'75'!F49)</f>
        <v>ok</v>
      </c>
    </row>
    <row r="50" spans="1:6" x14ac:dyDescent="0.45">
      <c r="A50" t="s">
        <v>279</v>
      </c>
      <c r="B50" t="s">
        <v>189</v>
      </c>
      <c r="C50" t="s">
        <v>280</v>
      </c>
      <c r="D50" t="s">
        <v>190</v>
      </c>
      <c r="E50">
        <v>95</v>
      </c>
      <c r="F50" t="str">
        <f>IF(_xlfn.XLOOKUP(C50,'75'!$C$2:$C$509,'75'!$D$2:$D$509)=D50,'75'!F50)</f>
        <v>no</v>
      </c>
    </row>
    <row r="51" spans="1:6" x14ac:dyDescent="0.45">
      <c r="A51" t="s">
        <v>281</v>
      </c>
      <c r="B51" t="s">
        <v>282</v>
      </c>
      <c r="C51" t="s">
        <v>283</v>
      </c>
      <c r="D51" t="s">
        <v>284</v>
      </c>
      <c r="E51">
        <v>95</v>
      </c>
      <c r="F51" t="str">
        <f>IF(_xlfn.XLOOKUP(C51,'75'!$C$2:$C$509,'75'!$D$2:$D$509)=D51,'75'!F51)</f>
        <v>no</v>
      </c>
    </row>
    <row r="52" spans="1:6" x14ac:dyDescent="0.45">
      <c r="A52" t="s">
        <v>266</v>
      </c>
      <c r="B52" t="s">
        <v>289</v>
      </c>
      <c r="C52" t="s">
        <v>268</v>
      </c>
      <c r="D52" t="s">
        <v>290</v>
      </c>
      <c r="E52">
        <v>86</v>
      </c>
      <c r="F52" t="str">
        <f>IF(_xlfn.XLOOKUP(C52,'75'!$C$2:$C$509,'75'!$D$2:$D$509)=D52,'75'!F52)</f>
        <v>no</v>
      </c>
    </row>
    <row r="53" spans="1:6" x14ac:dyDescent="0.45">
      <c r="A53" t="s">
        <v>291</v>
      </c>
      <c r="B53" t="s">
        <v>292</v>
      </c>
      <c r="C53" t="s">
        <v>293</v>
      </c>
      <c r="D53" t="s">
        <v>294</v>
      </c>
      <c r="E53">
        <v>94</v>
      </c>
      <c r="F53" t="str">
        <f>IF(_xlfn.XLOOKUP(C53,'75'!$C$2:$C$509,'75'!$D$2:$D$509)=D53,'75'!F53)</f>
        <v>no</v>
      </c>
    </row>
    <row r="54" spans="1:6" x14ac:dyDescent="0.45">
      <c r="A54" t="s">
        <v>218</v>
      </c>
      <c r="B54" t="s">
        <v>221</v>
      </c>
      <c r="C54" t="s">
        <v>220</v>
      </c>
      <c r="D54" t="s">
        <v>222</v>
      </c>
      <c r="E54">
        <v>92</v>
      </c>
      <c r="F54" t="str">
        <f>IF(_xlfn.XLOOKUP(C54,'75'!$C$2:$C$509,'75'!$D$2:$D$509)=D54,'75'!F54)</f>
        <v>no</v>
      </c>
    </row>
    <row r="55" spans="1:6" x14ac:dyDescent="0.45">
      <c r="A55" t="s">
        <v>299</v>
      </c>
      <c r="B55" t="s">
        <v>300</v>
      </c>
      <c r="C55" t="s">
        <v>301</v>
      </c>
      <c r="D55" t="s">
        <v>302</v>
      </c>
      <c r="E55">
        <v>80</v>
      </c>
      <c r="F55" t="str">
        <f>IF(_xlfn.XLOOKUP(C55,'75'!$C$2:$C$509,'75'!$D$2:$D$509)=D55,'75'!F55)</f>
        <v>ok</v>
      </c>
    </row>
    <row r="56" spans="1:6" x14ac:dyDescent="0.45">
      <c r="A56" t="s">
        <v>192</v>
      </c>
      <c r="B56" t="s">
        <v>195</v>
      </c>
      <c r="C56" t="s">
        <v>194</v>
      </c>
      <c r="D56" t="s">
        <v>196</v>
      </c>
      <c r="E56">
        <v>97</v>
      </c>
      <c r="F56" t="str">
        <f>IF(_xlfn.XLOOKUP(C56,'75'!$C$2:$C$509,'75'!$D$2:$D$509)=D56,'75'!F56)</f>
        <v>ok</v>
      </c>
    </row>
    <row r="57" spans="1:6" x14ac:dyDescent="0.45">
      <c r="A57" t="s">
        <v>307</v>
      </c>
      <c r="B57" t="s">
        <v>308</v>
      </c>
      <c r="C57" t="s">
        <v>309</v>
      </c>
      <c r="D57" t="s">
        <v>310</v>
      </c>
      <c r="E57">
        <v>89</v>
      </c>
      <c r="F57" t="str">
        <f>IF(_xlfn.XLOOKUP(C57,'75'!$C$2:$C$509,'75'!$D$2:$D$509)=D57,'75'!F57)</f>
        <v>ok</v>
      </c>
    </row>
    <row r="58" spans="1:6" x14ac:dyDescent="0.45">
      <c r="A58" t="s">
        <v>315</v>
      </c>
      <c r="B58" t="s">
        <v>316</v>
      </c>
      <c r="C58" t="s">
        <v>317</v>
      </c>
      <c r="D58" t="s">
        <v>318</v>
      </c>
      <c r="E58">
        <v>80</v>
      </c>
      <c r="F58" t="str">
        <f>IF(_xlfn.XLOOKUP(C58,'75'!$C$2:$C$509,'75'!$D$2:$D$509)=D58,'75'!F58)</f>
        <v>no</v>
      </c>
    </row>
    <row r="59" spans="1:6" x14ac:dyDescent="0.45">
      <c r="A59" t="s">
        <v>319</v>
      </c>
      <c r="B59" t="s">
        <v>320</v>
      </c>
      <c r="C59" t="s">
        <v>321</v>
      </c>
      <c r="D59" t="s">
        <v>322</v>
      </c>
      <c r="E59">
        <v>92</v>
      </c>
      <c r="F59" t="str">
        <f>IF(_xlfn.XLOOKUP(C59,'75'!$C$2:$C$509,'75'!$D$2:$D$509)=D59,'75'!F59)</f>
        <v>no</v>
      </c>
    </row>
    <row r="60" spans="1:6" x14ac:dyDescent="0.45">
      <c r="A60" t="s">
        <v>327</v>
      </c>
      <c r="B60" t="s">
        <v>328</v>
      </c>
      <c r="C60" t="s">
        <v>329</v>
      </c>
      <c r="D60" t="s">
        <v>330</v>
      </c>
      <c r="E60">
        <v>86</v>
      </c>
      <c r="F60" t="str">
        <f>IF(_xlfn.XLOOKUP(C60,'75'!$C$2:$C$509,'75'!$D$2:$D$509)=D60,'75'!F60)</f>
        <v>no</v>
      </c>
    </row>
    <row r="61" spans="1:6" x14ac:dyDescent="0.45">
      <c r="A61" t="s">
        <v>335</v>
      </c>
      <c r="B61" t="s">
        <v>336</v>
      </c>
      <c r="C61" t="s">
        <v>337</v>
      </c>
      <c r="D61" t="s">
        <v>338</v>
      </c>
      <c r="E61">
        <v>83</v>
      </c>
      <c r="F61" t="str">
        <f>IF(_xlfn.XLOOKUP(C61,'75'!$C$2:$C$509,'75'!$D$2:$D$509)=D61,'75'!F61)</f>
        <v>ok</v>
      </c>
    </row>
    <row r="62" spans="1:6" x14ac:dyDescent="0.45">
      <c r="A62" t="s">
        <v>339</v>
      </c>
      <c r="B62" t="s">
        <v>340</v>
      </c>
      <c r="C62" t="s">
        <v>341</v>
      </c>
      <c r="D62" t="s">
        <v>342</v>
      </c>
      <c r="E62">
        <v>85</v>
      </c>
      <c r="F62" t="str">
        <f>IF(_xlfn.XLOOKUP(C62,'75'!$C$2:$C$509,'75'!$D$2:$D$509)=D62,'75'!F62)</f>
        <v>no</v>
      </c>
    </row>
    <row r="63" spans="1:6" x14ac:dyDescent="0.45">
      <c r="A63" t="s">
        <v>339</v>
      </c>
      <c r="B63" t="s">
        <v>343</v>
      </c>
      <c r="C63" t="s">
        <v>341</v>
      </c>
      <c r="D63" t="s">
        <v>344</v>
      </c>
      <c r="E63">
        <v>93</v>
      </c>
      <c r="F63" t="s">
        <v>1512</v>
      </c>
    </row>
    <row r="64" spans="1:6" x14ac:dyDescent="0.45">
      <c r="A64" t="s">
        <v>349</v>
      </c>
      <c r="B64" t="s">
        <v>350</v>
      </c>
      <c r="C64" t="s">
        <v>351</v>
      </c>
      <c r="D64" t="s">
        <v>352</v>
      </c>
      <c r="E64">
        <v>90</v>
      </c>
      <c r="F64" t="str">
        <f>IF(_xlfn.XLOOKUP(C64,'75'!$C$2:$C$509,'75'!$D$2:$D$509)=D64,'75'!F64)</f>
        <v>no</v>
      </c>
    </row>
    <row r="65" spans="1:6" x14ac:dyDescent="0.45">
      <c r="A65" t="s">
        <v>361</v>
      </c>
      <c r="B65" t="s">
        <v>362</v>
      </c>
      <c r="C65" t="s">
        <v>363</v>
      </c>
      <c r="D65" t="s">
        <v>364</v>
      </c>
      <c r="E65">
        <v>80</v>
      </c>
      <c r="F65" t="str">
        <f>IF(_xlfn.XLOOKUP(C65,'75'!$C$2:$C$509,'75'!$D$2:$D$509)=D65,'75'!F65)</f>
        <v>no</v>
      </c>
    </row>
    <row r="66" spans="1:6" x14ac:dyDescent="0.45">
      <c r="A66" t="s">
        <v>365</v>
      </c>
      <c r="B66" t="s">
        <v>366</v>
      </c>
      <c r="C66" t="s">
        <v>367</v>
      </c>
      <c r="D66" t="s">
        <v>368</v>
      </c>
      <c r="E66">
        <v>80</v>
      </c>
      <c r="F66" t="str">
        <f>IF(_xlfn.XLOOKUP(C66,'75'!$C$2:$C$509,'75'!$D$2:$D$509)=D66,'75'!F66)</f>
        <v>no</v>
      </c>
    </row>
    <row r="67" spans="1:6" x14ac:dyDescent="0.45">
      <c r="A67" t="s">
        <v>369</v>
      </c>
      <c r="B67" t="s">
        <v>370</v>
      </c>
      <c r="C67" t="s">
        <v>371</v>
      </c>
      <c r="D67" t="s">
        <v>372</v>
      </c>
      <c r="E67">
        <v>90</v>
      </c>
      <c r="F67" t="str">
        <f>IF(_xlfn.XLOOKUP(C67,'75'!$C$2:$C$509,'75'!$D$2:$D$509)=D67,'75'!F67)</f>
        <v>ok</v>
      </c>
    </row>
    <row r="68" spans="1:6" x14ac:dyDescent="0.45">
      <c r="A68" t="s">
        <v>373</v>
      </c>
      <c r="B68" t="s">
        <v>374</v>
      </c>
      <c r="C68" t="s">
        <v>375</v>
      </c>
      <c r="D68" t="s">
        <v>376</v>
      </c>
      <c r="E68">
        <v>81</v>
      </c>
      <c r="F68" t="str">
        <f>IF(_xlfn.XLOOKUP(C68,'75'!$C$2:$C$509,'75'!$D$2:$D$509)=D68,'75'!F68)</f>
        <v>ok</v>
      </c>
    </row>
    <row r="69" spans="1:6" x14ac:dyDescent="0.45">
      <c r="A69" t="s">
        <v>377</v>
      </c>
      <c r="B69" t="s">
        <v>378</v>
      </c>
      <c r="C69" t="s">
        <v>379</v>
      </c>
      <c r="D69" t="s">
        <v>380</v>
      </c>
      <c r="E69">
        <v>93</v>
      </c>
      <c r="F69" t="str">
        <f>IF(_xlfn.XLOOKUP(C69,'75'!$C$2:$C$509,'75'!$D$2:$D$509)=D69,'75'!F69)</f>
        <v>ok</v>
      </c>
    </row>
    <row r="70" spans="1:6" x14ac:dyDescent="0.45">
      <c r="A70" t="s">
        <v>381</v>
      </c>
      <c r="B70" t="s">
        <v>382</v>
      </c>
      <c r="C70" t="s">
        <v>383</v>
      </c>
      <c r="D70" t="s">
        <v>384</v>
      </c>
      <c r="E70">
        <v>96</v>
      </c>
      <c r="F70" t="str">
        <f>IF(_xlfn.XLOOKUP(C70,'75'!$C$2:$C$509,'75'!$D$2:$D$509)=D70,'75'!F70)</f>
        <v>no</v>
      </c>
    </row>
    <row r="71" spans="1:6" x14ac:dyDescent="0.45">
      <c r="A71" t="s">
        <v>389</v>
      </c>
      <c r="B71" t="s">
        <v>390</v>
      </c>
      <c r="C71" t="s">
        <v>391</v>
      </c>
      <c r="D71" t="s">
        <v>392</v>
      </c>
      <c r="E71">
        <v>91</v>
      </c>
      <c r="F71" t="str">
        <f>IF(_xlfn.XLOOKUP(C71,'75'!$C$2:$C$509,'75'!$D$2:$D$509)=D71,'75'!F71)</f>
        <v>ok</v>
      </c>
    </row>
    <row r="72" spans="1:6" x14ac:dyDescent="0.45">
      <c r="A72" t="s">
        <v>393</v>
      </c>
      <c r="B72" t="s">
        <v>394</v>
      </c>
      <c r="C72" t="s">
        <v>395</v>
      </c>
      <c r="D72" t="s">
        <v>396</v>
      </c>
      <c r="E72">
        <v>91</v>
      </c>
      <c r="F72" t="str">
        <f>IF(_xlfn.XLOOKUP(C72,'75'!$C$2:$C$509,'75'!$D$2:$D$509)=D72,'75'!F72)</f>
        <v>no</v>
      </c>
    </row>
    <row r="73" spans="1:6" x14ac:dyDescent="0.45">
      <c r="A73" t="s">
        <v>401</v>
      </c>
      <c r="B73" t="s">
        <v>402</v>
      </c>
      <c r="C73" t="s">
        <v>403</v>
      </c>
      <c r="D73" t="s">
        <v>404</v>
      </c>
      <c r="E73">
        <v>92</v>
      </c>
      <c r="F73" t="str">
        <f>IF(_xlfn.XLOOKUP(C73,'75'!$C$2:$C$509,'75'!$D$2:$D$509)=D73,'75'!F73)</f>
        <v>no</v>
      </c>
    </row>
    <row r="74" spans="1:6" x14ac:dyDescent="0.45">
      <c r="A74" t="s">
        <v>411</v>
      </c>
      <c r="B74" t="s">
        <v>412</v>
      </c>
      <c r="C74" t="s">
        <v>413</v>
      </c>
      <c r="D74" t="s">
        <v>414</v>
      </c>
      <c r="E74">
        <v>90</v>
      </c>
      <c r="F74" t="str">
        <f>IF(_xlfn.XLOOKUP(C74,'75'!$C$2:$C$509,'75'!$D$2:$D$509)=D74,'75'!F74)</f>
        <v>ok</v>
      </c>
    </row>
    <row r="75" spans="1:6" x14ac:dyDescent="0.45">
      <c r="A75" t="s">
        <v>415</v>
      </c>
      <c r="B75" t="s">
        <v>416</v>
      </c>
      <c r="C75" t="s">
        <v>417</v>
      </c>
      <c r="D75" t="s">
        <v>418</v>
      </c>
      <c r="E75">
        <v>81</v>
      </c>
      <c r="F75" t="str">
        <f>IF(_xlfn.XLOOKUP(C75,'75'!$C$2:$C$509,'75'!$D$2:$D$509)=D75,'75'!F75)</f>
        <v>ok</v>
      </c>
    </row>
    <row r="76" spans="1:6" x14ac:dyDescent="0.45">
      <c r="A76" t="s">
        <v>419</v>
      </c>
      <c r="B76" t="s">
        <v>420</v>
      </c>
      <c r="C76" t="s">
        <v>421</v>
      </c>
      <c r="D76" t="s">
        <v>422</v>
      </c>
      <c r="E76">
        <v>84</v>
      </c>
      <c r="F76" t="str">
        <f>IF(_xlfn.XLOOKUP(C76,'75'!$C$2:$C$509,'75'!$D$2:$D$509)=D76,'75'!F76)</f>
        <v>ok</v>
      </c>
    </row>
    <row r="77" spans="1:6" x14ac:dyDescent="0.45">
      <c r="A77" t="s">
        <v>423</v>
      </c>
      <c r="B77" t="s">
        <v>424</v>
      </c>
      <c r="C77" t="s">
        <v>425</v>
      </c>
      <c r="D77" t="s">
        <v>426</v>
      </c>
      <c r="E77">
        <v>80</v>
      </c>
      <c r="F77" t="str">
        <f>IF(_xlfn.XLOOKUP(C77,'75'!$C$2:$C$509,'75'!$D$2:$D$509)=D77,'75'!F77)</f>
        <v>no</v>
      </c>
    </row>
    <row r="78" spans="1:6" x14ac:dyDescent="0.45">
      <c r="A78" t="s">
        <v>433</v>
      </c>
      <c r="B78" t="s">
        <v>434</v>
      </c>
      <c r="C78" t="s">
        <v>435</v>
      </c>
      <c r="D78" t="s">
        <v>436</v>
      </c>
      <c r="E78">
        <v>87</v>
      </c>
      <c r="F78" t="str">
        <f>IF(_xlfn.XLOOKUP(C78,'75'!$C$2:$C$509,'75'!$D$2:$D$509)=D78,'75'!F78)</f>
        <v>no</v>
      </c>
    </row>
    <row r="79" spans="1:6" x14ac:dyDescent="0.45">
      <c r="A79" t="s">
        <v>449</v>
      </c>
      <c r="B79" t="s">
        <v>450</v>
      </c>
      <c r="C79" t="s">
        <v>451</v>
      </c>
      <c r="D79" t="s">
        <v>452</v>
      </c>
      <c r="E79">
        <v>88</v>
      </c>
      <c r="F79" t="str">
        <f>IF(_xlfn.XLOOKUP(C79,'75'!$C$2:$C$509,'75'!$D$2:$D$509)=D79,'75'!F79)</f>
        <v>no</v>
      </c>
    </row>
    <row r="80" spans="1:6" x14ac:dyDescent="0.45">
      <c r="A80" t="s">
        <v>453</v>
      </c>
      <c r="B80" t="s">
        <v>454</v>
      </c>
      <c r="C80" t="s">
        <v>455</v>
      </c>
      <c r="D80" t="s">
        <v>456</v>
      </c>
      <c r="E80">
        <v>92</v>
      </c>
      <c r="F80" t="str">
        <f>IF(_xlfn.XLOOKUP(C80,'75'!$C$2:$C$509,'75'!$D$2:$D$509)=D80,'75'!F80)</f>
        <v>no</v>
      </c>
    </row>
    <row r="81" spans="1:6" x14ac:dyDescent="0.45">
      <c r="A81" t="s">
        <v>459</v>
      </c>
      <c r="B81" t="s">
        <v>460</v>
      </c>
      <c r="C81" t="s">
        <v>461</v>
      </c>
      <c r="D81" t="s">
        <v>462</v>
      </c>
      <c r="E81">
        <v>96</v>
      </c>
      <c r="F81" t="str">
        <f>IF(_xlfn.XLOOKUP(C81,'75'!$C$2:$C$509,'75'!$D$2:$D$509)=D81,'75'!F81)</f>
        <v>no</v>
      </c>
    </row>
    <row r="82" spans="1:6" x14ac:dyDescent="0.45">
      <c r="A82" t="s">
        <v>463</v>
      </c>
      <c r="B82" t="s">
        <v>464</v>
      </c>
      <c r="C82" t="s">
        <v>465</v>
      </c>
      <c r="D82" t="s">
        <v>466</v>
      </c>
      <c r="E82">
        <v>87</v>
      </c>
      <c r="F82" t="str">
        <f>IF(_xlfn.XLOOKUP(C82,'75'!$C$2:$C$509,'75'!$D$2:$D$509)=D82,'75'!F82)</f>
        <v>no</v>
      </c>
    </row>
    <row r="83" spans="1:6" x14ac:dyDescent="0.45">
      <c r="A83" t="s">
        <v>467</v>
      </c>
      <c r="B83" t="s">
        <v>468</v>
      </c>
      <c r="C83" t="s">
        <v>469</v>
      </c>
      <c r="D83" t="s">
        <v>470</v>
      </c>
      <c r="E83">
        <v>97</v>
      </c>
      <c r="F83" t="str">
        <f>IF(_xlfn.XLOOKUP(C83,'75'!$C$2:$C$509,'75'!$D$2:$D$509)=D83,'75'!F83)</f>
        <v>no</v>
      </c>
    </row>
    <row r="84" spans="1:6" x14ac:dyDescent="0.45">
      <c r="A84" t="s">
        <v>471</v>
      </c>
      <c r="B84" t="s">
        <v>472</v>
      </c>
      <c r="C84" t="s">
        <v>473</v>
      </c>
      <c r="D84" t="s">
        <v>474</v>
      </c>
      <c r="E84">
        <v>97</v>
      </c>
      <c r="F84" t="str">
        <f>IF(_xlfn.XLOOKUP(C84,'75'!$C$2:$C$509,'75'!$D$2:$D$509)=D84,'75'!F84)</f>
        <v>no</v>
      </c>
    </row>
    <row r="85" spans="1:6" x14ac:dyDescent="0.45">
      <c r="A85" t="s">
        <v>475</v>
      </c>
      <c r="B85" t="s">
        <v>476</v>
      </c>
      <c r="C85" t="s">
        <v>477</v>
      </c>
      <c r="D85" t="s">
        <v>478</v>
      </c>
      <c r="E85">
        <v>80</v>
      </c>
      <c r="F85" t="str">
        <f>IF(_xlfn.XLOOKUP(C85,'75'!$C$2:$C$509,'75'!$D$2:$D$509)=D85,'75'!F85)</f>
        <v>no</v>
      </c>
    </row>
    <row r="86" spans="1:6" x14ac:dyDescent="0.45">
      <c r="A86" t="s">
        <v>479</v>
      </c>
      <c r="B86" t="s">
        <v>480</v>
      </c>
      <c r="C86" t="s">
        <v>481</v>
      </c>
      <c r="D86" t="s">
        <v>482</v>
      </c>
      <c r="E86">
        <v>89</v>
      </c>
      <c r="F86" t="str">
        <f>IF(_xlfn.XLOOKUP(C86,'75'!$C$2:$C$509,'75'!$D$2:$D$509)=D86,'75'!F86)</f>
        <v>no</v>
      </c>
    </row>
    <row r="87" spans="1:6" x14ac:dyDescent="0.45">
      <c r="A87" t="s">
        <v>491</v>
      </c>
      <c r="B87" t="s">
        <v>488</v>
      </c>
      <c r="C87" t="s">
        <v>492</v>
      </c>
      <c r="D87" t="s">
        <v>490</v>
      </c>
      <c r="E87">
        <v>82</v>
      </c>
      <c r="F87" t="str">
        <f>IF(_xlfn.XLOOKUP(C87,'75'!$C$2:$C$509,'75'!$D$2:$D$509)=D87,'75'!F87)</f>
        <v>no</v>
      </c>
    </row>
    <row r="88" spans="1:6" x14ac:dyDescent="0.45">
      <c r="A88" t="s">
        <v>493</v>
      </c>
      <c r="B88" t="s">
        <v>494</v>
      </c>
      <c r="C88" t="s">
        <v>495</v>
      </c>
      <c r="D88" t="s">
        <v>496</v>
      </c>
      <c r="E88">
        <v>84</v>
      </c>
      <c r="F88" t="str">
        <f>IF(_xlfn.XLOOKUP(C88,'75'!$C$2:$C$509,'75'!$D$2:$D$509)=D88,'75'!F88)</f>
        <v>no</v>
      </c>
    </row>
    <row r="89" spans="1:6" x14ac:dyDescent="0.45">
      <c r="A89" t="s">
        <v>497</v>
      </c>
      <c r="B89" t="s">
        <v>498</v>
      </c>
      <c r="C89" t="s">
        <v>499</v>
      </c>
      <c r="D89" t="s">
        <v>500</v>
      </c>
      <c r="E89">
        <v>92</v>
      </c>
      <c r="F89" t="str">
        <f>IF(_xlfn.XLOOKUP(C89,'75'!$C$2:$C$509,'75'!$D$2:$D$509)=D89,'75'!F89)</f>
        <v>no</v>
      </c>
    </row>
    <row r="90" spans="1:6" x14ac:dyDescent="0.45">
      <c r="A90" t="s">
        <v>501</v>
      </c>
      <c r="B90" t="s">
        <v>502</v>
      </c>
      <c r="C90" t="s">
        <v>503</v>
      </c>
      <c r="D90" t="s">
        <v>504</v>
      </c>
      <c r="E90">
        <v>95</v>
      </c>
      <c r="F90" t="str">
        <f>IF(_xlfn.XLOOKUP(C90,'75'!$C$2:$C$509,'75'!$D$2:$D$509)=D90,'75'!F90)</f>
        <v>no</v>
      </c>
    </row>
    <row r="91" spans="1:6" x14ac:dyDescent="0.45">
      <c r="A91" t="s">
        <v>513</v>
      </c>
      <c r="B91" t="s">
        <v>514</v>
      </c>
      <c r="C91" t="s">
        <v>515</v>
      </c>
      <c r="D91" t="s">
        <v>516</v>
      </c>
      <c r="E91">
        <v>90</v>
      </c>
      <c r="F91" t="str">
        <f>IF(_xlfn.XLOOKUP(C91,'75'!$C$2:$C$509,'75'!$D$2:$D$509)=D91,'75'!F91)</f>
        <v>ok</v>
      </c>
    </row>
    <row r="92" spans="1:6" x14ac:dyDescent="0.45">
      <c r="A92" t="s">
        <v>521</v>
      </c>
      <c r="B92" t="s">
        <v>522</v>
      </c>
      <c r="C92" t="s">
        <v>523</v>
      </c>
      <c r="D92" t="s">
        <v>524</v>
      </c>
      <c r="E92">
        <v>80</v>
      </c>
      <c r="F92" t="str">
        <f>IF(_xlfn.XLOOKUP(C92,'75'!$C$2:$C$509,'75'!$D$2:$D$509)=D92,'75'!F92)</f>
        <v>no</v>
      </c>
    </row>
    <row r="93" spans="1:6" x14ac:dyDescent="0.45">
      <c r="A93" t="s">
        <v>525</v>
      </c>
      <c r="B93" t="s">
        <v>526</v>
      </c>
      <c r="C93" t="s">
        <v>527</v>
      </c>
      <c r="D93" t="s">
        <v>528</v>
      </c>
      <c r="E93">
        <v>83</v>
      </c>
      <c r="F93" t="str">
        <f>IF(_xlfn.XLOOKUP(C93,'75'!$C$2:$C$509,'75'!$D$2:$D$509)=D93,'75'!F93)</f>
        <v>ok</v>
      </c>
    </row>
    <row r="94" spans="1:6" x14ac:dyDescent="0.45">
      <c r="A94" t="s">
        <v>529</v>
      </c>
      <c r="B94" t="s">
        <v>530</v>
      </c>
      <c r="C94" t="s">
        <v>531</v>
      </c>
      <c r="D94" t="s">
        <v>532</v>
      </c>
      <c r="E94">
        <v>83</v>
      </c>
      <c r="F94" t="str">
        <f>IF(_xlfn.XLOOKUP(C94,'75'!$C$2:$C$509,'75'!$D$2:$D$509)=D94,'75'!F94)</f>
        <v>no</v>
      </c>
    </row>
    <row r="95" spans="1:6" x14ac:dyDescent="0.45">
      <c r="A95" t="s">
        <v>534</v>
      </c>
      <c r="B95" t="s">
        <v>537</v>
      </c>
      <c r="C95" t="s">
        <v>536</v>
      </c>
      <c r="D95" t="s">
        <v>538</v>
      </c>
      <c r="E95">
        <v>94</v>
      </c>
      <c r="F95" t="str">
        <f>IF(_xlfn.XLOOKUP(C95,'75'!$C$2:$C$509,'75'!$D$2:$D$509)=D95,'75'!F95)</f>
        <v>no</v>
      </c>
    </row>
    <row r="96" spans="1:6" x14ac:dyDescent="0.45">
      <c r="A96" t="s">
        <v>539</v>
      </c>
      <c r="B96" t="s">
        <v>540</v>
      </c>
      <c r="C96" t="s">
        <v>541</v>
      </c>
      <c r="D96" t="s">
        <v>542</v>
      </c>
      <c r="E96">
        <v>88</v>
      </c>
      <c r="F96" t="str">
        <f>IF(_xlfn.XLOOKUP(C96,'75'!$C$2:$C$509,'75'!$D$2:$D$509)=D96,'75'!F96)</f>
        <v>ok</v>
      </c>
    </row>
    <row r="97" spans="1:6" x14ac:dyDescent="0.45">
      <c r="A97" t="s">
        <v>543</v>
      </c>
      <c r="B97" t="s">
        <v>544</v>
      </c>
      <c r="C97" t="s">
        <v>545</v>
      </c>
      <c r="D97" t="s">
        <v>546</v>
      </c>
      <c r="E97">
        <v>80</v>
      </c>
      <c r="F97" t="str">
        <f>IF(_xlfn.XLOOKUP(C97,'75'!$C$2:$C$509,'75'!$D$2:$D$509)=D97,'75'!F97)</f>
        <v>no</v>
      </c>
    </row>
    <row r="98" spans="1:6" x14ac:dyDescent="0.45">
      <c r="A98" t="s">
        <v>547</v>
      </c>
      <c r="B98" t="s">
        <v>548</v>
      </c>
      <c r="C98" t="s">
        <v>549</v>
      </c>
      <c r="D98" t="s">
        <v>550</v>
      </c>
      <c r="E98">
        <v>82</v>
      </c>
      <c r="F98" t="str">
        <f>IF(_xlfn.XLOOKUP(C98,'75'!$C$2:$C$509,'75'!$D$2:$D$509)=D98,'75'!F98)</f>
        <v>no</v>
      </c>
    </row>
    <row r="99" spans="1:6" x14ac:dyDescent="0.45">
      <c r="A99" t="s">
        <v>563</v>
      </c>
      <c r="B99" t="s">
        <v>564</v>
      </c>
      <c r="C99" t="s">
        <v>565</v>
      </c>
      <c r="D99" t="s">
        <v>566</v>
      </c>
      <c r="E99">
        <v>83</v>
      </c>
      <c r="F99" t="str">
        <f>IF(_xlfn.XLOOKUP(C99,'75'!$C$2:$C$509,'75'!$D$2:$D$509)=D99,'75'!F99)</f>
        <v>ok</v>
      </c>
    </row>
    <row r="100" spans="1:6" x14ac:dyDescent="0.45">
      <c r="A100" t="s">
        <v>571</v>
      </c>
      <c r="B100" t="s">
        <v>572</v>
      </c>
      <c r="C100" t="s">
        <v>573</v>
      </c>
      <c r="D100" t="s">
        <v>574</v>
      </c>
      <c r="E100">
        <v>96</v>
      </c>
      <c r="F100" t="str">
        <f>IF(_xlfn.XLOOKUP(C100,'75'!$C$2:$C$509,'75'!$D$2:$D$509)=D100,'75'!F100)</f>
        <v>no</v>
      </c>
    </row>
    <row r="101" spans="1:6" x14ac:dyDescent="0.45">
      <c r="A101" t="s">
        <v>579</v>
      </c>
      <c r="B101" t="s">
        <v>580</v>
      </c>
      <c r="C101" t="s">
        <v>581</v>
      </c>
      <c r="D101" t="s">
        <v>582</v>
      </c>
      <c r="E101">
        <v>80</v>
      </c>
      <c r="F101" t="str">
        <f>IF(_xlfn.XLOOKUP(C101,'75'!$C$2:$C$509,'75'!$D$2:$D$509)=D101,'75'!F101)</f>
        <v>ok</v>
      </c>
    </row>
    <row r="102" spans="1:6" x14ac:dyDescent="0.45">
      <c r="A102" t="s">
        <v>580</v>
      </c>
      <c r="B102" t="s">
        <v>583</v>
      </c>
      <c r="C102" t="s">
        <v>582</v>
      </c>
      <c r="D102" t="s">
        <v>584</v>
      </c>
      <c r="E102">
        <v>94</v>
      </c>
      <c r="F102" t="str">
        <f>IF(_xlfn.XLOOKUP(C102,'75'!$C$2:$C$509,'75'!$D$2:$D$509)=D102,'75'!F102)</f>
        <v>ok</v>
      </c>
    </row>
    <row r="103" spans="1:6" x14ac:dyDescent="0.45">
      <c r="A103" t="s">
        <v>591</v>
      </c>
      <c r="B103" t="s">
        <v>592</v>
      </c>
      <c r="C103" t="s">
        <v>593</v>
      </c>
      <c r="D103" t="s">
        <v>594</v>
      </c>
      <c r="E103">
        <v>80</v>
      </c>
      <c r="F103" t="str">
        <f>IF(_xlfn.XLOOKUP(C103,'75'!$C$2:$C$509,'75'!$D$2:$D$509)=D103,'75'!F103)</f>
        <v>ok</v>
      </c>
    </row>
    <row r="104" spans="1:6" x14ac:dyDescent="0.45">
      <c r="A104" t="s">
        <v>595</v>
      </c>
      <c r="B104" t="s">
        <v>596</v>
      </c>
      <c r="C104" t="s">
        <v>597</v>
      </c>
      <c r="D104" t="s">
        <v>598</v>
      </c>
      <c r="E104">
        <v>80</v>
      </c>
      <c r="F104" t="str">
        <f>IF(_xlfn.XLOOKUP(C104,'75'!$C$2:$C$509,'75'!$D$2:$D$509)=D104,'75'!F104)</f>
        <v>no</v>
      </c>
    </row>
    <row r="105" spans="1:6" x14ac:dyDescent="0.45">
      <c r="A105" t="s">
        <v>599</v>
      </c>
      <c r="B105" t="s">
        <v>600</v>
      </c>
      <c r="C105" t="s">
        <v>601</v>
      </c>
      <c r="D105" t="s">
        <v>602</v>
      </c>
      <c r="E105">
        <v>96</v>
      </c>
      <c r="F105" t="str">
        <f>IF(_xlfn.XLOOKUP(C105,'75'!$C$2:$C$509,'75'!$D$2:$D$509)=D105,'75'!F105)</f>
        <v>no</v>
      </c>
    </row>
    <row r="106" spans="1:6" x14ac:dyDescent="0.45">
      <c r="A106" t="s">
        <v>607</v>
      </c>
      <c r="B106" t="s">
        <v>608</v>
      </c>
      <c r="C106" t="s">
        <v>609</v>
      </c>
      <c r="D106" t="s">
        <v>610</v>
      </c>
      <c r="E106">
        <v>85</v>
      </c>
      <c r="F106" t="str">
        <f>IF(_xlfn.XLOOKUP(C106,'75'!$C$2:$C$509,'75'!$D$2:$D$509)=D106,'75'!F106)</f>
        <v>no</v>
      </c>
    </row>
    <row r="107" spans="1:6" x14ac:dyDescent="0.45">
      <c r="A107" t="s">
        <v>611</v>
      </c>
      <c r="B107" t="s">
        <v>564</v>
      </c>
      <c r="C107" t="s">
        <v>612</v>
      </c>
      <c r="D107" t="s">
        <v>566</v>
      </c>
      <c r="E107">
        <v>89</v>
      </c>
      <c r="F107" t="str">
        <f>IF(_xlfn.XLOOKUP(C107,'75'!$C$2:$C$509,'75'!$D$2:$D$509)=D107,'75'!F107)</f>
        <v>no</v>
      </c>
    </row>
    <row r="108" spans="1:6" x14ac:dyDescent="0.45">
      <c r="A108" t="s">
        <v>613</v>
      </c>
      <c r="B108" t="s">
        <v>596</v>
      </c>
      <c r="C108" t="s">
        <v>614</v>
      </c>
      <c r="D108" t="s">
        <v>598</v>
      </c>
      <c r="E108">
        <v>80</v>
      </c>
      <c r="F108" t="str">
        <f>IF(_xlfn.XLOOKUP(C108,'75'!$C$2:$C$509,'75'!$D$2:$D$509)=D108,'75'!F108)</f>
        <v>ok</v>
      </c>
    </row>
    <row r="109" spans="1:6" x14ac:dyDescent="0.45">
      <c r="A109" t="s">
        <v>615</v>
      </c>
      <c r="B109" t="s">
        <v>616</v>
      </c>
      <c r="C109" t="s">
        <v>617</v>
      </c>
      <c r="D109" t="s">
        <v>618</v>
      </c>
      <c r="E109">
        <v>89</v>
      </c>
      <c r="F109" t="str">
        <f>IF(_xlfn.XLOOKUP(C109,'75'!$C$2:$C$509,'75'!$D$2:$D$509)=D109,'75'!F109)</f>
        <v>ok</v>
      </c>
    </row>
    <row r="110" spans="1:6" x14ac:dyDescent="0.45">
      <c r="A110" t="s">
        <v>627</v>
      </c>
      <c r="B110" t="s">
        <v>628</v>
      </c>
      <c r="C110" t="s">
        <v>629</v>
      </c>
      <c r="D110" t="s">
        <v>630</v>
      </c>
      <c r="E110">
        <v>92</v>
      </c>
      <c r="F110" t="str">
        <f>IF(_xlfn.XLOOKUP(C110,'75'!$C$2:$C$509,'75'!$D$2:$D$509)=D110,'75'!F110)</f>
        <v>ok</v>
      </c>
    </row>
    <row r="111" spans="1:6" x14ac:dyDescent="0.45">
      <c r="A111" t="s">
        <v>635</v>
      </c>
      <c r="B111" t="s">
        <v>636</v>
      </c>
      <c r="C111" t="s">
        <v>637</v>
      </c>
      <c r="D111" t="s">
        <v>638</v>
      </c>
      <c r="E111">
        <v>94</v>
      </c>
      <c r="F111" t="str">
        <f>IF(_xlfn.XLOOKUP(C111,'75'!$C$2:$C$509,'75'!$D$2:$D$509)=D111,'75'!F111)</f>
        <v>no</v>
      </c>
    </row>
    <row r="112" spans="1:6" x14ac:dyDescent="0.45">
      <c r="A112" t="s">
        <v>635</v>
      </c>
      <c r="B112" t="s">
        <v>639</v>
      </c>
      <c r="C112" t="s">
        <v>637</v>
      </c>
      <c r="D112" t="s">
        <v>640</v>
      </c>
      <c r="E112">
        <v>80</v>
      </c>
      <c r="F112" t="s">
        <v>1513</v>
      </c>
    </row>
    <row r="113" spans="1:6" x14ac:dyDescent="0.45">
      <c r="A113" t="s">
        <v>641</v>
      </c>
      <c r="B113" t="s">
        <v>642</v>
      </c>
      <c r="C113" t="s">
        <v>643</v>
      </c>
      <c r="D113" t="s">
        <v>644</v>
      </c>
      <c r="E113">
        <v>94</v>
      </c>
      <c r="F113" t="str">
        <f>IF(_xlfn.XLOOKUP(C113,'75'!$C$2:$C$509,'75'!$D$2:$D$509)=D113,'75'!F113)</f>
        <v>ok</v>
      </c>
    </row>
    <row r="114" spans="1:6" x14ac:dyDescent="0.45">
      <c r="A114" t="s">
        <v>636</v>
      </c>
      <c r="B114" t="s">
        <v>639</v>
      </c>
      <c r="C114" t="s">
        <v>638</v>
      </c>
      <c r="D114" t="s">
        <v>640</v>
      </c>
      <c r="E114">
        <v>84</v>
      </c>
      <c r="F114" t="str">
        <f>IF(_xlfn.XLOOKUP(C114,'75'!$C$2:$C$509,'75'!$D$2:$D$509)=D114,'75'!F114)</f>
        <v>ok</v>
      </c>
    </row>
    <row r="115" spans="1:6" x14ac:dyDescent="0.45">
      <c r="A115" t="s">
        <v>645</v>
      </c>
      <c r="B115" t="s">
        <v>646</v>
      </c>
      <c r="C115" t="s">
        <v>647</v>
      </c>
      <c r="D115" t="s">
        <v>648</v>
      </c>
      <c r="E115">
        <v>91</v>
      </c>
      <c r="F115" t="str">
        <f>IF(_xlfn.XLOOKUP(C115,'75'!$C$2:$C$509,'75'!$D$2:$D$509)=D115,'75'!F115)</f>
        <v>no</v>
      </c>
    </row>
    <row r="116" spans="1:6" x14ac:dyDescent="0.45">
      <c r="A116" t="s">
        <v>649</v>
      </c>
      <c r="B116" t="s">
        <v>650</v>
      </c>
      <c r="C116" t="s">
        <v>651</v>
      </c>
      <c r="D116" t="s">
        <v>652</v>
      </c>
      <c r="E116">
        <v>98</v>
      </c>
      <c r="F116" t="str">
        <f>IF(_xlfn.XLOOKUP(C116,'75'!$C$2:$C$509,'75'!$D$2:$D$509)=D116,'75'!F116)</f>
        <v>ok</v>
      </c>
    </row>
    <row r="117" spans="1:6" x14ac:dyDescent="0.45">
      <c r="A117" t="s">
        <v>657</v>
      </c>
      <c r="B117" t="s">
        <v>658</v>
      </c>
      <c r="C117" t="s">
        <v>659</v>
      </c>
      <c r="D117" t="s">
        <v>660</v>
      </c>
      <c r="E117">
        <v>83</v>
      </c>
      <c r="F117" t="str">
        <f>IF(_xlfn.XLOOKUP(C117,'75'!$C$2:$C$509,'75'!$D$2:$D$509)=D117,'75'!F117)</f>
        <v>ok</v>
      </c>
    </row>
    <row r="118" spans="1:6" x14ac:dyDescent="0.45">
      <c r="A118" t="s">
        <v>665</v>
      </c>
      <c r="B118" t="s">
        <v>666</v>
      </c>
      <c r="C118" t="s">
        <v>667</v>
      </c>
      <c r="D118" t="s">
        <v>668</v>
      </c>
      <c r="E118">
        <v>80</v>
      </c>
      <c r="F118" t="str">
        <f>IF(_xlfn.XLOOKUP(C118,'75'!$C$2:$C$509,'75'!$D$2:$D$509)=D118,'75'!F118)</f>
        <v>no</v>
      </c>
    </row>
    <row r="119" spans="1:6" x14ac:dyDescent="0.45">
      <c r="A119" t="s">
        <v>669</v>
      </c>
      <c r="B119" t="s">
        <v>670</v>
      </c>
      <c r="C119" t="s">
        <v>671</v>
      </c>
      <c r="D119" t="s">
        <v>672</v>
      </c>
      <c r="E119">
        <v>85</v>
      </c>
      <c r="F119" t="str">
        <f>IF(_xlfn.XLOOKUP(C119,'75'!$C$2:$C$509,'75'!$D$2:$D$509)=D119,'75'!F119)</f>
        <v>ok</v>
      </c>
    </row>
    <row r="120" spans="1:6" x14ac:dyDescent="0.45">
      <c r="A120" t="s">
        <v>673</v>
      </c>
      <c r="B120" t="s">
        <v>674</v>
      </c>
      <c r="C120" t="s">
        <v>675</v>
      </c>
      <c r="D120" t="s">
        <v>676</v>
      </c>
      <c r="E120">
        <v>82</v>
      </c>
      <c r="F120" t="str">
        <f>IF(_xlfn.XLOOKUP(C120,'75'!$C$2:$C$509,'75'!$D$2:$D$509)=D120,'75'!F120)</f>
        <v>no</v>
      </c>
    </row>
    <row r="121" spans="1:6" x14ac:dyDescent="0.45">
      <c r="A121" t="s">
        <v>677</v>
      </c>
      <c r="B121" t="s">
        <v>678</v>
      </c>
      <c r="C121" t="s">
        <v>679</v>
      </c>
      <c r="D121" t="s">
        <v>680</v>
      </c>
      <c r="E121">
        <v>95</v>
      </c>
      <c r="F121" t="str">
        <f>IF(_xlfn.XLOOKUP(C121,'75'!$C$2:$C$509,'75'!$D$2:$D$509)=D121,'75'!F121)</f>
        <v>ok</v>
      </c>
    </row>
    <row r="122" spans="1:6" x14ac:dyDescent="0.45">
      <c r="A122" t="s">
        <v>681</v>
      </c>
      <c r="B122" t="s">
        <v>682</v>
      </c>
      <c r="C122" t="s">
        <v>683</v>
      </c>
      <c r="D122" t="s">
        <v>684</v>
      </c>
      <c r="E122">
        <v>87</v>
      </c>
      <c r="F122" t="str">
        <f>IF(_xlfn.XLOOKUP(C122,'75'!$C$2:$C$509,'75'!$D$2:$D$509)=D122,'75'!F122)</f>
        <v>ok</v>
      </c>
    </row>
    <row r="123" spans="1:6" x14ac:dyDescent="0.45">
      <c r="A123" t="s">
        <v>685</v>
      </c>
      <c r="B123" t="s">
        <v>686</v>
      </c>
      <c r="C123" t="s">
        <v>687</v>
      </c>
      <c r="D123" t="s">
        <v>688</v>
      </c>
      <c r="E123">
        <v>91</v>
      </c>
      <c r="F123" t="str">
        <f>IF(_xlfn.XLOOKUP(C123,'75'!$C$2:$C$509,'75'!$D$2:$D$509)=D123,'75'!F123)</f>
        <v>no</v>
      </c>
    </row>
    <row r="124" spans="1:6" x14ac:dyDescent="0.45">
      <c r="A124" t="s">
        <v>689</v>
      </c>
      <c r="B124" t="s">
        <v>690</v>
      </c>
      <c r="C124" t="s">
        <v>691</v>
      </c>
      <c r="D124" t="s">
        <v>692</v>
      </c>
      <c r="E124">
        <v>80</v>
      </c>
      <c r="F124" t="str">
        <f>IF(_xlfn.XLOOKUP(C124,'75'!$C$2:$C$509,'75'!$D$2:$D$509)=D124,'75'!F124)</f>
        <v>ok</v>
      </c>
    </row>
    <row r="125" spans="1:6" x14ac:dyDescent="0.45">
      <c r="A125" t="s">
        <v>693</v>
      </c>
      <c r="B125" t="s">
        <v>694</v>
      </c>
      <c r="C125" t="s">
        <v>695</v>
      </c>
      <c r="D125" t="s">
        <v>696</v>
      </c>
      <c r="E125">
        <v>95</v>
      </c>
      <c r="F125" t="str">
        <f>IF(_xlfn.XLOOKUP(C125,'75'!$C$2:$C$509,'75'!$D$2:$D$509)=D125,'75'!F125)</f>
        <v>ok</v>
      </c>
    </row>
    <row r="126" spans="1:6" x14ac:dyDescent="0.45">
      <c r="A126" t="s">
        <v>697</v>
      </c>
      <c r="B126" t="s">
        <v>698</v>
      </c>
      <c r="C126" t="s">
        <v>699</v>
      </c>
      <c r="D126" t="s">
        <v>700</v>
      </c>
      <c r="E126">
        <v>90</v>
      </c>
      <c r="F126" t="str">
        <f>IF(_xlfn.XLOOKUP(C126,'75'!$C$2:$C$509,'75'!$D$2:$D$509)=D126,'75'!F126)</f>
        <v>no</v>
      </c>
    </row>
    <row r="127" spans="1:6" x14ac:dyDescent="0.45">
      <c r="A127" t="s">
        <v>701</v>
      </c>
      <c r="B127" t="s">
        <v>702</v>
      </c>
      <c r="C127" t="s">
        <v>703</v>
      </c>
      <c r="D127" t="s">
        <v>704</v>
      </c>
      <c r="E127">
        <v>80</v>
      </c>
      <c r="F127" t="str">
        <f>IF(_xlfn.XLOOKUP(C127,'75'!$C$2:$C$509,'75'!$D$2:$D$509)=D127,'75'!F127)</f>
        <v>ok</v>
      </c>
    </row>
    <row r="128" spans="1:6" x14ac:dyDescent="0.45">
      <c r="A128" t="s">
        <v>705</v>
      </c>
      <c r="B128" t="s">
        <v>706</v>
      </c>
      <c r="C128" t="s">
        <v>707</v>
      </c>
      <c r="D128" t="s">
        <v>708</v>
      </c>
      <c r="E128">
        <v>86</v>
      </c>
      <c r="F128" t="str">
        <f>IF(_xlfn.XLOOKUP(C128,'75'!$C$2:$C$509,'75'!$D$2:$D$509)=D128,'75'!F128)</f>
        <v>ok</v>
      </c>
    </row>
    <row r="129" spans="1:6" x14ac:dyDescent="0.45">
      <c r="A129" t="s">
        <v>709</v>
      </c>
      <c r="B129" t="s">
        <v>710</v>
      </c>
      <c r="C129" t="s">
        <v>711</v>
      </c>
      <c r="D129" t="s">
        <v>712</v>
      </c>
      <c r="E129">
        <v>92</v>
      </c>
      <c r="F129" t="str">
        <f>IF(_xlfn.XLOOKUP(C129,'75'!$C$2:$C$509,'75'!$D$2:$D$509)=D129,'75'!F129)</f>
        <v>no</v>
      </c>
    </row>
    <row r="130" spans="1:6" x14ac:dyDescent="0.45">
      <c r="A130" t="s">
        <v>713</v>
      </c>
      <c r="B130" t="s">
        <v>714</v>
      </c>
      <c r="C130" t="s">
        <v>715</v>
      </c>
      <c r="D130" t="s">
        <v>716</v>
      </c>
      <c r="E130">
        <v>80</v>
      </c>
      <c r="F130" t="str">
        <f>IF(_xlfn.XLOOKUP(C130,'75'!$C$2:$C$509,'75'!$D$2:$D$509)=D130,'75'!F130)</f>
        <v>ok</v>
      </c>
    </row>
    <row r="131" spans="1:6" x14ac:dyDescent="0.45">
      <c r="A131" t="s">
        <v>713</v>
      </c>
      <c r="B131" t="s">
        <v>717</v>
      </c>
      <c r="C131" t="s">
        <v>715</v>
      </c>
      <c r="D131" t="s">
        <v>718</v>
      </c>
      <c r="E131">
        <v>89</v>
      </c>
      <c r="F131" t="s">
        <v>1513</v>
      </c>
    </row>
    <row r="132" spans="1:6" x14ac:dyDescent="0.45">
      <c r="A132" t="s">
        <v>713</v>
      </c>
      <c r="B132" t="s">
        <v>719</v>
      </c>
      <c r="C132" t="s">
        <v>715</v>
      </c>
      <c r="D132" t="s">
        <v>720</v>
      </c>
      <c r="E132">
        <v>80</v>
      </c>
      <c r="F132" t="s">
        <v>1513</v>
      </c>
    </row>
    <row r="133" spans="1:6" x14ac:dyDescent="0.45">
      <c r="A133" t="s">
        <v>713</v>
      </c>
      <c r="B133" t="s">
        <v>721</v>
      </c>
      <c r="C133" t="s">
        <v>715</v>
      </c>
      <c r="D133" t="s">
        <v>722</v>
      </c>
      <c r="E133">
        <v>83</v>
      </c>
      <c r="F133" t="s">
        <v>1512</v>
      </c>
    </row>
    <row r="134" spans="1:6" x14ac:dyDescent="0.45">
      <c r="A134" t="s">
        <v>723</v>
      </c>
      <c r="B134" t="s">
        <v>724</v>
      </c>
      <c r="C134" t="s">
        <v>725</v>
      </c>
      <c r="D134" t="s">
        <v>726</v>
      </c>
      <c r="E134">
        <v>80</v>
      </c>
      <c r="F134" t="s">
        <v>1513</v>
      </c>
    </row>
    <row r="135" spans="1:6" x14ac:dyDescent="0.45">
      <c r="A135" t="s">
        <v>723</v>
      </c>
      <c r="B135" t="s">
        <v>727</v>
      </c>
      <c r="C135" t="s">
        <v>725</v>
      </c>
      <c r="D135" t="s">
        <v>728</v>
      </c>
      <c r="E135">
        <v>80</v>
      </c>
      <c r="F135" t="s">
        <v>1513</v>
      </c>
    </row>
    <row r="136" spans="1:6" x14ac:dyDescent="0.45">
      <c r="A136" t="s">
        <v>723</v>
      </c>
      <c r="B136" t="s">
        <v>729</v>
      </c>
      <c r="C136" t="s">
        <v>725</v>
      </c>
      <c r="D136" t="s">
        <v>730</v>
      </c>
      <c r="E136">
        <v>80</v>
      </c>
      <c r="F136" t="s">
        <v>1513</v>
      </c>
    </row>
    <row r="137" spans="1:6" x14ac:dyDescent="0.45">
      <c r="A137" t="s">
        <v>731</v>
      </c>
      <c r="B137" t="s">
        <v>735</v>
      </c>
      <c r="C137" t="s">
        <v>733</v>
      </c>
      <c r="D137" t="s">
        <v>736</v>
      </c>
      <c r="E137">
        <v>94</v>
      </c>
      <c r="F137" t="s">
        <v>1512</v>
      </c>
    </row>
    <row r="138" spans="1:6" x14ac:dyDescent="0.45">
      <c r="A138" t="s">
        <v>737</v>
      </c>
      <c r="B138" t="s">
        <v>741</v>
      </c>
      <c r="C138" t="s">
        <v>739</v>
      </c>
      <c r="D138" t="s">
        <v>742</v>
      </c>
      <c r="E138">
        <v>90</v>
      </c>
      <c r="F138" t="s">
        <v>1513</v>
      </c>
    </row>
    <row r="139" spans="1:6" x14ac:dyDescent="0.45">
      <c r="A139" t="s">
        <v>743</v>
      </c>
      <c r="B139" t="s">
        <v>747</v>
      </c>
      <c r="C139" t="s">
        <v>745</v>
      </c>
      <c r="D139" t="s">
        <v>748</v>
      </c>
      <c r="E139">
        <v>80</v>
      </c>
      <c r="F139" t="s">
        <v>1513</v>
      </c>
    </row>
    <row r="140" spans="1:6" x14ac:dyDescent="0.45">
      <c r="A140" t="s">
        <v>749</v>
      </c>
      <c r="B140" t="s">
        <v>753</v>
      </c>
      <c r="C140" t="s">
        <v>751</v>
      </c>
      <c r="D140" t="s">
        <v>754</v>
      </c>
      <c r="E140">
        <v>82</v>
      </c>
      <c r="F140" t="s">
        <v>1512</v>
      </c>
    </row>
    <row r="141" spans="1:6" x14ac:dyDescent="0.45">
      <c r="A141" t="s">
        <v>749</v>
      </c>
      <c r="B141" t="s">
        <v>755</v>
      </c>
      <c r="C141" t="s">
        <v>751</v>
      </c>
      <c r="D141" t="s">
        <v>756</v>
      </c>
      <c r="E141">
        <v>83</v>
      </c>
      <c r="F141" t="s">
        <v>1512</v>
      </c>
    </row>
    <row r="142" spans="1:6" x14ac:dyDescent="0.45">
      <c r="A142" t="s">
        <v>761</v>
      </c>
      <c r="B142" t="s">
        <v>762</v>
      </c>
      <c r="C142" t="s">
        <v>763</v>
      </c>
      <c r="D142" t="s">
        <v>764</v>
      </c>
      <c r="E142">
        <v>81</v>
      </c>
      <c r="F142" t="s">
        <v>1512</v>
      </c>
    </row>
    <row r="143" spans="1:6" x14ac:dyDescent="0.45">
      <c r="A143" t="s">
        <v>765</v>
      </c>
      <c r="B143" t="s">
        <v>753</v>
      </c>
      <c r="C143" t="s">
        <v>766</v>
      </c>
      <c r="D143" t="s">
        <v>754</v>
      </c>
      <c r="E143">
        <v>80</v>
      </c>
      <c r="F143" t="str">
        <f>IF(_xlfn.XLOOKUP(C143,'75'!$C$2:$C$509,'75'!$D$2:$D$509)=D143,'75'!F143)</f>
        <v>ok</v>
      </c>
    </row>
    <row r="144" spans="1:6" x14ac:dyDescent="0.45">
      <c r="A144" t="s">
        <v>771</v>
      </c>
      <c r="B144" t="s">
        <v>772</v>
      </c>
      <c r="C144" t="s">
        <v>773</v>
      </c>
      <c r="D144" t="s">
        <v>774</v>
      </c>
      <c r="E144">
        <v>86</v>
      </c>
      <c r="F144" t="str">
        <f>IF(_xlfn.XLOOKUP(C144,'75'!$C$2:$C$509,'75'!$D$2:$D$509)=D144,'75'!F144)</f>
        <v>ok</v>
      </c>
    </row>
    <row r="145" spans="1:6" x14ac:dyDescent="0.45">
      <c r="A145" t="s">
        <v>779</v>
      </c>
      <c r="B145" t="s">
        <v>780</v>
      </c>
      <c r="C145" t="s">
        <v>781</v>
      </c>
      <c r="D145" t="s">
        <v>782</v>
      </c>
      <c r="E145">
        <v>83</v>
      </c>
      <c r="F145" t="str">
        <f>IF(_xlfn.XLOOKUP(C145,'75'!$C$2:$C$509,'75'!$D$2:$D$509)=D145,'75'!F145)</f>
        <v>no</v>
      </c>
    </row>
    <row r="146" spans="1:6" x14ac:dyDescent="0.45">
      <c r="A146" t="s">
        <v>785</v>
      </c>
      <c r="B146" t="s">
        <v>776</v>
      </c>
      <c r="C146" t="s">
        <v>786</v>
      </c>
      <c r="D146" t="s">
        <v>778</v>
      </c>
      <c r="E146">
        <v>83</v>
      </c>
      <c r="F146" t="str">
        <f>IF(_xlfn.XLOOKUP(C146,'75'!$C$2:$C$509,'75'!$D$2:$D$509)=D146,'75'!F146)</f>
        <v>ok</v>
      </c>
    </row>
    <row r="147" spans="1:6" x14ac:dyDescent="0.45">
      <c r="A147" t="s">
        <v>787</v>
      </c>
      <c r="B147" t="s">
        <v>788</v>
      </c>
      <c r="C147" t="s">
        <v>789</v>
      </c>
      <c r="D147" t="s">
        <v>790</v>
      </c>
      <c r="E147">
        <v>94</v>
      </c>
      <c r="F147" t="str">
        <f>IF(_xlfn.XLOOKUP(C147,'75'!$C$2:$C$509,'75'!$D$2:$D$509)=D147,'75'!F147)</f>
        <v>ok</v>
      </c>
    </row>
    <row r="148" spans="1:6" x14ac:dyDescent="0.45">
      <c r="A148" t="s">
        <v>795</v>
      </c>
      <c r="B148" t="s">
        <v>796</v>
      </c>
      <c r="C148" t="s">
        <v>797</v>
      </c>
      <c r="D148" t="s">
        <v>798</v>
      </c>
      <c r="E148">
        <v>97</v>
      </c>
      <c r="F148" t="str">
        <f>IF(_xlfn.XLOOKUP(C148,'75'!$C$2:$C$509,'75'!$D$2:$D$509)=D148,'75'!F148)</f>
        <v>ok</v>
      </c>
    </row>
    <row r="149" spans="1:6" x14ac:dyDescent="0.45">
      <c r="A149" t="s">
        <v>780</v>
      </c>
      <c r="B149" t="s">
        <v>799</v>
      </c>
      <c r="C149" t="s">
        <v>782</v>
      </c>
      <c r="D149" t="s">
        <v>800</v>
      </c>
      <c r="E149">
        <v>80</v>
      </c>
      <c r="F149" t="str">
        <f>IF(_xlfn.XLOOKUP(C149,'75'!$C$2:$C$509,'75'!$D$2:$D$509)=D149,'75'!F149)</f>
        <v>ok</v>
      </c>
    </row>
    <row r="150" spans="1:6" x14ac:dyDescent="0.45">
      <c r="A150" t="s">
        <v>801</v>
      </c>
      <c r="B150" t="s">
        <v>802</v>
      </c>
      <c r="C150" t="s">
        <v>803</v>
      </c>
      <c r="D150" t="s">
        <v>804</v>
      </c>
      <c r="E150">
        <v>82</v>
      </c>
      <c r="F150" t="str">
        <f>IF(_xlfn.XLOOKUP(C150,'75'!$C$2:$C$509,'75'!$D$2:$D$509)=D150,'75'!F150)</f>
        <v>no</v>
      </c>
    </row>
    <row r="151" spans="1:6" x14ac:dyDescent="0.45">
      <c r="A151" t="s">
        <v>744</v>
      </c>
      <c r="B151" t="s">
        <v>805</v>
      </c>
      <c r="C151" t="s">
        <v>746</v>
      </c>
      <c r="D151" t="s">
        <v>806</v>
      </c>
      <c r="E151">
        <v>80</v>
      </c>
      <c r="F151" t="str">
        <f>IF(_xlfn.XLOOKUP(C151,'75'!$C$2:$C$509,'75'!$D$2:$D$509)=D151,'75'!F151)</f>
        <v>ok</v>
      </c>
    </row>
    <row r="152" spans="1:6" x14ac:dyDescent="0.45">
      <c r="A152" t="s">
        <v>744</v>
      </c>
      <c r="B152" t="s">
        <v>807</v>
      </c>
      <c r="C152" t="s">
        <v>746</v>
      </c>
      <c r="D152" t="s">
        <v>808</v>
      </c>
      <c r="E152">
        <v>84</v>
      </c>
      <c r="F152" t="s">
        <v>1513</v>
      </c>
    </row>
    <row r="153" spans="1:6" x14ac:dyDescent="0.45">
      <c r="A153" t="s">
        <v>809</v>
      </c>
      <c r="B153" t="s">
        <v>719</v>
      </c>
      <c r="C153" t="s">
        <v>810</v>
      </c>
      <c r="D153" t="s">
        <v>720</v>
      </c>
      <c r="E153">
        <v>80</v>
      </c>
      <c r="F153" t="str">
        <f>IF(_xlfn.XLOOKUP(C153,'75'!$C$2:$C$509,'75'!$D$2:$D$509)=D153,'75'!F153)</f>
        <v>no</v>
      </c>
    </row>
    <row r="154" spans="1:6" x14ac:dyDescent="0.45">
      <c r="A154" t="s">
        <v>738</v>
      </c>
      <c r="B154" t="s">
        <v>741</v>
      </c>
      <c r="C154" t="s">
        <v>740</v>
      </c>
      <c r="D154" t="s">
        <v>742</v>
      </c>
      <c r="E154">
        <v>86</v>
      </c>
      <c r="F154" t="str">
        <f>IF(_xlfn.XLOOKUP(C154,'75'!$C$2:$C$509,'75'!$D$2:$D$509)=D154,'75'!F154)</f>
        <v>ok</v>
      </c>
    </row>
    <row r="155" spans="1:6" x14ac:dyDescent="0.45">
      <c r="A155" t="s">
        <v>811</v>
      </c>
      <c r="B155" t="s">
        <v>812</v>
      </c>
      <c r="C155" t="s">
        <v>813</v>
      </c>
      <c r="D155" t="s">
        <v>814</v>
      </c>
      <c r="E155">
        <v>89</v>
      </c>
      <c r="F155" t="str">
        <f>IF(_xlfn.XLOOKUP(C155,'75'!$C$2:$C$509,'75'!$D$2:$D$509)=D155,'75'!F155)</f>
        <v>ok</v>
      </c>
    </row>
    <row r="156" spans="1:6" x14ac:dyDescent="0.45">
      <c r="A156" t="s">
        <v>802</v>
      </c>
      <c r="B156" t="s">
        <v>815</v>
      </c>
      <c r="C156" t="s">
        <v>804</v>
      </c>
      <c r="D156" t="s">
        <v>816</v>
      </c>
      <c r="E156">
        <v>80</v>
      </c>
      <c r="F156" t="str">
        <f>IF(_xlfn.XLOOKUP(C156,'75'!$C$2:$C$509,'75'!$D$2:$D$509)=D156,'75'!F156)</f>
        <v>ok</v>
      </c>
    </row>
    <row r="157" spans="1:6" x14ac:dyDescent="0.45">
      <c r="A157" t="s">
        <v>817</v>
      </c>
      <c r="B157" t="s">
        <v>755</v>
      </c>
      <c r="C157" t="s">
        <v>818</v>
      </c>
      <c r="D157" t="s">
        <v>756</v>
      </c>
      <c r="E157">
        <v>80</v>
      </c>
      <c r="F157" t="str">
        <f>IF(_xlfn.XLOOKUP(C157,'75'!$C$2:$C$509,'75'!$D$2:$D$509)=D157,'75'!F157)</f>
        <v>ok</v>
      </c>
    </row>
    <row r="158" spans="1:6" x14ac:dyDescent="0.45">
      <c r="A158" t="s">
        <v>821</v>
      </c>
      <c r="B158" t="s">
        <v>822</v>
      </c>
      <c r="C158" t="s">
        <v>823</v>
      </c>
      <c r="D158" t="s">
        <v>824</v>
      </c>
      <c r="E158">
        <v>89</v>
      </c>
      <c r="F158" t="str">
        <f>IF(_xlfn.XLOOKUP(C158,'75'!$C$2:$C$509,'75'!$D$2:$D$509)=D158,'75'!F158)</f>
        <v>ok</v>
      </c>
    </row>
    <row r="159" spans="1:6" x14ac:dyDescent="0.45">
      <c r="A159" t="s">
        <v>825</v>
      </c>
      <c r="B159" t="s">
        <v>826</v>
      </c>
      <c r="C159" t="s">
        <v>827</v>
      </c>
      <c r="D159" t="s">
        <v>828</v>
      </c>
      <c r="E159">
        <v>80</v>
      </c>
      <c r="F159" t="str">
        <f>IF(_xlfn.XLOOKUP(C159,'75'!$C$2:$C$509,'75'!$D$2:$D$509)=D159,'75'!F159)</f>
        <v>ok</v>
      </c>
    </row>
    <row r="160" spans="1:6" x14ac:dyDescent="0.45">
      <c r="A160" t="s">
        <v>835</v>
      </c>
      <c r="B160" t="s">
        <v>836</v>
      </c>
      <c r="C160" t="s">
        <v>837</v>
      </c>
      <c r="D160" t="s">
        <v>838</v>
      </c>
      <c r="E160">
        <v>88</v>
      </c>
      <c r="F160" t="str">
        <f>IF(_xlfn.XLOOKUP(C160,'75'!$C$2:$C$509,'75'!$D$2:$D$509)=D160,'75'!F160)</f>
        <v>no</v>
      </c>
    </row>
    <row r="161" spans="1:6" x14ac:dyDescent="0.45">
      <c r="A161" t="s">
        <v>714</v>
      </c>
      <c r="B161" t="s">
        <v>719</v>
      </c>
      <c r="C161" t="s">
        <v>716</v>
      </c>
      <c r="D161" t="s">
        <v>720</v>
      </c>
      <c r="E161">
        <v>80</v>
      </c>
      <c r="F161" t="str">
        <f>IF(_xlfn.XLOOKUP(C161,'75'!$C$2:$C$509,'75'!$D$2:$D$509)=D161,'75'!F161)</f>
        <v>no</v>
      </c>
    </row>
    <row r="162" spans="1:6" x14ac:dyDescent="0.45">
      <c r="A162" t="s">
        <v>839</v>
      </c>
      <c r="B162" t="s">
        <v>840</v>
      </c>
      <c r="C162" t="s">
        <v>841</v>
      </c>
      <c r="D162" t="s">
        <v>842</v>
      </c>
      <c r="E162">
        <v>86</v>
      </c>
      <c r="F162" t="str">
        <f>IF(_xlfn.XLOOKUP(C162,'75'!$C$2:$C$509,'75'!$D$2:$D$509)=D162,'75'!F162)</f>
        <v>no</v>
      </c>
    </row>
    <row r="163" spans="1:6" x14ac:dyDescent="0.45">
      <c r="A163" t="s">
        <v>847</v>
      </c>
      <c r="B163" t="s">
        <v>848</v>
      </c>
      <c r="C163" t="s">
        <v>849</v>
      </c>
      <c r="D163" t="s">
        <v>850</v>
      </c>
      <c r="E163">
        <v>90</v>
      </c>
      <c r="F163" t="str">
        <f>IF(_xlfn.XLOOKUP(C163,'75'!$C$2:$C$509,'75'!$D$2:$D$509)=D163,'75'!F163)</f>
        <v>ok</v>
      </c>
    </row>
    <row r="164" spans="1:6" x14ac:dyDescent="0.45">
      <c r="A164" t="s">
        <v>855</v>
      </c>
      <c r="B164" t="s">
        <v>856</v>
      </c>
      <c r="C164" t="s">
        <v>857</v>
      </c>
      <c r="D164" t="s">
        <v>858</v>
      </c>
      <c r="E164">
        <v>82</v>
      </c>
      <c r="F164" t="str">
        <f>IF(_xlfn.XLOOKUP(C164,'75'!$C$2:$C$509,'75'!$D$2:$D$509)=D164,'75'!F164)</f>
        <v>ok</v>
      </c>
    </row>
    <row r="165" spans="1:6" x14ac:dyDescent="0.45">
      <c r="A165" t="s">
        <v>859</v>
      </c>
      <c r="B165" t="s">
        <v>860</v>
      </c>
      <c r="C165" t="s">
        <v>861</v>
      </c>
      <c r="D165" t="s">
        <v>862</v>
      </c>
      <c r="E165">
        <v>85</v>
      </c>
      <c r="F165" t="str">
        <f>IF(_xlfn.XLOOKUP(C165,'75'!$C$2:$C$509,'75'!$D$2:$D$509)=D165,'75'!F165)</f>
        <v>no</v>
      </c>
    </row>
    <row r="166" spans="1:6" x14ac:dyDescent="0.45">
      <c r="A166" t="s">
        <v>863</v>
      </c>
      <c r="B166" t="s">
        <v>864</v>
      </c>
      <c r="C166" t="s">
        <v>865</v>
      </c>
      <c r="D166" t="s">
        <v>866</v>
      </c>
      <c r="E166">
        <v>80</v>
      </c>
      <c r="F166" t="str">
        <f>IF(_xlfn.XLOOKUP(C166,'75'!$C$2:$C$509,'75'!$D$2:$D$509)=D166,'75'!F166)</f>
        <v>no</v>
      </c>
    </row>
    <row r="167" spans="1:6" x14ac:dyDescent="0.45">
      <c r="A167" t="s">
        <v>869</v>
      </c>
      <c r="B167" t="s">
        <v>870</v>
      </c>
      <c r="C167" t="s">
        <v>871</v>
      </c>
      <c r="D167" t="s">
        <v>872</v>
      </c>
      <c r="E167">
        <v>81</v>
      </c>
      <c r="F167" t="str">
        <f>IF(_xlfn.XLOOKUP(C167,'75'!$C$2:$C$509,'75'!$D$2:$D$509)=D167,'75'!F167)</f>
        <v>ok</v>
      </c>
    </row>
    <row r="168" spans="1:6" x14ac:dyDescent="0.45">
      <c r="A168" t="s">
        <v>873</v>
      </c>
      <c r="B168" t="s">
        <v>874</v>
      </c>
      <c r="C168" t="s">
        <v>875</v>
      </c>
      <c r="D168" t="s">
        <v>876</v>
      </c>
      <c r="E168">
        <v>83</v>
      </c>
      <c r="F168" t="str">
        <f>IF(_xlfn.XLOOKUP(C168,'75'!$C$2:$C$509,'75'!$D$2:$D$509)=D168,'75'!F168)</f>
        <v>ok</v>
      </c>
    </row>
    <row r="169" spans="1:6" x14ac:dyDescent="0.45">
      <c r="A169" t="s">
        <v>848</v>
      </c>
      <c r="B169" t="s">
        <v>878</v>
      </c>
      <c r="C169" t="s">
        <v>850</v>
      </c>
      <c r="D169" t="s">
        <v>880</v>
      </c>
      <c r="E169">
        <v>86</v>
      </c>
      <c r="F169" t="str">
        <f>IF(_xlfn.XLOOKUP(C169,'75'!$C$2:$C$509,'75'!$D$2:$D$509)=D169,'75'!F169)</f>
        <v>no</v>
      </c>
    </row>
    <row r="170" spans="1:6" x14ac:dyDescent="0.45">
      <c r="A170" t="s">
        <v>893</v>
      </c>
      <c r="B170" t="s">
        <v>894</v>
      </c>
      <c r="C170" t="s">
        <v>895</v>
      </c>
      <c r="D170" t="s">
        <v>896</v>
      </c>
      <c r="E170">
        <v>81</v>
      </c>
      <c r="F170" t="str">
        <f>IF(_xlfn.XLOOKUP(C170,'75'!$C$2:$C$509,'75'!$D$2:$D$509)=D170,'75'!F170)</f>
        <v>no</v>
      </c>
    </row>
    <row r="171" spans="1:6" x14ac:dyDescent="0.45">
      <c r="A171" t="s">
        <v>901</v>
      </c>
      <c r="B171" t="s">
        <v>902</v>
      </c>
      <c r="C171" t="s">
        <v>903</v>
      </c>
      <c r="D171" t="s">
        <v>904</v>
      </c>
      <c r="E171">
        <v>83</v>
      </c>
      <c r="F171" t="str">
        <f>IF(_xlfn.XLOOKUP(C171,'75'!$C$2:$C$509,'75'!$D$2:$D$509)=D171,'75'!F171)</f>
        <v>no</v>
      </c>
    </row>
    <row r="172" spans="1:6" x14ac:dyDescent="0.45">
      <c r="A172" t="s">
        <v>905</v>
      </c>
      <c r="B172" t="s">
        <v>909</v>
      </c>
      <c r="C172" t="s">
        <v>907</v>
      </c>
      <c r="D172" t="s">
        <v>910</v>
      </c>
      <c r="E172">
        <v>80</v>
      </c>
      <c r="F172" t="s">
        <v>1512</v>
      </c>
    </row>
    <row r="173" spans="1:6" x14ac:dyDescent="0.45">
      <c r="A173" t="s">
        <v>915</v>
      </c>
      <c r="B173" t="s">
        <v>916</v>
      </c>
      <c r="C173" t="s">
        <v>917</v>
      </c>
      <c r="D173" t="s">
        <v>918</v>
      </c>
      <c r="E173">
        <v>92</v>
      </c>
      <c r="F173" t="str">
        <f>IF(_xlfn.XLOOKUP(C173,'75'!$C$2:$C$509,'75'!$D$2:$D$509)=D173,'75'!F173)</f>
        <v>no</v>
      </c>
    </row>
    <row r="174" spans="1:6" x14ac:dyDescent="0.45">
      <c r="A174" t="s">
        <v>919</v>
      </c>
      <c r="B174" t="s">
        <v>920</v>
      </c>
      <c r="C174" t="s">
        <v>921</v>
      </c>
      <c r="D174" t="s">
        <v>922</v>
      </c>
      <c r="E174">
        <v>97</v>
      </c>
      <c r="F174" t="str">
        <f>IF(_xlfn.XLOOKUP(C174,'75'!$C$2:$C$509,'75'!$D$2:$D$509)=D174,'75'!F174)</f>
        <v>no</v>
      </c>
    </row>
    <row r="175" spans="1:6" x14ac:dyDescent="0.45">
      <c r="A175" t="s">
        <v>923</v>
      </c>
      <c r="B175" t="s">
        <v>924</v>
      </c>
      <c r="C175" t="s">
        <v>925</v>
      </c>
      <c r="D175" t="s">
        <v>926</v>
      </c>
      <c r="E175">
        <v>93</v>
      </c>
      <c r="F175" t="str">
        <f>IF(_xlfn.XLOOKUP(C175,'75'!$C$2:$C$509,'75'!$D$2:$D$509)=D175,'75'!F175)</f>
        <v>ok</v>
      </c>
    </row>
    <row r="176" spans="1:6" x14ac:dyDescent="0.45">
      <c r="A176" t="s">
        <v>931</v>
      </c>
      <c r="B176" t="s">
        <v>932</v>
      </c>
      <c r="C176" t="s">
        <v>933</v>
      </c>
      <c r="D176" t="s">
        <v>934</v>
      </c>
      <c r="E176">
        <v>83</v>
      </c>
      <c r="F176" t="str">
        <f>IF(_xlfn.XLOOKUP(C176,'75'!$C$2:$C$509,'75'!$D$2:$D$509)=D176,'75'!F176)</f>
        <v>no</v>
      </c>
    </row>
    <row r="177" spans="1:6" x14ac:dyDescent="0.45">
      <c r="A177" t="s">
        <v>840</v>
      </c>
      <c r="B177" t="s">
        <v>935</v>
      </c>
      <c r="C177" t="s">
        <v>842</v>
      </c>
      <c r="D177" t="s">
        <v>936</v>
      </c>
      <c r="E177">
        <v>80</v>
      </c>
      <c r="F177" t="str">
        <f>IF(_xlfn.XLOOKUP(C177,'75'!$C$2:$C$509,'75'!$D$2:$D$509)=D177,'75'!F177)</f>
        <v>ok</v>
      </c>
    </row>
    <row r="178" spans="1:6" x14ac:dyDescent="0.45">
      <c r="A178" t="s">
        <v>945</v>
      </c>
      <c r="B178" t="s">
        <v>946</v>
      </c>
      <c r="C178" t="s">
        <v>947</v>
      </c>
      <c r="D178" t="s">
        <v>948</v>
      </c>
      <c r="E178">
        <v>86</v>
      </c>
      <c r="F178" t="str">
        <f>IF(_xlfn.XLOOKUP(C178,'75'!$C$2:$C$509,'75'!$D$2:$D$509)=D178,'75'!F178)</f>
        <v>no</v>
      </c>
    </row>
    <row r="179" spans="1:6" x14ac:dyDescent="0.45">
      <c r="A179" t="s">
        <v>949</v>
      </c>
      <c r="B179" t="s">
        <v>950</v>
      </c>
      <c r="C179" t="s">
        <v>951</v>
      </c>
      <c r="D179" t="s">
        <v>952</v>
      </c>
      <c r="E179">
        <v>94</v>
      </c>
      <c r="F179" t="str">
        <f>IF(_xlfn.XLOOKUP(C179,'75'!$C$2:$C$509,'75'!$D$2:$D$509)=D179,'75'!F179)</f>
        <v>ok</v>
      </c>
    </row>
    <row r="180" spans="1:6" x14ac:dyDescent="0.45">
      <c r="A180" t="s">
        <v>949</v>
      </c>
      <c r="B180" t="s">
        <v>953</v>
      </c>
      <c r="C180" t="s">
        <v>951</v>
      </c>
      <c r="D180" t="s">
        <v>954</v>
      </c>
      <c r="E180">
        <v>91</v>
      </c>
      <c r="F180" t="s">
        <v>1512</v>
      </c>
    </row>
    <row r="181" spans="1:6" x14ac:dyDescent="0.45">
      <c r="A181" t="s">
        <v>950</v>
      </c>
      <c r="B181" t="s">
        <v>953</v>
      </c>
      <c r="C181" t="s">
        <v>952</v>
      </c>
      <c r="D181" t="s">
        <v>954</v>
      </c>
      <c r="E181">
        <v>91</v>
      </c>
      <c r="F181" t="str">
        <f>IF(_xlfn.XLOOKUP(C181,'75'!$C$2:$C$509,'75'!$D$2:$D$509)=D181,'75'!F181)</f>
        <v>no</v>
      </c>
    </row>
    <row r="182" spans="1:6" x14ac:dyDescent="0.45">
      <c r="A182" t="s">
        <v>955</v>
      </c>
      <c r="B182" t="s">
        <v>956</v>
      </c>
      <c r="C182" t="s">
        <v>957</v>
      </c>
      <c r="D182" t="s">
        <v>958</v>
      </c>
      <c r="E182">
        <v>86</v>
      </c>
      <c r="F182" t="str">
        <f>IF(_xlfn.XLOOKUP(C182,'75'!$C$2:$C$509,'75'!$D$2:$D$509)=D182,'75'!F182)</f>
        <v>no</v>
      </c>
    </row>
    <row r="183" spans="1:6" x14ac:dyDescent="0.45">
      <c r="A183" t="s">
        <v>959</v>
      </c>
      <c r="B183" t="s">
        <v>963</v>
      </c>
      <c r="C183" t="s">
        <v>961</v>
      </c>
      <c r="D183" t="s">
        <v>964</v>
      </c>
      <c r="E183">
        <v>91</v>
      </c>
      <c r="F183" t="s">
        <v>1512</v>
      </c>
    </row>
    <row r="184" spans="1:6" x14ac:dyDescent="0.45">
      <c r="A184" t="s">
        <v>965</v>
      </c>
      <c r="B184" t="s">
        <v>966</v>
      </c>
      <c r="C184" t="s">
        <v>967</v>
      </c>
      <c r="D184" t="s">
        <v>968</v>
      </c>
      <c r="E184">
        <v>95</v>
      </c>
      <c r="F184" t="str">
        <f>IF(_xlfn.XLOOKUP(C184,'75'!$C$2:$C$509,'75'!$D$2:$D$509)=D184,'75'!F184)</f>
        <v>no</v>
      </c>
    </row>
    <row r="185" spans="1:6" x14ac:dyDescent="0.45">
      <c r="A185" t="s">
        <v>973</v>
      </c>
      <c r="B185" t="s">
        <v>974</v>
      </c>
      <c r="C185" t="s">
        <v>975</v>
      </c>
      <c r="D185" t="s">
        <v>976</v>
      </c>
      <c r="E185">
        <v>95</v>
      </c>
      <c r="F185" t="str">
        <f>IF(_xlfn.XLOOKUP(C185,'75'!$C$2:$C$509,'75'!$D$2:$D$509)=D185,'75'!F185)</f>
        <v>ok</v>
      </c>
    </row>
    <row r="186" spans="1:6" x14ac:dyDescent="0.45">
      <c r="A186" t="s">
        <v>977</v>
      </c>
      <c r="B186" t="s">
        <v>978</v>
      </c>
      <c r="C186" t="s">
        <v>979</v>
      </c>
      <c r="D186" t="s">
        <v>980</v>
      </c>
      <c r="E186">
        <v>89</v>
      </c>
      <c r="F186" t="str">
        <f>IF(_xlfn.XLOOKUP(C186,'75'!$C$2:$C$509,'75'!$D$2:$D$509)=D186,'75'!F186)</f>
        <v>ok</v>
      </c>
    </row>
    <row r="187" spans="1:6" x14ac:dyDescent="0.45">
      <c r="A187" t="s">
        <v>981</v>
      </c>
      <c r="B187" t="s">
        <v>982</v>
      </c>
      <c r="C187" t="s">
        <v>983</v>
      </c>
      <c r="D187" t="s">
        <v>984</v>
      </c>
      <c r="E187">
        <v>92</v>
      </c>
      <c r="F187" t="str">
        <f>IF(_xlfn.XLOOKUP(C187,'75'!$C$2:$C$509,'75'!$D$2:$D$509)=D187,'75'!F187)</f>
        <v>no</v>
      </c>
    </row>
    <row r="188" spans="1:6" x14ac:dyDescent="0.45">
      <c r="A188" t="s">
        <v>981</v>
      </c>
      <c r="B188" t="s">
        <v>985</v>
      </c>
      <c r="C188" t="s">
        <v>983</v>
      </c>
      <c r="D188" t="s">
        <v>986</v>
      </c>
      <c r="E188">
        <v>92</v>
      </c>
      <c r="F188" t="s">
        <v>1513</v>
      </c>
    </row>
    <row r="189" spans="1:6" x14ac:dyDescent="0.45">
      <c r="A189" t="s">
        <v>981</v>
      </c>
      <c r="B189" t="s">
        <v>987</v>
      </c>
      <c r="C189" t="s">
        <v>983</v>
      </c>
      <c r="D189" t="s">
        <v>988</v>
      </c>
      <c r="E189">
        <v>83</v>
      </c>
      <c r="F189" t="s">
        <v>1513</v>
      </c>
    </row>
    <row r="190" spans="1:6" x14ac:dyDescent="0.45">
      <c r="A190" t="s">
        <v>982</v>
      </c>
      <c r="B190" t="s">
        <v>985</v>
      </c>
      <c r="C190" t="s">
        <v>984</v>
      </c>
      <c r="D190" t="s">
        <v>986</v>
      </c>
      <c r="E190">
        <v>83</v>
      </c>
      <c r="F190" t="str">
        <f>IF(_xlfn.XLOOKUP(C190,'75'!$C$2:$C$509,'75'!$D$2:$D$509)=D190,'75'!F190)</f>
        <v>no</v>
      </c>
    </row>
    <row r="191" spans="1:6" x14ac:dyDescent="0.45">
      <c r="A191" t="s">
        <v>982</v>
      </c>
      <c r="B191" t="s">
        <v>987</v>
      </c>
      <c r="C191" t="s">
        <v>984</v>
      </c>
      <c r="D191" t="s">
        <v>988</v>
      </c>
      <c r="E191">
        <v>91</v>
      </c>
      <c r="F191" t="s">
        <v>1513</v>
      </c>
    </row>
    <row r="192" spans="1:6" x14ac:dyDescent="0.45">
      <c r="A192" t="s">
        <v>997</v>
      </c>
      <c r="B192" t="s">
        <v>998</v>
      </c>
      <c r="C192" t="s">
        <v>999</v>
      </c>
      <c r="D192" t="s">
        <v>1000</v>
      </c>
      <c r="E192">
        <v>83</v>
      </c>
      <c r="F192" t="str">
        <f>IF(_xlfn.XLOOKUP(C192,'75'!$C$2:$C$509,'75'!$D$2:$D$509)=D192,'75'!F192)</f>
        <v>no</v>
      </c>
    </row>
    <row r="193" spans="1:6" x14ac:dyDescent="0.45">
      <c r="A193" t="s">
        <v>1007</v>
      </c>
      <c r="B193" t="s">
        <v>1008</v>
      </c>
      <c r="C193" t="s">
        <v>1009</v>
      </c>
      <c r="D193" t="s">
        <v>1010</v>
      </c>
      <c r="E193">
        <v>92</v>
      </c>
      <c r="F193" t="str">
        <f>IF(_xlfn.XLOOKUP(C193,'75'!$C$2:$C$509,'75'!$D$2:$D$509)=D193,'75'!F193)</f>
        <v>no</v>
      </c>
    </row>
    <row r="194" spans="1:6" x14ac:dyDescent="0.45">
      <c r="A194" t="s">
        <v>985</v>
      </c>
      <c r="B194" t="s">
        <v>987</v>
      </c>
      <c r="C194" t="s">
        <v>986</v>
      </c>
      <c r="D194" t="s">
        <v>988</v>
      </c>
      <c r="E194">
        <v>92</v>
      </c>
      <c r="F194" t="str">
        <f>IF(_xlfn.XLOOKUP(C194,'75'!$C$2:$C$509,'75'!$D$2:$D$509)=D194,'75'!F194)</f>
        <v>ok</v>
      </c>
    </row>
    <row r="195" spans="1:6" x14ac:dyDescent="0.45">
      <c r="A195" t="s">
        <v>1021</v>
      </c>
      <c r="B195" t="s">
        <v>1022</v>
      </c>
      <c r="C195" t="s">
        <v>1023</v>
      </c>
      <c r="D195" t="s">
        <v>1024</v>
      </c>
      <c r="E195">
        <v>95</v>
      </c>
      <c r="F195" t="str">
        <f>IF(_xlfn.XLOOKUP(C195,'75'!$C$2:$C$509,'75'!$D$2:$D$509)=D195,'75'!F195)</f>
        <v>no</v>
      </c>
    </row>
    <row r="196" spans="1:6" x14ac:dyDescent="0.45">
      <c r="A196" t="s">
        <v>1002</v>
      </c>
      <c r="B196" t="s">
        <v>1005</v>
      </c>
      <c r="C196" t="s">
        <v>1004</v>
      </c>
      <c r="D196" t="s">
        <v>1006</v>
      </c>
      <c r="E196">
        <v>83</v>
      </c>
      <c r="F196" t="str">
        <f>IF(_xlfn.XLOOKUP(C196,'75'!$C$2:$C$509,'75'!$D$2:$D$509)=D196,'75'!F196)</f>
        <v>no</v>
      </c>
    </row>
    <row r="197" spans="1:6" x14ac:dyDescent="0.45">
      <c r="A197" t="s">
        <v>1027</v>
      </c>
      <c r="B197" t="s">
        <v>1028</v>
      </c>
      <c r="C197" t="s">
        <v>1029</v>
      </c>
      <c r="D197" t="s">
        <v>1030</v>
      </c>
      <c r="E197">
        <v>94</v>
      </c>
      <c r="F197" t="str">
        <f>IF(_xlfn.XLOOKUP(C197,'75'!$C$2:$C$509,'75'!$D$2:$D$509)=D197,'75'!F197)</f>
        <v>no</v>
      </c>
    </row>
    <row r="198" spans="1:6" x14ac:dyDescent="0.45">
      <c r="A198" t="s">
        <v>1031</v>
      </c>
      <c r="B198" t="s">
        <v>1032</v>
      </c>
      <c r="C198" t="s">
        <v>1033</v>
      </c>
      <c r="D198" t="s">
        <v>1034</v>
      </c>
      <c r="E198">
        <v>90</v>
      </c>
      <c r="F198" t="str">
        <f>IF(_xlfn.XLOOKUP(C198,'75'!$C$2:$C$509,'75'!$D$2:$D$509)=D198,'75'!F198)</f>
        <v>ok</v>
      </c>
    </row>
    <row r="199" spans="1:6" x14ac:dyDescent="0.45">
      <c r="A199" t="s">
        <v>1035</v>
      </c>
      <c r="B199" t="s">
        <v>1039</v>
      </c>
      <c r="C199" t="s">
        <v>1037</v>
      </c>
      <c r="D199" t="s">
        <v>1040</v>
      </c>
      <c r="E199">
        <v>98</v>
      </c>
      <c r="F199" t="s">
        <v>1512</v>
      </c>
    </row>
    <row r="200" spans="1:6" x14ac:dyDescent="0.45">
      <c r="A200" t="s">
        <v>1045</v>
      </c>
      <c r="B200" t="s">
        <v>1046</v>
      </c>
      <c r="C200" t="s">
        <v>1047</v>
      </c>
      <c r="D200" t="s">
        <v>1048</v>
      </c>
      <c r="E200">
        <v>97</v>
      </c>
      <c r="F200" t="str">
        <f>IF(_xlfn.XLOOKUP(C200,'75'!$C$2:$C$509,'75'!$D$2:$D$509)=D200,'75'!F200)</f>
        <v>ok</v>
      </c>
    </row>
    <row r="201" spans="1:6" x14ac:dyDescent="0.45">
      <c r="A201" t="s">
        <v>1045</v>
      </c>
      <c r="B201" t="s">
        <v>1049</v>
      </c>
      <c r="C201" t="s">
        <v>1047</v>
      </c>
      <c r="D201" t="s">
        <v>1050</v>
      </c>
      <c r="E201">
        <v>80</v>
      </c>
      <c r="F201" t="s">
        <v>1512</v>
      </c>
    </row>
    <row r="202" spans="1:6" x14ac:dyDescent="0.45">
      <c r="A202" t="s">
        <v>1051</v>
      </c>
      <c r="B202" t="s">
        <v>1042</v>
      </c>
      <c r="C202" t="s">
        <v>1052</v>
      </c>
      <c r="D202" t="s">
        <v>1044</v>
      </c>
      <c r="E202">
        <v>93</v>
      </c>
      <c r="F202" t="str">
        <f>IF(_xlfn.XLOOKUP(C202,'75'!$C$2:$C$509,'75'!$D$2:$D$509)=D202,'75'!F202)</f>
        <v>no</v>
      </c>
    </row>
    <row r="203" spans="1:6" x14ac:dyDescent="0.45">
      <c r="A203" t="s">
        <v>1053</v>
      </c>
      <c r="B203" t="s">
        <v>1054</v>
      </c>
      <c r="C203" t="s">
        <v>1055</v>
      </c>
      <c r="D203" t="s">
        <v>1056</v>
      </c>
      <c r="E203">
        <v>84</v>
      </c>
      <c r="F203" t="str">
        <f>IF(_xlfn.XLOOKUP(C203,'75'!$C$2:$C$509,'75'!$D$2:$D$509)=D203,'75'!F203)</f>
        <v>no</v>
      </c>
    </row>
    <row r="204" spans="1:6" x14ac:dyDescent="0.45">
      <c r="A204" t="s">
        <v>1046</v>
      </c>
      <c r="B204" t="s">
        <v>1049</v>
      </c>
      <c r="C204" t="s">
        <v>1048</v>
      </c>
      <c r="D204" t="s">
        <v>1050</v>
      </c>
      <c r="E204">
        <v>83</v>
      </c>
      <c r="F204" t="str">
        <f>IF(_xlfn.XLOOKUP(C204,'75'!$C$2:$C$509,'75'!$D$2:$D$509)=D204,'75'!F204)</f>
        <v>no</v>
      </c>
    </row>
    <row r="205" spans="1:6" x14ac:dyDescent="0.45">
      <c r="A205" t="s">
        <v>1057</v>
      </c>
      <c r="B205" t="s">
        <v>1058</v>
      </c>
      <c r="C205" t="s">
        <v>1059</v>
      </c>
      <c r="D205" t="s">
        <v>1060</v>
      </c>
      <c r="E205">
        <v>93</v>
      </c>
      <c r="F205" t="str">
        <f>IF(_xlfn.XLOOKUP(C205,'75'!$C$2:$C$509,'75'!$D$2:$D$509)=D205,'75'!F205)</f>
        <v>no</v>
      </c>
    </row>
    <row r="206" spans="1:6" x14ac:dyDescent="0.45">
      <c r="A206" t="s">
        <v>1061</v>
      </c>
      <c r="B206" t="s">
        <v>1062</v>
      </c>
      <c r="C206" t="s">
        <v>1063</v>
      </c>
      <c r="D206" t="s">
        <v>1064</v>
      </c>
      <c r="E206">
        <v>86</v>
      </c>
      <c r="F206" t="str">
        <f>IF(_xlfn.XLOOKUP(C206,'75'!$C$2:$C$509,'75'!$D$2:$D$509)=D206,'75'!F206)</f>
        <v>no</v>
      </c>
    </row>
    <row r="207" spans="1:6" x14ac:dyDescent="0.45">
      <c r="A207" t="s">
        <v>1069</v>
      </c>
      <c r="B207" t="s">
        <v>1070</v>
      </c>
      <c r="C207" t="s">
        <v>1071</v>
      </c>
      <c r="D207" t="s">
        <v>1072</v>
      </c>
      <c r="E207">
        <v>93</v>
      </c>
      <c r="F207" t="str">
        <f>IF(_xlfn.XLOOKUP(C207,'75'!$C$2:$C$509,'75'!$D$2:$D$509)=D207,'75'!F207)</f>
        <v>no</v>
      </c>
    </row>
    <row r="208" spans="1:6" x14ac:dyDescent="0.45">
      <c r="A208" t="s">
        <v>1073</v>
      </c>
      <c r="B208" t="s">
        <v>1074</v>
      </c>
      <c r="C208" t="s">
        <v>1075</v>
      </c>
      <c r="D208" t="s">
        <v>1076</v>
      </c>
      <c r="E208">
        <v>94</v>
      </c>
      <c r="F208" t="str">
        <f>IF(_xlfn.XLOOKUP(C208,'75'!$C$2:$C$509,'75'!$D$2:$D$509)=D208,'75'!F208)</f>
        <v>ok</v>
      </c>
    </row>
    <row r="209" spans="1:6" x14ac:dyDescent="0.45">
      <c r="A209" t="s">
        <v>1077</v>
      </c>
      <c r="B209" t="s">
        <v>1078</v>
      </c>
      <c r="C209" t="s">
        <v>1079</v>
      </c>
      <c r="D209" t="s">
        <v>1080</v>
      </c>
      <c r="E209">
        <v>95</v>
      </c>
      <c r="F209" t="str">
        <f>IF(_xlfn.XLOOKUP(C209,'75'!$C$2:$C$509,'75'!$D$2:$D$509)=D209,'75'!F209)</f>
        <v>ok</v>
      </c>
    </row>
    <row r="210" spans="1:6" x14ac:dyDescent="0.45">
      <c r="A210" t="s">
        <v>1085</v>
      </c>
      <c r="B210" t="s">
        <v>1086</v>
      </c>
      <c r="C210" t="s">
        <v>1087</v>
      </c>
      <c r="D210" t="s">
        <v>1088</v>
      </c>
      <c r="E210">
        <v>87</v>
      </c>
      <c r="F210" t="str">
        <f>IF(_xlfn.XLOOKUP(C210,'75'!$C$2:$C$509,'75'!$D$2:$D$509)=D210,'75'!F210)</f>
        <v>ok</v>
      </c>
    </row>
    <row r="211" spans="1:6" x14ac:dyDescent="0.45">
      <c r="A211" t="s">
        <v>1089</v>
      </c>
      <c r="B211" t="s">
        <v>1090</v>
      </c>
      <c r="C211" t="s">
        <v>1091</v>
      </c>
      <c r="D211" t="s">
        <v>1092</v>
      </c>
      <c r="E211">
        <v>81</v>
      </c>
      <c r="F211" t="str">
        <f>IF(_xlfn.XLOOKUP(C211,'75'!$C$2:$C$509,'75'!$D$2:$D$509)=D211,'75'!F211)</f>
        <v>no</v>
      </c>
    </row>
    <row r="212" spans="1:6" x14ac:dyDescent="0.45">
      <c r="A212" t="s">
        <v>1097</v>
      </c>
      <c r="B212" t="s">
        <v>1098</v>
      </c>
      <c r="C212" t="s">
        <v>1099</v>
      </c>
      <c r="D212" t="s">
        <v>1100</v>
      </c>
      <c r="E212">
        <v>90</v>
      </c>
      <c r="F212" t="str">
        <f>IF(_xlfn.XLOOKUP(C212,'75'!$C$2:$C$509,'75'!$D$2:$D$509)=D212,'75'!F212)</f>
        <v>ok</v>
      </c>
    </row>
    <row r="213" spans="1:6" x14ac:dyDescent="0.45">
      <c r="A213" t="s">
        <v>1101</v>
      </c>
      <c r="B213" t="s">
        <v>1102</v>
      </c>
      <c r="C213" t="s">
        <v>1103</v>
      </c>
      <c r="D213" t="s">
        <v>1104</v>
      </c>
      <c r="E213">
        <v>80</v>
      </c>
      <c r="F213" t="str">
        <f>IF(_xlfn.XLOOKUP(C213,'75'!$C$2:$C$509,'75'!$D$2:$D$509)=D213,'75'!F213)</f>
        <v>ok</v>
      </c>
    </row>
    <row r="214" spans="1:6" x14ac:dyDescent="0.45">
      <c r="A214" t="s">
        <v>1109</v>
      </c>
      <c r="B214" t="s">
        <v>1110</v>
      </c>
      <c r="C214" t="s">
        <v>1111</v>
      </c>
      <c r="D214" t="s">
        <v>1112</v>
      </c>
      <c r="E214">
        <v>90</v>
      </c>
      <c r="F214" t="str">
        <f>IF(_xlfn.XLOOKUP(C214,'75'!$C$2:$C$509,'75'!$D$2:$D$509)=D214,'75'!F214)</f>
        <v>ok</v>
      </c>
    </row>
    <row r="215" spans="1:6" x14ac:dyDescent="0.45">
      <c r="A215" t="s">
        <v>1113</v>
      </c>
      <c r="B215" t="s">
        <v>1114</v>
      </c>
      <c r="C215" t="s">
        <v>1115</v>
      </c>
      <c r="D215" t="s">
        <v>1116</v>
      </c>
      <c r="E215">
        <v>93</v>
      </c>
      <c r="F215" t="str">
        <f>IF(_xlfn.XLOOKUP(C215,'75'!$C$2:$C$509,'75'!$D$2:$D$509)=D215,'75'!F215)</f>
        <v>no</v>
      </c>
    </row>
    <row r="216" spans="1:6" x14ac:dyDescent="0.45">
      <c r="A216" t="s">
        <v>1117</v>
      </c>
      <c r="B216" t="s">
        <v>1118</v>
      </c>
      <c r="C216" t="s">
        <v>1119</v>
      </c>
      <c r="D216" t="s">
        <v>1120</v>
      </c>
      <c r="E216">
        <v>97</v>
      </c>
      <c r="F216" t="str">
        <f>IF(_xlfn.XLOOKUP(C216,'75'!$C$2:$C$509,'75'!$D$2:$D$509)=D216,'75'!F216)</f>
        <v>ok</v>
      </c>
    </row>
    <row r="217" spans="1:6" x14ac:dyDescent="0.45">
      <c r="A217" t="s">
        <v>1121</v>
      </c>
      <c r="B217" t="s">
        <v>1122</v>
      </c>
      <c r="C217" t="s">
        <v>1123</v>
      </c>
      <c r="D217" t="s">
        <v>1124</v>
      </c>
      <c r="E217">
        <v>82</v>
      </c>
      <c r="F217" t="str">
        <f>IF(_xlfn.XLOOKUP(C217,'75'!$C$2:$C$509,'75'!$D$2:$D$509)=D217,'75'!F217)</f>
        <v>no</v>
      </c>
    </row>
    <row r="218" spans="1:6" x14ac:dyDescent="0.45">
      <c r="A218" t="s">
        <v>1125</v>
      </c>
      <c r="B218" t="s">
        <v>1129</v>
      </c>
      <c r="C218" t="s">
        <v>1127</v>
      </c>
      <c r="D218" t="s">
        <v>1130</v>
      </c>
      <c r="E218">
        <v>82</v>
      </c>
      <c r="F218" t="s">
        <v>1513</v>
      </c>
    </row>
    <row r="219" spans="1:6" x14ac:dyDescent="0.45">
      <c r="A219" t="s">
        <v>1137</v>
      </c>
      <c r="B219" t="s">
        <v>1138</v>
      </c>
      <c r="C219" t="s">
        <v>1139</v>
      </c>
      <c r="D219" t="s">
        <v>1140</v>
      </c>
      <c r="E219">
        <v>96</v>
      </c>
      <c r="F219" t="str">
        <f>IF(_xlfn.XLOOKUP(C219,'75'!$C$2:$C$509,'75'!$D$2:$D$509)=D219,'75'!F219)</f>
        <v>no</v>
      </c>
    </row>
    <row r="220" spans="1:6" x14ac:dyDescent="0.45">
      <c r="A220" t="s">
        <v>1145</v>
      </c>
      <c r="B220" t="s">
        <v>1146</v>
      </c>
      <c r="C220" t="s">
        <v>1147</v>
      </c>
      <c r="D220" t="s">
        <v>1148</v>
      </c>
      <c r="E220">
        <v>80</v>
      </c>
      <c r="F220" t="str">
        <f>IF(_xlfn.XLOOKUP(C220,'75'!$C$2:$C$509,'75'!$D$2:$D$509)=D220,'75'!F220)</f>
        <v>no</v>
      </c>
    </row>
    <row r="221" spans="1:6" x14ac:dyDescent="0.45">
      <c r="A221" t="s">
        <v>1161</v>
      </c>
      <c r="B221" t="s">
        <v>1162</v>
      </c>
      <c r="C221" t="s">
        <v>1163</v>
      </c>
      <c r="D221" t="s">
        <v>1164</v>
      </c>
      <c r="E221">
        <v>90</v>
      </c>
      <c r="F221" t="str">
        <f>IF(_xlfn.XLOOKUP(C221,'75'!$C$2:$C$509,'75'!$D$2:$D$509)=D221,'75'!F221)</f>
        <v>no</v>
      </c>
    </row>
    <row r="222" spans="1:6" x14ac:dyDescent="0.45">
      <c r="A222" t="s">
        <v>1165</v>
      </c>
      <c r="B222" t="s">
        <v>1166</v>
      </c>
      <c r="C222" t="s">
        <v>1167</v>
      </c>
      <c r="D222" t="s">
        <v>1168</v>
      </c>
      <c r="E222">
        <v>93</v>
      </c>
      <c r="F222" t="str">
        <f>IF(_xlfn.XLOOKUP(C222,'75'!$C$2:$C$509,'75'!$D$2:$D$509)=D222,'75'!F222)</f>
        <v>no</v>
      </c>
    </row>
    <row r="223" spans="1:6" x14ac:dyDescent="0.45">
      <c r="A223" t="s">
        <v>1173</v>
      </c>
      <c r="B223" t="s">
        <v>1174</v>
      </c>
      <c r="C223" t="s">
        <v>1175</v>
      </c>
      <c r="D223" t="s">
        <v>1176</v>
      </c>
      <c r="E223">
        <v>82</v>
      </c>
      <c r="F223" t="str">
        <f>IF(_xlfn.XLOOKUP(C223,'75'!$C$2:$C$509,'75'!$D$2:$D$509)=D223,'75'!F223)</f>
        <v>no</v>
      </c>
    </row>
    <row r="224" spans="1:6" x14ac:dyDescent="0.45">
      <c r="A224" t="s">
        <v>1189</v>
      </c>
      <c r="B224" t="s">
        <v>1190</v>
      </c>
      <c r="C224" t="s">
        <v>1191</v>
      </c>
      <c r="D224" t="s">
        <v>1192</v>
      </c>
      <c r="E224">
        <v>92</v>
      </c>
      <c r="F224" t="str">
        <f>IF(_xlfn.XLOOKUP(C224,'75'!$C$2:$C$509,'75'!$D$2:$D$509)=D224,'75'!F224)</f>
        <v>no</v>
      </c>
    </row>
    <row r="225" spans="1:6" x14ac:dyDescent="0.45">
      <c r="A225" t="s">
        <v>1205</v>
      </c>
      <c r="B225" t="s">
        <v>1206</v>
      </c>
      <c r="C225" t="s">
        <v>1207</v>
      </c>
      <c r="D225" t="s">
        <v>1208</v>
      </c>
      <c r="E225">
        <v>95</v>
      </c>
      <c r="F225" t="str">
        <f>IF(_xlfn.XLOOKUP(C225,'75'!$C$2:$C$509,'75'!$D$2:$D$509)=D225,'75'!F225)</f>
        <v>no</v>
      </c>
    </row>
    <row r="226" spans="1:6" x14ac:dyDescent="0.45">
      <c r="A226" t="s">
        <v>1209</v>
      </c>
      <c r="B226" t="s">
        <v>1210</v>
      </c>
      <c r="C226" t="s">
        <v>1211</v>
      </c>
      <c r="D226" t="s">
        <v>1212</v>
      </c>
      <c r="E226">
        <v>88</v>
      </c>
      <c r="F226" t="str">
        <f>IF(_xlfn.XLOOKUP(C226,'75'!$C$2:$C$509,'75'!$D$2:$D$509)=D226,'75'!F226)</f>
        <v>no</v>
      </c>
    </row>
    <row r="227" spans="1:6" x14ac:dyDescent="0.45">
      <c r="A227" t="s">
        <v>1215</v>
      </c>
      <c r="B227" t="s">
        <v>1216</v>
      </c>
      <c r="C227" t="s">
        <v>1217</v>
      </c>
      <c r="D227" t="s">
        <v>1218</v>
      </c>
      <c r="E227">
        <v>80</v>
      </c>
      <c r="F227" t="str">
        <f>IF(_xlfn.XLOOKUP(C227,'75'!$C$2:$C$509,'75'!$D$2:$D$509)=D227,'75'!F227)</f>
        <v>no</v>
      </c>
    </row>
    <row r="228" spans="1:6" x14ac:dyDescent="0.45">
      <c r="A228" t="s">
        <v>1219</v>
      </c>
      <c r="B228" t="s">
        <v>1220</v>
      </c>
      <c r="C228" t="s">
        <v>1221</v>
      </c>
      <c r="D228" t="s">
        <v>1222</v>
      </c>
      <c r="E228">
        <v>87</v>
      </c>
      <c r="F228" t="str">
        <f>IF(_xlfn.XLOOKUP(C228,'75'!$C$2:$C$509,'75'!$D$2:$D$509)=D228,'75'!F228)</f>
        <v>no</v>
      </c>
    </row>
    <row r="229" spans="1:6" x14ac:dyDescent="0.45">
      <c r="A229" t="s">
        <v>1223</v>
      </c>
      <c r="B229" t="s">
        <v>1224</v>
      </c>
      <c r="C229" t="s">
        <v>1225</v>
      </c>
      <c r="D229" t="s">
        <v>1226</v>
      </c>
      <c r="E229">
        <v>98</v>
      </c>
      <c r="F229" t="str">
        <f>IF(_xlfn.XLOOKUP(C229,'75'!$C$2:$C$509,'75'!$D$2:$D$509)=D229,'75'!F229)</f>
        <v>no</v>
      </c>
    </row>
    <row r="230" spans="1:6" x14ac:dyDescent="0.45">
      <c r="A230" t="s">
        <v>1227</v>
      </c>
      <c r="B230" t="s">
        <v>1228</v>
      </c>
      <c r="C230" t="s">
        <v>1229</v>
      </c>
      <c r="D230" t="s">
        <v>1230</v>
      </c>
      <c r="E230">
        <v>80</v>
      </c>
      <c r="F230" t="str">
        <f>IF(_xlfn.XLOOKUP(C230,'75'!$C$2:$C$509,'75'!$D$2:$D$509)=D230,'75'!F230)</f>
        <v>no</v>
      </c>
    </row>
    <row r="231" spans="1:6" x14ac:dyDescent="0.45">
      <c r="A231" t="s">
        <v>1231</v>
      </c>
      <c r="B231" t="s">
        <v>1228</v>
      </c>
      <c r="C231" t="s">
        <v>1232</v>
      </c>
      <c r="D231" t="s">
        <v>1230</v>
      </c>
      <c r="E231">
        <v>94</v>
      </c>
      <c r="F231" t="str">
        <f>IF(_xlfn.XLOOKUP(C231,'75'!$C$2:$C$509,'75'!$D$2:$D$509)=D231,'75'!F231)</f>
        <v>ok</v>
      </c>
    </row>
    <row r="232" spans="1:6" x14ac:dyDescent="0.45">
      <c r="A232" t="s">
        <v>1233</v>
      </c>
      <c r="B232" t="s">
        <v>1186</v>
      </c>
      <c r="C232" t="s">
        <v>1234</v>
      </c>
      <c r="D232" t="s">
        <v>1188</v>
      </c>
      <c r="E232">
        <v>90</v>
      </c>
      <c r="F232" t="str">
        <f>IF(_xlfn.XLOOKUP(C232,'75'!$C$2:$C$509,'75'!$D$2:$D$509)=D232,'75'!F232)</f>
        <v>ok</v>
      </c>
    </row>
    <row r="233" spans="1:6" x14ac:dyDescent="0.45">
      <c r="A233" t="s">
        <v>1235</v>
      </c>
      <c r="B233" t="s">
        <v>1236</v>
      </c>
      <c r="C233" t="s">
        <v>1237</v>
      </c>
      <c r="D233" t="s">
        <v>1238</v>
      </c>
      <c r="E233">
        <v>87</v>
      </c>
      <c r="F233" t="str">
        <f>IF(_xlfn.XLOOKUP(C233,'75'!$C$2:$C$509,'75'!$D$2:$D$509)=D233,'75'!F233)</f>
        <v>no</v>
      </c>
    </row>
    <row r="234" spans="1:6" x14ac:dyDescent="0.45">
      <c r="A234" t="s">
        <v>1239</v>
      </c>
      <c r="B234" t="s">
        <v>1240</v>
      </c>
      <c r="C234" t="s">
        <v>1241</v>
      </c>
      <c r="D234" t="s">
        <v>1242</v>
      </c>
      <c r="E234">
        <v>84</v>
      </c>
      <c r="F234" t="str">
        <f>IF(_xlfn.XLOOKUP(C234,'75'!$C$2:$C$509,'75'!$D$2:$D$509)=D234,'75'!F234)</f>
        <v>no</v>
      </c>
    </row>
    <row r="235" spans="1:6" x14ac:dyDescent="0.45">
      <c r="A235" t="s">
        <v>1251</v>
      </c>
      <c r="B235" t="s">
        <v>1252</v>
      </c>
      <c r="C235" t="s">
        <v>1253</v>
      </c>
      <c r="D235" t="s">
        <v>1254</v>
      </c>
      <c r="E235">
        <v>94</v>
      </c>
      <c r="F235" t="str">
        <f>IF(_xlfn.XLOOKUP(C235,'75'!$C$2:$C$509,'75'!$D$2:$D$509)=D235,'75'!F235)</f>
        <v>no</v>
      </c>
    </row>
    <row r="236" spans="1:6" x14ac:dyDescent="0.45">
      <c r="A236" t="s">
        <v>1261</v>
      </c>
      <c r="B236" t="s">
        <v>1262</v>
      </c>
      <c r="C236" t="s">
        <v>1263</v>
      </c>
      <c r="D236" t="s">
        <v>1264</v>
      </c>
      <c r="E236">
        <v>85</v>
      </c>
      <c r="F236" t="str">
        <f>IF(_xlfn.XLOOKUP(C236,'75'!$C$2:$C$509,'75'!$D$2:$D$509)=D236,'75'!F236)</f>
        <v>ok</v>
      </c>
    </row>
    <row r="237" spans="1:6" x14ac:dyDescent="0.45">
      <c r="A237" t="s">
        <v>1265</v>
      </c>
      <c r="B237" t="s">
        <v>1266</v>
      </c>
      <c r="C237" t="s">
        <v>1267</v>
      </c>
      <c r="D237" t="s">
        <v>1268</v>
      </c>
      <c r="E237">
        <v>82</v>
      </c>
      <c r="F237" t="str">
        <f>IF(_xlfn.XLOOKUP(C237,'75'!$C$2:$C$509,'75'!$D$2:$D$509)=D237,'75'!F237)</f>
        <v>ok</v>
      </c>
    </row>
    <row r="238" spans="1:6" x14ac:dyDescent="0.45">
      <c r="A238" t="s">
        <v>1269</v>
      </c>
      <c r="B238" t="s">
        <v>1270</v>
      </c>
      <c r="C238" t="s">
        <v>1271</v>
      </c>
      <c r="D238" t="s">
        <v>1272</v>
      </c>
      <c r="E238">
        <v>84</v>
      </c>
      <c r="F238" t="str">
        <f>IF(_xlfn.XLOOKUP(C238,'75'!$C$2:$C$509,'75'!$D$2:$D$509)=D238,'75'!F238)</f>
        <v>ok</v>
      </c>
    </row>
    <row r="239" spans="1:6" x14ac:dyDescent="0.45">
      <c r="A239" t="s">
        <v>1273</v>
      </c>
      <c r="B239" t="s">
        <v>1274</v>
      </c>
      <c r="C239" t="s">
        <v>1275</v>
      </c>
      <c r="D239" t="s">
        <v>1276</v>
      </c>
      <c r="E239">
        <v>91</v>
      </c>
      <c r="F239" t="str">
        <f>IF(_xlfn.XLOOKUP(C239,'75'!$C$2:$C$509,'75'!$D$2:$D$509)=D239,'75'!F239)</f>
        <v>no</v>
      </c>
    </row>
    <row r="240" spans="1:6" x14ac:dyDescent="0.45">
      <c r="A240" t="s">
        <v>1281</v>
      </c>
      <c r="B240" t="s">
        <v>1282</v>
      </c>
      <c r="C240" t="s">
        <v>1283</v>
      </c>
      <c r="D240" t="s">
        <v>1284</v>
      </c>
      <c r="E240">
        <v>85</v>
      </c>
      <c r="F240" t="str">
        <f>IF(_xlfn.XLOOKUP(C240,'75'!$C$2:$C$509,'75'!$D$2:$D$509)=D240,'75'!F240)</f>
        <v>no</v>
      </c>
    </row>
    <row r="241" spans="1:6" x14ac:dyDescent="0.45">
      <c r="A241" t="s">
        <v>1285</v>
      </c>
      <c r="B241" t="s">
        <v>1286</v>
      </c>
      <c r="C241" t="s">
        <v>1287</v>
      </c>
      <c r="D241" t="s">
        <v>1288</v>
      </c>
      <c r="E241">
        <v>82</v>
      </c>
      <c r="F241" t="str">
        <f>IF(_xlfn.XLOOKUP(C241,'75'!$C$2:$C$509,'75'!$D$2:$D$509)=D241,'75'!F241)</f>
        <v>no</v>
      </c>
    </row>
    <row r="242" spans="1:6" x14ac:dyDescent="0.45">
      <c r="A242" t="s">
        <v>1299</v>
      </c>
      <c r="B242" t="s">
        <v>1300</v>
      </c>
      <c r="C242" t="s">
        <v>1301</v>
      </c>
      <c r="D242" t="s">
        <v>1302</v>
      </c>
      <c r="E242">
        <v>86</v>
      </c>
      <c r="F242" t="str">
        <f>IF(_xlfn.XLOOKUP(C242,'75'!$C$2:$C$509,'75'!$D$2:$D$509)=D242,'75'!F242)</f>
        <v>no</v>
      </c>
    </row>
    <row r="243" spans="1:6" x14ac:dyDescent="0.45">
      <c r="A243" t="s">
        <v>1307</v>
      </c>
      <c r="B243" t="s">
        <v>1319</v>
      </c>
      <c r="C243" t="s">
        <v>1309</v>
      </c>
      <c r="D243" t="s">
        <v>1320</v>
      </c>
      <c r="E243">
        <v>86</v>
      </c>
      <c r="F243" t="s">
        <v>1513</v>
      </c>
    </row>
    <row r="244" spans="1:6" x14ac:dyDescent="0.45">
      <c r="A244" t="s">
        <v>1307</v>
      </c>
      <c r="B244" t="s">
        <v>1321</v>
      </c>
      <c r="C244" t="s">
        <v>1309</v>
      </c>
      <c r="D244" t="s">
        <v>1322</v>
      </c>
      <c r="E244">
        <v>82</v>
      </c>
      <c r="F244" t="s">
        <v>1513</v>
      </c>
    </row>
    <row r="245" spans="1:6" x14ac:dyDescent="0.45">
      <c r="A245" t="s">
        <v>1307</v>
      </c>
      <c r="B245" t="s">
        <v>1323</v>
      </c>
      <c r="C245" t="s">
        <v>1309</v>
      </c>
      <c r="D245" t="s">
        <v>1324</v>
      </c>
      <c r="E245">
        <v>80</v>
      </c>
      <c r="F245" t="s">
        <v>1513</v>
      </c>
    </row>
    <row r="246" spans="1:6" x14ac:dyDescent="0.45">
      <c r="A246" t="s">
        <v>1325</v>
      </c>
      <c r="B246" t="s">
        <v>1326</v>
      </c>
      <c r="C246" t="s">
        <v>1327</v>
      </c>
      <c r="D246" t="s">
        <v>1328</v>
      </c>
      <c r="E246">
        <v>81</v>
      </c>
      <c r="F246" t="str">
        <f>IF(_xlfn.XLOOKUP(C246,'75'!$C$2:$C$509,'75'!$D$2:$D$509)=D246,'75'!F246)</f>
        <v>ok</v>
      </c>
    </row>
    <row r="247" spans="1:6" x14ac:dyDescent="0.45">
      <c r="A247" t="s">
        <v>1329</v>
      </c>
      <c r="B247" t="s">
        <v>1330</v>
      </c>
      <c r="C247" t="s">
        <v>1331</v>
      </c>
      <c r="D247" t="s">
        <v>1332</v>
      </c>
      <c r="E247">
        <v>92</v>
      </c>
      <c r="F247" t="str">
        <f>IF(_xlfn.XLOOKUP(C247,'75'!$C$2:$C$509,'75'!$D$2:$D$509)=D247,'75'!F247)</f>
        <v>no</v>
      </c>
    </row>
    <row r="248" spans="1:6" x14ac:dyDescent="0.45">
      <c r="A248" t="s">
        <v>1333</v>
      </c>
      <c r="B248" t="s">
        <v>1334</v>
      </c>
      <c r="C248" t="s">
        <v>1335</v>
      </c>
      <c r="D248" t="s">
        <v>1336</v>
      </c>
      <c r="E248">
        <v>80</v>
      </c>
      <c r="F248" t="str">
        <f>IF(_xlfn.XLOOKUP(C248,'75'!$C$2:$C$509,'75'!$D$2:$D$509)=D248,'75'!F248)</f>
        <v>no</v>
      </c>
    </row>
    <row r="249" spans="1:6" x14ac:dyDescent="0.45">
      <c r="A249" t="s">
        <v>1333</v>
      </c>
      <c r="B249" t="s">
        <v>1313</v>
      </c>
      <c r="C249" t="s">
        <v>1335</v>
      </c>
      <c r="D249" t="s">
        <v>1314</v>
      </c>
      <c r="E249">
        <v>80</v>
      </c>
      <c r="F249" t="s">
        <v>1513</v>
      </c>
    </row>
    <row r="250" spans="1:6" x14ac:dyDescent="0.45">
      <c r="A250" t="s">
        <v>1339</v>
      </c>
      <c r="B250" t="s">
        <v>1341</v>
      </c>
      <c r="C250" t="s">
        <v>1340</v>
      </c>
      <c r="D250" t="s">
        <v>1342</v>
      </c>
      <c r="E250">
        <v>95</v>
      </c>
      <c r="F250" t="s">
        <v>1512</v>
      </c>
    </row>
    <row r="251" spans="1:6" x14ac:dyDescent="0.45">
      <c r="A251" t="s">
        <v>1355</v>
      </c>
      <c r="B251" t="s">
        <v>1356</v>
      </c>
      <c r="C251" t="s">
        <v>1357</v>
      </c>
      <c r="D251" t="s">
        <v>1358</v>
      </c>
      <c r="E251">
        <v>85</v>
      </c>
      <c r="F251" t="str">
        <f>IF(_xlfn.XLOOKUP(C251,'75'!$C$2:$C$509,'75'!$D$2:$D$509)=D251,'75'!F251)</f>
        <v>no</v>
      </c>
    </row>
    <row r="252" spans="1:6" x14ac:dyDescent="0.45">
      <c r="A252" t="s">
        <v>1337</v>
      </c>
      <c r="B252" t="s">
        <v>1359</v>
      </c>
      <c r="C252" t="s">
        <v>1338</v>
      </c>
      <c r="D252" t="s">
        <v>1360</v>
      </c>
      <c r="E252">
        <v>80</v>
      </c>
      <c r="F252" t="str">
        <f>IF(_xlfn.XLOOKUP(C252,'75'!$C$2:$C$509,'75'!$D$2:$D$509)=D252,'75'!F252)</f>
        <v>no</v>
      </c>
    </row>
    <row r="253" spans="1:6" x14ac:dyDescent="0.45">
      <c r="A253" t="s">
        <v>1361</v>
      </c>
      <c r="B253" t="s">
        <v>1362</v>
      </c>
      <c r="C253" t="s">
        <v>1363</v>
      </c>
      <c r="D253" t="s">
        <v>1364</v>
      </c>
      <c r="E253">
        <v>80</v>
      </c>
      <c r="F253" t="str">
        <f>IF(_xlfn.XLOOKUP(C253,'75'!$C$2:$C$509,'75'!$D$2:$D$509)=D253,'75'!F253)</f>
        <v>no</v>
      </c>
    </row>
    <row r="254" spans="1:6" x14ac:dyDescent="0.45">
      <c r="A254" t="s">
        <v>1365</v>
      </c>
      <c r="B254" t="s">
        <v>1366</v>
      </c>
      <c r="C254" t="s">
        <v>1367</v>
      </c>
      <c r="D254" t="s">
        <v>1368</v>
      </c>
      <c r="E254">
        <v>80</v>
      </c>
      <c r="F254" t="str">
        <f>IF(_xlfn.XLOOKUP(C254,'75'!$C$2:$C$509,'75'!$D$2:$D$509)=D254,'75'!F254)</f>
        <v>no</v>
      </c>
    </row>
    <row r="255" spans="1:6" x14ac:dyDescent="0.45">
      <c r="A255" t="s">
        <v>1369</v>
      </c>
      <c r="B255" t="s">
        <v>1370</v>
      </c>
      <c r="C255" t="s">
        <v>1371</v>
      </c>
      <c r="D255" t="s">
        <v>1372</v>
      </c>
      <c r="E255">
        <v>83</v>
      </c>
      <c r="F255" t="str">
        <f>IF(_xlfn.XLOOKUP(C255,'75'!$C$2:$C$509,'75'!$D$2:$D$509)=D255,'75'!F255)</f>
        <v>no</v>
      </c>
    </row>
    <row r="256" spans="1:6" x14ac:dyDescent="0.45">
      <c r="A256" t="s">
        <v>1373</v>
      </c>
      <c r="B256" t="s">
        <v>1374</v>
      </c>
      <c r="C256" t="s">
        <v>1375</v>
      </c>
      <c r="D256" t="s">
        <v>1376</v>
      </c>
      <c r="E256">
        <v>89</v>
      </c>
      <c r="F256" t="str">
        <f>IF(_xlfn.XLOOKUP(C256,'75'!$C$2:$C$509,'75'!$D$2:$D$509)=D256,'75'!F256)</f>
        <v>no</v>
      </c>
    </row>
    <row r="257" spans="1:6" x14ac:dyDescent="0.45">
      <c r="A257" t="s">
        <v>1308</v>
      </c>
      <c r="B257" t="s">
        <v>1311</v>
      </c>
      <c r="C257" t="s">
        <v>1310</v>
      </c>
      <c r="D257" t="s">
        <v>1312</v>
      </c>
      <c r="E257">
        <v>83</v>
      </c>
      <c r="F257" t="str">
        <f>IF(_xlfn.XLOOKUP(C257,'75'!$C$2:$C$509,'75'!$D$2:$D$509)=D257,'75'!F257)</f>
        <v>no</v>
      </c>
    </row>
    <row r="258" spans="1:6" x14ac:dyDescent="0.45">
      <c r="A258" t="s">
        <v>1308</v>
      </c>
      <c r="B258" t="s">
        <v>1313</v>
      </c>
      <c r="C258" t="s">
        <v>1310</v>
      </c>
      <c r="D258" t="s">
        <v>1314</v>
      </c>
      <c r="E258">
        <v>83</v>
      </c>
      <c r="F258" t="s">
        <v>1513</v>
      </c>
    </row>
    <row r="259" spans="1:6" x14ac:dyDescent="0.45">
      <c r="A259" t="s">
        <v>1308</v>
      </c>
      <c r="B259" t="s">
        <v>1315</v>
      </c>
      <c r="C259" t="s">
        <v>1310</v>
      </c>
      <c r="D259" t="s">
        <v>1316</v>
      </c>
      <c r="E259">
        <v>83</v>
      </c>
      <c r="F259" t="s">
        <v>1513</v>
      </c>
    </row>
    <row r="260" spans="1:6" x14ac:dyDescent="0.45">
      <c r="A260" t="s">
        <v>1308</v>
      </c>
      <c r="B260" t="s">
        <v>1317</v>
      </c>
      <c r="C260" t="s">
        <v>1310</v>
      </c>
      <c r="D260" t="s">
        <v>1318</v>
      </c>
      <c r="E260">
        <v>83</v>
      </c>
      <c r="F260" t="s">
        <v>1513</v>
      </c>
    </row>
    <row r="261" spans="1:6" x14ac:dyDescent="0.45">
      <c r="A261" t="s">
        <v>1379</v>
      </c>
      <c r="B261" t="s">
        <v>1380</v>
      </c>
      <c r="C261" t="s">
        <v>1381</v>
      </c>
      <c r="D261" t="s">
        <v>1382</v>
      </c>
      <c r="E261">
        <v>82</v>
      </c>
      <c r="F261" t="str">
        <f>IF(_xlfn.XLOOKUP(C261,'75'!$C$2:$C$509,'75'!$D$2:$D$509)=D261,'75'!F261)</f>
        <v>no</v>
      </c>
    </row>
    <row r="262" spans="1:6" x14ac:dyDescent="0.45">
      <c r="A262" t="s">
        <v>1311</v>
      </c>
      <c r="B262" t="s">
        <v>1313</v>
      </c>
      <c r="C262" t="s">
        <v>1312</v>
      </c>
      <c r="D262" t="s">
        <v>1314</v>
      </c>
      <c r="E262">
        <v>83</v>
      </c>
      <c r="F262" t="str">
        <f>IF(_xlfn.XLOOKUP(C262,'75'!$C$2:$C$509,'75'!$D$2:$D$509)=D262,'75'!F262)</f>
        <v>ok</v>
      </c>
    </row>
    <row r="263" spans="1:6" x14ac:dyDescent="0.45">
      <c r="A263" t="s">
        <v>1311</v>
      </c>
      <c r="B263" t="s">
        <v>1315</v>
      </c>
      <c r="C263" t="s">
        <v>1312</v>
      </c>
      <c r="D263" t="s">
        <v>1316</v>
      </c>
      <c r="E263">
        <v>83</v>
      </c>
      <c r="F263" t="s">
        <v>1513</v>
      </c>
    </row>
    <row r="264" spans="1:6" x14ac:dyDescent="0.45">
      <c r="A264" t="s">
        <v>1311</v>
      </c>
      <c r="B264" t="s">
        <v>1317</v>
      </c>
      <c r="C264" t="s">
        <v>1312</v>
      </c>
      <c r="D264" t="s">
        <v>1318</v>
      </c>
      <c r="E264">
        <v>83</v>
      </c>
      <c r="F264" t="s">
        <v>1513</v>
      </c>
    </row>
    <row r="265" spans="1:6" x14ac:dyDescent="0.45">
      <c r="A265" t="s">
        <v>1313</v>
      </c>
      <c r="B265" t="s">
        <v>1315</v>
      </c>
      <c r="C265" t="s">
        <v>1314</v>
      </c>
      <c r="D265" t="s">
        <v>1316</v>
      </c>
      <c r="E265">
        <v>83</v>
      </c>
      <c r="F265" t="str">
        <f>IF(_xlfn.XLOOKUP(C265,'75'!$C$2:$C$509,'75'!$D$2:$D$509)=D265,'75'!F265)</f>
        <v>no</v>
      </c>
    </row>
    <row r="266" spans="1:6" x14ac:dyDescent="0.45">
      <c r="A266" t="s">
        <v>1313</v>
      </c>
      <c r="B266" t="s">
        <v>1317</v>
      </c>
      <c r="C266" t="s">
        <v>1314</v>
      </c>
      <c r="D266" t="s">
        <v>1318</v>
      </c>
      <c r="E266">
        <v>83</v>
      </c>
      <c r="F266" t="s">
        <v>1513</v>
      </c>
    </row>
    <row r="267" spans="1:6" x14ac:dyDescent="0.45">
      <c r="A267" t="s">
        <v>1383</v>
      </c>
      <c r="B267" t="s">
        <v>1380</v>
      </c>
      <c r="C267" t="s">
        <v>1384</v>
      </c>
      <c r="D267" t="s">
        <v>1382</v>
      </c>
      <c r="E267">
        <v>86</v>
      </c>
      <c r="F267" t="str">
        <f>IF(_xlfn.XLOOKUP(C267,'75'!$C$2:$C$509,'75'!$D$2:$D$509)=D267,'75'!F267)</f>
        <v>no</v>
      </c>
    </row>
    <row r="268" spans="1:6" x14ac:dyDescent="0.45">
      <c r="A268" t="s">
        <v>1315</v>
      </c>
      <c r="B268" t="s">
        <v>1317</v>
      </c>
      <c r="C268" t="s">
        <v>1316</v>
      </c>
      <c r="D268" t="s">
        <v>1318</v>
      </c>
      <c r="E268">
        <v>83</v>
      </c>
      <c r="F268" t="str">
        <f>IF(_xlfn.XLOOKUP(C268,'75'!$C$2:$C$509,'75'!$D$2:$D$509)=D268,'75'!F268)</f>
        <v>no</v>
      </c>
    </row>
    <row r="269" spans="1:6" x14ac:dyDescent="0.45">
      <c r="A269" t="s">
        <v>1385</v>
      </c>
      <c r="B269" t="s">
        <v>1386</v>
      </c>
      <c r="C269" t="s">
        <v>1387</v>
      </c>
      <c r="D269" t="s">
        <v>1388</v>
      </c>
      <c r="E269">
        <v>89</v>
      </c>
      <c r="F269" t="str">
        <f>IF(_xlfn.XLOOKUP(C269,'75'!$C$2:$C$509,'75'!$D$2:$D$509)=D269,'75'!F269)</f>
        <v>ok</v>
      </c>
    </row>
    <row r="270" spans="1:6" x14ac:dyDescent="0.45">
      <c r="A270" t="s">
        <v>1389</v>
      </c>
      <c r="B270" t="s">
        <v>1351</v>
      </c>
      <c r="C270" t="s">
        <v>1390</v>
      </c>
      <c r="D270" t="s">
        <v>1352</v>
      </c>
      <c r="E270">
        <v>80</v>
      </c>
      <c r="F270" t="str">
        <f>IF(_xlfn.XLOOKUP(C270,'75'!$C$2:$C$509,'75'!$D$2:$D$509)=D270,'75'!F270)</f>
        <v>ok</v>
      </c>
    </row>
    <row r="271" spans="1:6" x14ac:dyDescent="0.45">
      <c r="A271" t="s">
        <v>1319</v>
      </c>
      <c r="B271" t="s">
        <v>1323</v>
      </c>
      <c r="C271" t="s">
        <v>1320</v>
      </c>
      <c r="D271" t="s">
        <v>1324</v>
      </c>
      <c r="E271">
        <v>80</v>
      </c>
      <c r="F271" t="str">
        <f>IF(_xlfn.XLOOKUP(C271,'75'!$C$2:$C$509,'75'!$D$2:$D$509)=D271,'75'!F271)</f>
        <v>no</v>
      </c>
    </row>
    <row r="272" spans="1:6" x14ac:dyDescent="0.45">
      <c r="A272" t="s">
        <v>1319</v>
      </c>
      <c r="B272" t="s">
        <v>1359</v>
      </c>
      <c r="C272" t="s">
        <v>1320</v>
      </c>
      <c r="D272" t="s">
        <v>1360</v>
      </c>
      <c r="E272">
        <v>80</v>
      </c>
      <c r="F272" t="s">
        <v>1513</v>
      </c>
    </row>
    <row r="273" spans="1:6" x14ac:dyDescent="0.45">
      <c r="A273" t="s">
        <v>1391</v>
      </c>
      <c r="B273" t="s">
        <v>1392</v>
      </c>
      <c r="C273" t="s">
        <v>1393</v>
      </c>
      <c r="D273" t="s">
        <v>1394</v>
      </c>
      <c r="E273">
        <v>86</v>
      </c>
      <c r="F273" t="str">
        <f>IF(_xlfn.XLOOKUP(C273,'75'!$C$2:$C$509,'75'!$D$2:$D$509)=D273,'75'!F273)</f>
        <v>no</v>
      </c>
    </row>
    <row r="274" spans="1:6" x14ac:dyDescent="0.45">
      <c r="A274" t="s">
        <v>1359</v>
      </c>
      <c r="B274" t="s">
        <v>1377</v>
      </c>
      <c r="C274" t="s">
        <v>1360</v>
      </c>
      <c r="D274" t="s">
        <v>1378</v>
      </c>
      <c r="E274">
        <v>80</v>
      </c>
      <c r="F274" t="str">
        <f>IF(_xlfn.XLOOKUP(C274,'75'!$C$2:$C$509,'75'!$D$2:$D$509)=D274,'75'!F274)</f>
        <v>ok</v>
      </c>
    </row>
    <row r="275" spans="1:6" x14ac:dyDescent="0.45">
      <c r="A275" t="s">
        <v>1397</v>
      </c>
      <c r="B275" t="s">
        <v>1398</v>
      </c>
      <c r="C275" t="s">
        <v>1399</v>
      </c>
      <c r="D275" t="s">
        <v>1400</v>
      </c>
      <c r="E275">
        <v>83</v>
      </c>
      <c r="F275" t="str">
        <f>IF(_xlfn.XLOOKUP(C275,'75'!$C$2:$C$509,'75'!$D$2:$D$509)=D275,'75'!F275)</f>
        <v>no</v>
      </c>
    </row>
    <row r="276" spans="1:6" x14ac:dyDescent="0.45">
      <c r="A276" t="s">
        <v>1401</v>
      </c>
      <c r="B276" t="s">
        <v>1402</v>
      </c>
      <c r="C276" t="s">
        <v>1403</v>
      </c>
      <c r="D276" t="s">
        <v>1404</v>
      </c>
      <c r="E276">
        <v>84</v>
      </c>
      <c r="F276" t="str">
        <f>IF(_xlfn.XLOOKUP(C276,'75'!$C$2:$C$509,'75'!$D$2:$D$509)=D276,'75'!F276)</f>
        <v>no</v>
      </c>
    </row>
    <row r="277" spans="1:6" x14ac:dyDescent="0.45">
      <c r="A277" t="s">
        <v>1405</v>
      </c>
      <c r="B277" t="s">
        <v>1406</v>
      </c>
      <c r="C277" t="s">
        <v>1407</v>
      </c>
      <c r="D277" t="s">
        <v>1408</v>
      </c>
      <c r="E277">
        <v>83</v>
      </c>
      <c r="F277" t="str">
        <f>IF(_xlfn.XLOOKUP(C277,'75'!$C$2:$C$509,'75'!$D$2:$D$509)=D277,'75'!F277)</f>
        <v>ok</v>
      </c>
    </row>
    <row r="278" spans="1:6" x14ac:dyDescent="0.45">
      <c r="A278" t="s">
        <v>1409</v>
      </c>
      <c r="B278" t="s">
        <v>1410</v>
      </c>
      <c r="C278" t="s">
        <v>1411</v>
      </c>
      <c r="D278" t="s">
        <v>1412</v>
      </c>
      <c r="E278">
        <v>96</v>
      </c>
      <c r="F278" t="str">
        <f>IF(_xlfn.XLOOKUP(C278,'75'!$C$2:$C$509,'75'!$D$2:$D$509)=D278,'75'!F278)</f>
        <v>no</v>
      </c>
    </row>
    <row r="279" spans="1:6" x14ac:dyDescent="0.45">
      <c r="A279" t="s">
        <v>1414</v>
      </c>
      <c r="B279" t="s">
        <v>1417</v>
      </c>
      <c r="C279" t="s">
        <v>1416</v>
      </c>
      <c r="D279" t="s">
        <v>1418</v>
      </c>
      <c r="E279">
        <v>88</v>
      </c>
      <c r="F279" t="s">
        <v>1513</v>
      </c>
    </row>
    <row r="280" spans="1:6" x14ac:dyDescent="0.45">
      <c r="A280" t="s">
        <v>1437</v>
      </c>
      <c r="B280" t="s">
        <v>1434</v>
      </c>
      <c r="C280" t="s">
        <v>1438</v>
      </c>
      <c r="D280" t="s">
        <v>1436</v>
      </c>
      <c r="E280">
        <v>82</v>
      </c>
      <c r="F280" t="str">
        <f>IF(_xlfn.XLOOKUP(C280,'75'!$C$2:$C$509,'75'!$D$2:$D$509)=D280,'75'!F280)</f>
        <v>no</v>
      </c>
    </row>
    <row r="281" spans="1:6" x14ac:dyDescent="0.45">
      <c r="A281" t="s">
        <v>1439</v>
      </c>
      <c r="B281" t="s">
        <v>1440</v>
      </c>
      <c r="C281" t="s">
        <v>1441</v>
      </c>
      <c r="D281" t="s">
        <v>1442</v>
      </c>
      <c r="E281">
        <v>91</v>
      </c>
      <c r="F281" t="str">
        <f>IF(_xlfn.XLOOKUP(C281,'75'!$C$2:$C$509,'75'!$D$2:$D$509)=D281,'75'!F281)</f>
        <v>no</v>
      </c>
    </row>
    <row r="282" spans="1:6" x14ac:dyDescent="0.45">
      <c r="A282" t="s">
        <v>1449</v>
      </c>
      <c r="B282" t="s">
        <v>1461</v>
      </c>
      <c r="C282" t="s">
        <v>1451</v>
      </c>
      <c r="D282" t="s">
        <v>1462</v>
      </c>
      <c r="E282">
        <v>84</v>
      </c>
      <c r="F282" t="s">
        <v>1513</v>
      </c>
    </row>
    <row r="283" spans="1:6" x14ac:dyDescent="0.45">
      <c r="A283" t="s">
        <v>1463</v>
      </c>
      <c r="B283" t="s">
        <v>1464</v>
      </c>
      <c r="C283" t="s">
        <v>1465</v>
      </c>
      <c r="D283" t="s">
        <v>1466</v>
      </c>
      <c r="E283">
        <v>80</v>
      </c>
      <c r="F283" t="str">
        <f>IF(_xlfn.XLOOKUP(C283,'75'!$C$2:$C$509,'75'!$D$2:$D$509)=D283,'75'!F283)</f>
        <v>ok</v>
      </c>
    </row>
    <row r="284" spans="1:6" x14ac:dyDescent="0.45">
      <c r="A284" t="s">
        <v>1475</v>
      </c>
      <c r="B284" t="s">
        <v>1476</v>
      </c>
      <c r="C284" t="s">
        <v>1477</v>
      </c>
      <c r="D284" t="s">
        <v>1478</v>
      </c>
      <c r="E284">
        <v>80</v>
      </c>
      <c r="F284" t="str">
        <f>IF(_xlfn.XLOOKUP(C284,'75'!$C$2:$C$509,'75'!$D$2:$D$509)=D284,'75'!F284)</f>
        <v>no</v>
      </c>
    </row>
    <row r="285" spans="1:6" x14ac:dyDescent="0.45">
      <c r="A285" t="s">
        <v>1464</v>
      </c>
      <c r="B285" t="s">
        <v>1469</v>
      </c>
      <c r="C285" t="s">
        <v>1466</v>
      </c>
      <c r="D285" t="s">
        <v>1470</v>
      </c>
      <c r="E285">
        <v>82</v>
      </c>
      <c r="F285" t="str">
        <f>IF(_xlfn.XLOOKUP(C285,'75'!$C$2:$C$509,'75'!$D$2:$D$509)=D285,'75'!F285)</f>
        <v>no</v>
      </c>
    </row>
    <row r="286" spans="1:6" x14ac:dyDescent="0.45">
      <c r="A286" t="s">
        <v>1479</v>
      </c>
      <c r="B286" t="s">
        <v>1480</v>
      </c>
      <c r="C286" t="s">
        <v>1481</v>
      </c>
      <c r="D286" t="s">
        <v>1482</v>
      </c>
      <c r="E286">
        <v>88</v>
      </c>
      <c r="F286" t="str">
        <f>IF(_xlfn.XLOOKUP(C286,'75'!$C$2:$C$509,'75'!$D$2:$D$509)=D286,'75'!F286)</f>
        <v>no</v>
      </c>
    </row>
    <row r="287" spans="1:6" x14ac:dyDescent="0.45">
      <c r="A287" t="s">
        <v>1491</v>
      </c>
      <c r="B287" t="s">
        <v>1492</v>
      </c>
      <c r="C287" t="s">
        <v>1493</v>
      </c>
      <c r="D287" t="s">
        <v>1494</v>
      </c>
      <c r="E287">
        <v>83</v>
      </c>
      <c r="F287" t="str">
        <f>IF(_xlfn.XLOOKUP(C287,'75'!$C$2:$C$509,'75'!$D$2:$D$509)=D287,'75'!F287)</f>
        <v>ok</v>
      </c>
    </row>
    <row r="288" spans="1:6" x14ac:dyDescent="0.45">
      <c r="A288" t="s">
        <v>1455</v>
      </c>
      <c r="B288" t="s">
        <v>1457</v>
      </c>
      <c r="C288" t="s">
        <v>1456</v>
      </c>
      <c r="D288" t="s">
        <v>1458</v>
      </c>
      <c r="E288">
        <v>86</v>
      </c>
      <c r="F288" t="str">
        <f>IF(_xlfn.XLOOKUP(C288,'75'!$C$2:$C$509,'75'!$D$2:$D$509)=D288,'75'!F288)</f>
        <v>no</v>
      </c>
    </row>
    <row r="289" spans="1:6" x14ac:dyDescent="0.45">
      <c r="A289" t="s">
        <v>1455</v>
      </c>
      <c r="B289" t="s">
        <v>1459</v>
      </c>
      <c r="C289" t="s">
        <v>1456</v>
      </c>
      <c r="D289" t="s">
        <v>1460</v>
      </c>
      <c r="E289">
        <v>86</v>
      </c>
      <c r="F289" t="s">
        <v>1513</v>
      </c>
    </row>
    <row r="290" spans="1:6" x14ac:dyDescent="0.45">
      <c r="A290" t="s">
        <v>1507</v>
      </c>
      <c r="B290" t="s">
        <v>1508</v>
      </c>
      <c r="C290" t="s">
        <v>1509</v>
      </c>
      <c r="D290" t="s">
        <v>1510</v>
      </c>
      <c r="E290">
        <v>92</v>
      </c>
      <c r="F290" t="str">
        <f>IF(_xlfn.XLOOKUP(C290,'75'!$C$2:$C$509,'75'!$D$2:$D$509)=D290,'75'!F290)</f>
        <v>no</v>
      </c>
    </row>
    <row r="291" spans="1:6" x14ac:dyDescent="0.45">
      <c r="A291" t="s">
        <v>1457</v>
      </c>
      <c r="B291" t="s">
        <v>1459</v>
      </c>
      <c r="C291" t="s">
        <v>1458</v>
      </c>
      <c r="D291" t="s">
        <v>1460</v>
      </c>
      <c r="E291">
        <v>86</v>
      </c>
      <c r="F291" t="str">
        <f>IF(_xlfn.XLOOKUP(C291,'75'!$C$2:$C$509,'75'!$D$2:$D$509)=D291,'75'!F291)</f>
        <v>ok</v>
      </c>
    </row>
    <row r="292" spans="1:6" x14ac:dyDescent="0.45">
      <c r="A292" t="s">
        <v>1457</v>
      </c>
      <c r="B292" t="s">
        <v>1497</v>
      </c>
      <c r="C292" t="s">
        <v>1458</v>
      </c>
      <c r="D292" t="s">
        <v>1498</v>
      </c>
      <c r="E292">
        <v>82</v>
      </c>
      <c r="F292" t="s">
        <v>1513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36A0-7858-4549-968C-CA9801307FFB}">
  <dimension ref="A1:J221"/>
  <sheetViews>
    <sheetView workbookViewId="0">
      <selection activeCell="F3" sqref="F3"/>
    </sheetView>
  </sheetViews>
  <sheetFormatPr defaultRowHeight="14.25" x14ac:dyDescent="0.45"/>
  <cols>
    <col min="1" max="1" width="26.86328125" bestFit="1" customWidth="1"/>
    <col min="2" max="2" width="25.06640625" bestFit="1" customWidth="1"/>
    <col min="3" max="4" width="11.73046875" bestFit="1" customWidth="1"/>
    <col min="5" max="5" width="13.4648437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1516</v>
      </c>
    </row>
    <row r="2" spans="1:10" x14ac:dyDescent="0.45">
      <c r="A2" t="s">
        <v>5</v>
      </c>
      <c r="B2" t="s">
        <v>6</v>
      </c>
      <c r="C2" t="s">
        <v>7</v>
      </c>
      <c r="D2" t="s">
        <v>8</v>
      </c>
      <c r="E2">
        <v>92</v>
      </c>
      <c r="F2" t="str">
        <f>IF(_xlfn.XLOOKUP(C2,'75'!$C$2:$C$509,'75'!$D$2:$D$509)=D2,'75'!F2)</f>
        <v>ok</v>
      </c>
      <c r="H2" t="s">
        <v>1517</v>
      </c>
      <c r="I2">
        <f>COUNTIF(F2:F221, "ok")/220</f>
        <v>0.40454545454545454</v>
      </c>
      <c r="J2">
        <f>COUNTIF(F2:F221,"ok")</f>
        <v>89</v>
      </c>
    </row>
    <row r="3" spans="1:10" x14ac:dyDescent="0.45">
      <c r="A3" t="s">
        <v>19</v>
      </c>
      <c r="B3" t="s">
        <v>20</v>
      </c>
      <c r="C3" t="s">
        <v>21</v>
      </c>
      <c r="D3" t="s">
        <v>22</v>
      </c>
      <c r="E3">
        <v>94</v>
      </c>
      <c r="F3" t="str">
        <f>IF(_xlfn.XLOOKUP(C3,'75'!$C$2:$C$509,'75'!$D$2:$D$509)=D3,'75'!F3)</f>
        <v>no</v>
      </c>
      <c r="H3" t="s">
        <v>1518</v>
      </c>
      <c r="I3">
        <f>COUNTIF(F2:F221, "no")/220</f>
        <v>0.59545454545454546</v>
      </c>
      <c r="J3">
        <f>COUNTIF(F2:F221, "no")</f>
        <v>131</v>
      </c>
    </row>
    <row r="4" spans="1:10" x14ac:dyDescent="0.45">
      <c r="A4" t="s">
        <v>31</v>
      </c>
      <c r="B4" t="s">
        <v>32</v>
      </c>
      <c r="C4" t="s">
        <v>33</v>
      </c>
      <c r="D4" t="s">
        <v>34</v>
      </c>
      <c r="E4">
        <v>85</v>
      </c>
      <c r="F4" t="str">
        <f>IF(_xlfn.XLOOKUP(C4,'75'!$C$2:$C$509,'75'!$D$2:$D$509)=D4,'75'!F4)</f>
        <v>no</v>
      </c>
    </row>
    <row r="5" spans="1:10" x14ac:dyDescent="0.45">
      <c r="A5" t="s">
        <v>24</v>
      </c>
      <c r="B5" t="s">
        <v>13</v>
      </c>
      <c r="C5" t="s">
        <v>26</v>
      </c>
      <c r="D5" t="s">
        <v>14</v>
      </c>
      <c r="E5">
        <v>83</v>
      </c>
      <c r="F5" t="str">
        <f>IF(_xlfn.XLOOKUP(C5,'75'!$C$2:$C$509,'75'!$D$2:$D$509)=D5,'75'!F5)</f>
        <v>no</v>
      </c>
    </row>
    <row r="6" spans="1:10" x14ac:dyDescent="0.45">
      <c r="A6" t="s">
        <v>49</v>
      </c>
      <c r="B6" t="s">
        <v>50</v>
      </c>
      <c r="C6" t="s">
        <v>51</v>
      </c>
      <c r="D6" t="s">
        <v>52</v>
      </c>
      <c r="E6">
        <v>83</v>
      </c>
      <c r="F6" t="str">
        <f>IF(_xlfn.XLOOKUP(C6,'75'!$C$2:$C$509,'75'!$D$2:$D$509)=D6,'75'!F6)</f>
        <v>ok</v>
      </c>
    </row>
    <row r="7" spans="1:10" x14ac:dyDescent="0.45">
      <c r="A7" t="s">
        <v>57</v>
      </c>
      <c r="B7" t="s">
        <v>58</v>
      </c>
      <c r="C7" t="s">
        <v>59</v>
      </c>
      <c r="D7" t="s">
        <v>60</v>
      </c>
      <c r="E7">
        <v>85</v>
      </c>
      <c r="F7" t="str">
        <f>IF(_xlfn.XLOOKUP(C7,'75'!$C$2:$C$509,'75'!$D$2:$D$509)=D7,'75'!F7)</f>
        <v>no</v>
      </c>
    </row>
    <row r="8" spans="1:10" x14ac:dyDescent="0.45">
      <c r="A8" t="s">
        <v>71</v>
      </c>
      <c r="B8" t="s">
        <v>72</v>
      </c>
      <c r="C8" t="s">
        <v>73</v>
      </c>
      <c r="D8" t="s">
        <v>74</v>
      </c>
      <c r="E8">
        <v>83</v>
      </c>
      <c r="F8" t="str">
        <f>IF(_xlfn.XLOOKUP(C8,'75'!$C$2:$C$509,'75'!$D$2:$D$509)=D8,'75'!F8)</f>
        <v>no</v>
      </c>
    </row>
    <row r="9" spans="1:10" x14ac:dyDescent="0.45">
      <c r="A9" t="s">
        <v>79</v>
      </c>
      <c r="B9" t="s">
        <v>83</v>
      </c>
      <c r="C9" t="s">
        <v>81</v>
      </c>
      <c r="D9" t="s">
        <v>84</v>
      </c>
      <c r="E9">
        <v>90</v>
      </c>
      <c r="F9" t="s">
        <v>1513</v>
      </c>
    </row>
    <row r="10" spans="1:10" x14ac:dyDescent="0.45">
      <c r="A10" t="s">
        <v>85</v>
      </c>
      <c r="B10" t="s">
        <v>86</v>
      </c>
      <c r="C10" t="s">
        <v>87</v>
      </c>
      <c r="D10" t="s">
        <v>88</v>
      </c>
      <c r="E10">
        <v>90</v>
      </c>
      <c r="F10" t="str">
        <f>IF(_xlfn.XLOOKUP(C10,'75'!$C$2:$C$509,'75'!$D$2:$D$509)=D10,'75'!F10)</f>
        <v>no</v>
      </c>
    </row>
    <row r="11" spans="1:10" x14ac:dyDescent="0.45">
      <c r="A11" t="s">
        <v>89</v>
      </c>
      <c r="B11" t="s">
        <v>90</v>
      </c>
      <c r="C11" t="s">
        <v>91</v>
      </c>
      <c r="D11" t="s">
        <v>92</v>
      </c>
      <c r="E11">
        <v>94</v>
      </c>
      <c r="F11" t="str">
        <f>IF(_xlfn.XLOOKUP(C11,'75'!$C$2:$C$509,'75'!$D$2:$D$509)=D11,'75'!F11)</f>
        <v>ok</v>
      </c>
    </row>
    <row r="12" spans="1:10" x14ac:dyDescent="0.45">
      <c r="A12" t="s">
        <v>97</v>
      </c>
      <c r="B12" t="s">
        <v>98</v>
      </c>
      <c r="C12" t="s">
        <v>99</v>
      </c>
      <c r="D12" t="s">
        <v>100</v>
      </c>
      <c r="E12">
        <v>92</v>
      </c>
      <c r="F12" t="str">
        <f>IF(_xlfn.XLOOKUP(C12,'75'!$C$2:$C$509,'75'!$D$2:$D$509)=D12,'75'!F12)</f>
        <v>no</v>
      </c>
    </row>
    <row r="13" spans="1:10" x14ac:dyDescent="0.45">
      <c r="A13" t="s">
        <v>101</v>
      </c>
      <c r="B13" t="s">
        <v>102</v>
      </c>
      <c r="C13" t="s">
        <v>103</v>
      </c>
      <c r="D13" t="s">
        <v>104</v>
      </c>
      <c r="E13">
        <v>88</v>
      </c>
      <c r="F13" t="str">
        <f>IF(_xlfn.XLOOKUP(C13,'75'!$C$2:$C$509,'75'!$D$2:$D$509)=D13,'75'!F13)</f>
        <v>no</v>
      </c>
    </row>
    <row r="14" spans="1:10" x14ac:dyDescent="0.45">
      <c r="A14" t="s">
        <v>109</v>
      </c>
      <c r="B14" t="s">
        <v>110</v>
      </c>
      <c r="C14" t="s">
        <v>111</v>
      </c>
      <c r="D14" t="s">
        <v>112</v>
      </c>
      <c r="E14">
        <v>85</v>
      </c>
      <c r="F14" t="str">
        <f>IF(_xlfn.XLOOKUP(C14,'75'!$C$2:$C$509,'75'!$D$2:$D$509)=D14,'75'!F14)</f>
        <v>ok</v>
      </c>
    </row>
    <row r="15" spans="1:10" x14ac:dyDescent="0.45">
      <c r="A15" t="s">
        <v>121</v>
      </c>
      <c r="B15" t="s">
        <v>122</v>
      </c>
      <c r="C15" t="s">
        <v>123</v>
      </c>
      <c r="D15" t="s">
        <v>124</v>
      </c>
      <c r="E15">
        <v>92</v>
      </c>
      <c r="F15" t="str">
        <f>IF(_xlfn.XLOOKUP(C15,'75'!$C$2:$C$509,'75'!$D$2:$D$509)=D15,'75'!F15)</f>
        <v>no</v>
      </c>
    </row>
    <row r="16" spans="1:10" x14ac:dyDescent="0.45">
      <c r="A16" t="s">
        <v>149</v>
      </c>
      <c r="B16" t="s">
        <v>150</v>
      </c>
      <c r="C16" t="s">
        <v>151</v>
      </c>
      <c r="D16" t="s">
        <v>152</v>
      </c>
      <c r="E16">
        <v>94</v>
      </c>
      <c r="F16" t="str">
        <f>IF(_xlfn.XLOOKUP(C16,'75'!$C$2:$C$509,'75'!$D$2:$D$509)=D16,'75'!F16)</f>
        <v>no</v>
      </c>
    </row>
    <row r="17" spans="1:6" x14ac:dyDescent="0.45">
      <c r="A17" t="s">
        <v>153</v>
      </c>
      <c r="B17" t="s">
        <v>154</v>
      </c>
      <c r="C17" t="s">
        <v>155</v>
      </c>
      <c r="D17" t="s">
        <v>156</v>
      </c>
      <c r="E17">
        <v>92</v>
      </c>
      <c r="F17" t="str">
        <f>IF(_xlfn.XLOOKUP(C17,'75'!$C$2:$C$509,'75'!$D$2:$D$509)=D17,'75'!F17)</f>
        <v>ok</v>
      </c>
    </row>
    <row r="18" spans="1:6" x14ac:dyDescent="0.45">
      <c r="A18" t="s">
        <v>159</v>
      </c>
      <c r="B18" t="s">
        <v>160</v>
      </c>
      <c r="C18" t="s">
        <v>161</v>
      </c>
      <c r="D18" t="s">
        <v>162</v>
      </c>
      <c r="E18">
        <v>98</v>
      </c>
      <c r="F18" t="str">
        <f>IF(_xlfn.XLOOKUP(C18,'75'!$C$2:$C$509,'75'!$D$2:$D$509)=D18,'75'!F18)</f>
        <v>no</v>
      </c>
    </row>
    <row r="19" spans="1:6" x14ac:dyDescent="0.45">
      <c r="A19" t="s">
        <v>163</v>
      </c>
      <c r="B19" t="s">
        <v>164</v>
      </c>
      <c r="C19" t="s">
        <v>165</v>
      </c>
      <c r="D19" t="s">
        <v>166</v>
      </c>
      <c r="E19">
        <v>94</v>
      </c>
      <c r="F19" t="str">
        <f>IF(_xlfn.XLOOKUP(C19,'75'!$C$2:$C$509,'75'!$D$2:$D$509)=D19,'75'!F19)</f>
        <v>ok</v>
      </c>
    </row>
    <row r="20" spans="1:6" x14ac:dyDescent="0.45">
      <c r="A20" t="s">
        <v>167</v>
      </c>
      <c r="B20" t="s">
        <v>168</v>
      </c>
      <c r="C20" t="s">
        <v>169</v>
      </c>
      <c r="D20" t="s">
        <v>170</v>
      </c>
      <c r="E20">
        <v>97</v>
      </c>
      <c r="F20" t="str">
        <f>IF(_xlfn.XLOOKUP(C20,'75'!$C$2:$C$509,'75'!$D$2:$D$509)=D20,'75'!F20)</f>
        <v>no</v>
      </c>
    </row>
    <row r="21" spans="1:6" x14ac:dyDescent="0.45">
      <c r="A21" t="s">
        <v>171</v>
      </c>
      <c r="B21" t="s">
        <v>172</v>
      </c>
      <c r="C21" t="s">
        <v>173</v>
      </c>
      <c r="D21" t="s">
        <v>174</v>
      </c>
      <c r="E21">
        <v>87</v>
      </c>
      <c r="F21" t="str">
        <f>IF(_xlfn.XLOOKUP(C21,'75'!$C$2:$C$509,'75'!$D$2:$D$509)=D21,'75'!F21)</f>
        <v>no</v>
      </c>
    </row>
    <row r="22" spans="1:6" x14ac:dyDescent="0.45">
      <c r="A22" t="s">
        <v>179</v>
      </c>
      <c r="B22" t="s">
        <v>180</v>
      </c>
      <c r="C22" t="s">
        <v>181</v>
      </c>
      <c r="D22" t="s">
        <v>182</v>
      </c>
      <c r="E22">
        <v>88</v>
      </c>
      <c r="F22" t="str">
        <f>IF(_xlfn.XLOOKUP(C22,'75'!$C$2:$C$509,'75'!$D$2:$D$509)=D22,'75'!F22)</f>
        <v>no</v>
      </c>
    </row>
    <row r="23" spans="1:6" x14ac:dyDescent="0.45">
      <c r="A23" t="s">
        <v>191</v>
      </c>
      <c r="B23" t="s">
        <v>192</v>
      </c>
      <c r="C23" t="s">
        <v>193</v>
      </c>
      <c r="D23" t="s">
        <v>194</v>
      </c>
      <c r="E23">
        <v>93</v>
      </c>
      <c r="F23" t="str">
        <f>IF(_xlfn.XLOOKUP(C23,'75'!$C$2:$C$509,'75'!$D$2:$D$509)=D23,'75'!F23)</f>
        <v>ok</v>
      </c>
    </row>
    <row r="24" spans="1:6" x14ac:dyDescent="0.45">
      <c r="A24" t="s">
        <v>191</v>
      </c>
      <c r="B24" t="s">
        <v>195</v>
      </c>
      <c r="C24" t="s">
        <v>193</v>
      </c>
      <c r="D24" t="s">
        <v>196</v>
      </c>
      <c r="E24">
        <v>97</v>
      </c>
      <c r="F24" t="s">
        <v>1512</v>
      </c>
    </row>
    <row r="25" spans="1:6" x14ac:dyDescent="0.45">
      <c r="A25" t="s">
        <v>211</v>
      </c>
      <c r="B25" t="s">
        <v>209</v>
      </c>
      <c r="C25" t="s">
        <v>212</v>
      </c>
      <c r="D25" t="s">
        <v>210</v>
      </c>
      <c r="E25">
        <v>88</v>
      </c>
      <c r="F25" t="s">
        <v>1513</v>
      </c>
    </row>
    <row r="26" spans="1:6" x14ac:dyDescent="0.45">
      <c r="A26" t="s">
        <v>213</v>
      </c>
      <c r="B26" t="s">
        <v>214</v>
      </c>
      <c r="C26" t="s">
        <v>215</v>
      </c>
      <c r="D26" t="s">
        <v>216</v>
      </c>
      <c r="E26">
        <v>92</v>
      </c>
      <c r="F26" t="str">
        <f>IF(_xlfn.XLOOKUP(C26,'75'!$C$2:$C$509,'75'!$D$2:$D$509)=D26,'75'!F26)</f>
        <v>no</v>
      </c>
    </row>
    <row r="27" spans="1:6" x14ac:dyDescent="0.45">
      <c r="A27" t="s">
        <v>217</v>
      </c>
      <c r="B27" t="s">
        <v>221</v>
      </c>
      <c r="C27" t="s">
        <v>219</v>
      </c>
      <c r="D27" t="s">
        <v>222</v>
      </c>
      <c r="E27">
        <v>89</v>
      </c>
      <c r="F27" t="s">
        <v>1512</v>
      </c>
    </row>
    <row r="28" spans="1:6" x14ac:dyDescent="0.45">
      <c r="A28" t="s">
        <v>231</v>
      </c>
      <c r="B28" t="s">
        <v>232</v>
      </c>
      <c r="C28" t="s">
        <v>233</v>
      </c>
      <c r="D28" t="s">
        <v>234</v>
      </c>
      <c r="E28">
        <v>83</v>
      </c>
      <c r="F28" t="str">
        <f>IF(_xlfn.XLOOKUP(C28,'75'!$C$2:$C$509,'75'!$D$2:$D$509)=D28,'75'!F28)</f>
        <v>ok</v>
      </c>
    </row>
    <row r="29" spans="1:6" x14ac:dyDescent="0.45">
      <c r="A29" t="s">
        <v>231</v>
      </c>
      <c r="B29" t="s">
        <v>235</v>
      </c>
      <c r="C29" t="s">
        <v>233</v>
      </c>
      <c r="D29" t="s">
        <v>236</v>
      </c>
      <c r="E29">
        <v>93</v>
      </c>
      <c r="F29" t="s">
        <v>1512</v>
      </c>
    </row>
    <row r="30" spans="1:6" x14ac:dyDescent="0.45">
      <c r="A30" t="s">
        <v>237</v>
      </c>
      <c r="B30" t="s">
        <v>238</v>
      </c>
      <c r="C30" t="s">
        <v>239</v>
      </c>
      <c r="D30" t="s">
        <v>240</v>
      </c>
      <c r="E30">
        <v>91</v>
      </c>
      <c r="F30" t="str">
        <f>IF(_xlfn.XLOOKUP(C30,'75'!$C$2:$C$509,'75'!$D$2:$D$509)=D30,'75'!F30)</f>
        <v>ok</v>
      </c>
    </row>
    <row r="31" spans="1:6" x14ac:dyDescent="0.45">
      <c r="A31" t="s">
        <v>253</v>
      </c>
      <c r="B31" t="s">
        <v>254</v>
      </c>
      <c r="C31" t="s">
        <v>255</v>
      </c>
      <c r="D31" t="s">
        <v>256</v>
      </c>
      <c r="E31">
        <v>85</v>
      </c>
      <c r="F31" t="str">
        <f>IF(_xlfn.XLOOKUP(C31,'75'!$C$2:$C$509,'75'!$D$2:$D$509)=D31,'75'!F31)</f>
        <v>ok</v>
      </c>
    </row>
    <row r="32" spans="1:6" x14ac:dyDescent="0.45">
      <c r="A32" t="s">
        <v>259</v>
      </c>
      <c r="B32" t="s">
        <v>260</v>
      </c>
      <c r="C32" t="s">
        <v>261</v>
      </c>
      <c r="D32" t="s">
        <v>262</v>
      </c>
      <c r="E32">
        <v>82</v>
      </c>
      <c r="F32" t="str">
        <f>IF(_xlfn.XLOOKUP(C32,'75'!$C$2:$C$509,'75'!$D$2:$D$509)=D32,'75'!F32)</f>
        <v>no</v>
      </c>
    </row>
    <row r="33" spans="1:6" x14ac:dyDescent="0.45">
      <c r="A33" t="s">
        <v>259</v>
      </c>
      <c r="B33" t="s">
        <v>263</v>
      </c>
      <c r="C33" t="s">
        <v>261</v>
      </c>
      <c r="D33" t="s">
        <v>264</v>
      </c>
      <c r="E33">
        <v>96</v>
      </c>
      <c r="F33" t="s">
        <v>1513</v>
      </c>
    </row>
    <row r="34" spans="1:6" x14ac:dyDescent="0.45">
      <c r="A34" t="s">
        <v>205</v>
      </c>
      <c r="B34" t="s">
        <v>209</v>
      </c>
      <c r="C34" t="s">
        <v>206</v>
      </c>
      <c r="D34" t="s">
        <v>210</v>
      </c>
      <c r="E34">
        <v>86</v>
      </c>
      <c r="F34" t="s">
        <v>1513</v>
      </c>
    </row>
    <row r="35" spans="1:6" x14ac:dyDescent="0.45">
      <c r="A35" t="s">
        <v>269</v>
      </c>
      <c r="B35" t="s">
        <v>270</v>
      </c>
      <c r="C35" t="s">
        <v>271</v>
      </c>
      <c r="D35" t="s">
        <v>272</v>
      </c>
      <c r="E35">
        <v>83</v>
      </c>
      <c r="F35" t="str">
        <f>IF(_xlfn.XLOOKUP(C35,'75'!$C$2:$C$509,'75'!$D$2:$D$509)=D35,'75'!F35)</f>
        <v>ok</v>
      </c>
    </row>
    <row r="36" spans="1:6" x14ac:dyDescent="0.45">
      <c r="A36" t="s">
        <v>279</v>
      </c>
      <c r="B36" t="s">
        <v>189</v>
      </c>
      <c r="C36" t="s">
        <v>280</v>
      </c>
      <c r="D36" t="s">
        <v>190</v>
      </c>
      <c r="E36">
        <v>95</v>
      </c>
      <c r="F36" t="str">
        <f>IF(_xlfn.XLOOKUP(C36,'75'!$C$2:$C$509,'75'!$D$2:$D$509)=D36,'75'!F36)</f>
        <v>ok</v>
      </c>
    </row>
    <row r="37" spans="1:6" x14ac:dyDescent="0.45">
      <c r="A37" t="s">
        <v>281</v>
      </c>
      <c r="B37" t="s">
        <v>282</v>
      </c>
      <c r="C37" t="s">
        <v>283</v>
      </c>
      <c r="D37" t="s">
        <v>284</v>
      </c>
      <c r="E37">
        <v>95</v>
      </c>
      <c r="F37" t="str">
        <f>IF(_xlfn.XLOOKUP(C37,'75'!$C$2:$C$509,'75'!$D$2:$D$509)=D37,'75'!F37)</f>
        <v>no</v>
      </c>
    </row>
    <row r="38" spans="1:6" x14ac:dyDescent="0.45">
      <c r="A38" t="s">
        <v>266</v>
      </c>
      <c r="B38" t="s">
        <v>289</v>
      </c>
      <c r="C38" t="s">
        <v>268</v>
      </c>
      <c r="D38" t="s">
        <v>290</v>
      </c>
      <c r="E38">
        <v>86</v>
      </c>
      <c r="F38" t="str">
        <f>IF(_xlfn.XLOOKUP(C38,'75'!$C$2:$C$509,'75'!$D$2:$D$509)=D38,'75'!F38)</f>
        <v>no</v>
      </c>
    </row>
    <row r="39" spans="1:6" x14ac:dyDescent="0.45">
      <c r="A39" t="s">
        <v>291</v>
      </c>
      <c r="B39" t="s">
        <v>292</v>
      </c>
      <c r="C39" t="s">
        <v>293</v>
      </c>
      <c r="D39" t="s">
        <v>294</v>
      </c>
      <c r="E39">
        <v>94</v>
      </c>
      <c r="F39" t="str">
        <f>IF(_xlfn.XLOOKUP(C39,'75'!$C$2:$C$509,'75'!$D$2:$D$509)=D39,'75'!F39)</f>
        <v>ok</v>
      </c>
    </row>
    <row r="40" spans="1:6" x14ac:dyDescent="0.45">
      <c r="A40" t="s">
        <v>218</v>
      </c>
      <c r="B40" t="s">
        <v>221</v>
      </c>
      <c r="C40" t="s">
        <v>220</v>
      </c>
      <c r="D40" t="s">
        <v>222</v>
      </c>
      <c r="E40">
        <v>92</v>
      </c>
      <c r="F40" t="str">
        <f>IF(_xlfn.XLOOKUP(C40,'75'!$C$2:$C$509,'75'!$D$2:$D$509)=D40,'75'!F40)</f>
        <v>ok</v>
      </c>
    </row>
    <row r="41" spans="1:6" x14ac:dyDescent="0.45">
      <c r="A41" t="s">
        <v>192</v>
      </c>
      <c r="B41" t="s">
        <v>195</v>
      </c>
      <c r="C41" t="s">
        <v>194</v>
      </c>
      <c r="D41" t="s">
        <v>196</v>
      </c>
      <c r="E41">
        <v>97</v>
      </c>
      <c r="F41" t="str">
        <f>IF(_xlfn.XLOOKUP(C41,'75'!$C$2:$C$509,'75'!$D$2:$D$509)=D41,'75'!F41)</f>
        <v>no</v>
      </c>
    </row>
    <row r="42" spans="1:6" x14ac:dyDescent="0.45">
      <c r="A42" t="s">
        <v>307</v>
      </c>
      <c r="B42" t="s">
        <v>308</v>
      </c>
      <c r="C42" t="s">
        <v>309</v>
      </c>
      <c r="D42" t="s">
        <v>310</v>
      </c>
      <c r="E42">
        <v>89</v>
      </c>
      <c r="F42" t="str">
        <f>IF(_xlfn.XLOOKUP(C42,'75'!$C$2:$C$509,'75'!$D$2:$D$509)=D42,'75'!F42)</f>
        <v>no</v>
      </c>
    </row>
    <row r="43" spans="1:6" x14ac:dyDescent="0.45">
      <c r="A43" t="s">
        <v>319</v>
      </c>
      <c r="B43" t="s">
        <v>320</v>
      </c>
      <c r="C43" t="s">
        <v>321</v>
      </c>
      <c r="D43" t="s">
        <v>322</v>
      </c>
      <c r="E43">
        <v>92</v>
      </c>
      <c r="F43" t="str">
        <f>IF(_xlfn.XLOOKUP(C43,'75'!$C$2:$C$509,'75'!$D$2:$D$509)=D43,'75'!F43)</f>
        <v>ok</v>
      </c>
    </row>
    <row r="44" spans="1:6" x14ac:dyDescent="0.45">
      <c r="A44" t="s">
        <v>327</v>
      </c>
      <c r="B44" t="s">
        <v>328</v>
      </c>
      <c r="C44" t="s">
        <v>329</v>
      </c>
      <c r="D44" t="s">
        <v>330</v>
      </c>
      <c r="E44">
        <v>86</v>
      </c>
      <c r="F44" t="str">
        <f>IF(_xlfn.XLOOKUP(C44,'75'!$C$2:$C$509,'75'!$D$2:$D$509)=D44,'75'!F44)</f>
        <v>ok</v>
      </c>
    </row>
    <row r="45" spans="1:6" x14ac:dyDescent="0.45">
      <c r="A45" t="s">
        <v>335</v>
      </c>
      <c r="B45" t="s">
        <v>336</v>
      </c>
      <c r="C45" t="s">
        <v>337</v>
      </c>
      <c r="D45" t="s">
        <v>338</v>
      </c>
      <c r="E45">
        <v>83</v>
      </c>
      <c r="F45" t="str">
        <f>IF(_xlfn.XLOOKUP(C45,'75'!$C$2:$C$509,'75'!$D$2:$D$509)=D45,'75'!F45)</f>
        <v>no</v>
      </c>
    </row>
    <row r="46" spans="1:6" x14ac:dyDescent="0.45">
      <c r="A46" t="s">
        <v>339</v>
      </c>
      <c r="B46" t="s">
        <v>340</v>
      </c>
      <c r="C46" t="s">
        <v>341</v>
      </c>
      <c r="D46" t="s">
        <v>342</v>
      </c>
      <c r="E46">
        <v>85</v>
      </c>
      <c r="F46" t="str">
        <f>IF(_xlfn.XLOOKUP(C46,'75'!$C$2:$C$509,'75'!$D$2:$D$509)=D46,'75'!F46)</f>
        <v>ok</v>
      </c>
    </row>
    <row r="47" spans="1:6" x14ac:dyDescent="0.45">
      <c r="A47" t="s">
        <v>339</v>
      </c>
      <c r="B47" t="s">
        <v>343</v>
      </c>
      <c r="C47" t="s">
        <v>341</v>
      </c>
      <c r="D47" t="s">
        <v>344</v>
      </c>
      <c r="E47">
        <v>93</v>
      </c>
      <c r="F47" t="s">
        <v>1512</v>
      </c>
    </row>
    <row r="48" spans="1:6" x14ac:dyDescent="0.45">
      <c r="A48" t="s">
        <v>349</v>
      </c>
      <c r="B48" t="s">
        <v>350</v>
      </c>
      <c r="C48" t="s">
        <v>351</v>
      </c>
      <c r="D48" t="s">
        <v>352</v>
      </c>
      <c r="E48">
        <v>90</v>
      </c>
      <c r="F48" t="str">
        <f>IF(_xlfn.XLOOKUP(C48,'75'!$C$2:$C$509,'75'!$D$2:$D$509)=D48,'75'!F48)</f>
        <v>ok</v>
      </c>
    </row>
    <row r="49" spans="1:6" x14ac:dyDescent="0.45">
      <c r="A49" t="s">
        <v>369</v>
      </c>
      <c r="B49" t="s">
        <v>370</v>
      </c>
      <c r="C49" t="s">
        <v>371</v>
      </c>
      <c r="D49" t="s">
        <v>372</v>
      </c>
      <c r="E49">
        <v>90</v>
      </c>
      <c r="F49" t="str">
        <f>IF(_xlfn.XLOOKUP(C49,'75'!$C$2:$C$509,'75'!$D$2:$D$509)=D49,'75'!F49)</f>
        <v>ok</v>
      </c>
    </row>
    <row r="50" spans="1:6" x14ac:dyDescent="0.45">
      <c r="A50" t="s">
        <v>377</v>
      </c>
      <c r="B50" t="s">
        <v>378</v>
      </c>
      <c r="C50" t="s">
        <v>379</v>
      </c>
      <c r="D50" t="s">
        <v>380</v>
      </c>
      <c r="E50">
        <v>93</v>
      </c>
      <c r="F50" t="str">
        <f>IF(_xlfn.XLOOKUP(C50,'75'!$C$2:$C$509,'75'!$D$2:$D$509)=D50,'75'!F50)</f>
        <v>no</v>
      </c>
    </row>
    <row r="51" spans="1:6" x14ac:dyDescent="0.45">
      <c r="A51" t="s">
        <v>381</v>
      </c>
      <c r="B51" t="s">
        <v>382</v>
      </c>
      <c r="C51" t="s">
        <v>383</v>
      </c>
      <c r="D51" t="s">
        <v>384</v>
      </c>
      <c r="E51">
        <v>96</v>
      </c>
      <c r="F51" t="str">
        <f>IF(_xlfn.XLOOKUP(C51,'75'!$C$2:$C$509,'75'!$D$2:$D$509)=D51,'75'!F51)</f>
        <v>no</v>
      </c>
    </row>
    <row r="52" spans="1:6" x14ac:dyDescent="0.45">
      <c r="A52" t="s">
        <v>389</v>
      </c>
      <c r="B52" t="s">
        <v>390</v>
      </c>
      <c r="C52" t="s">
        <v>391</v>
      </c>
      <c r="D52" t="s">
        <v>392</v>
      </c>
      <c r="E52">
        <v>91</v>
      </c>
      <c r="F52" t="str">
        <f>IF(_xlfn.XLOOKUP(C52,'75'!$C$2:$C$509,'75'!$D$2:$D$509)=D52,'75'!F52)</f>
        <v>no</v>
      </c>
    </row>
    <row r="53" spans="1:6" x14ac:dyDescent="0.45">
      <c r="A53" t="s">
        <v>393</v>
      </c>
      <c r="B53" t="s">
        <v>394</v>
      </c>
      <c r="C53" t="s">
        <v>395</v>
      </c>
      <c r="D53" t="s">
        <v>396</v>
      </c>
      <c r="E53">
        <v>91</v>
      </c>
      <c r="F53" t="str">
        <f>IF(_xlfn.XLOOKUP(C53,'75'!$C$2:$C$509,'75'!$D$2:$D$509)=D53,'75'!F53)</f>
        <v>no</v>
      </c>
    </row>
    <row r="54" spans="1:6" x14ac:dyDescent="0.45">
      <c r="A54" t="s">
        <v>401</v>
      </c>
      <c r="B54" t="s">
        <v>402</v>
      </c>
      <c r="C54" t="s">
        <v>403</v>
      </c>
      <c r="D54" t="s">
        <v>404</v>
      </c>
      <c r="E54">
        <v>92</v>
      </c>
      <c r="F54" t="str">
        <f>IF(_xlfn.XLOOKUP(C54,'75'!$C$2:$C$509,'75'!$D$2:$D$509)=D54,'75'!F54)</f>
        <v>no</v>
      </c>
    </row>
    <row r="55" spans="1:6" x14ac:dyDescent="0.45">
      <c r="A55" t="s">
        <v>411</v>
      </c>
      <c r="B55" t="s">
        <v>412</v>
      </c>
      <c r="C55" t="s">
        <v>413</v>
      </c>
      <c r="D55" t="s">
        <v>414</v>
      </c>
      <c r="E55">
        <v>90</v>
      </c>
      <c r="F55" t="str">
        <f>IF(_xlfn.XLOOKUP(C55,'75'!$C$2:$C$509,'75'!$D$2:$D$509)=D55,'75'!F55)</f>
        <v>ok</v>
      </c>
    </row>
    <row r="56" spans="1:6" x14ac:dyDescent="0.45">
      <c r="A56" t="s">
        <v>419</v>
      </c>
      <c r="B56" t="s">
        <v>420</v>
      </c>
      <c r="C56" t="s">
        <v>421</v>
      </c>
      <c r="D56" t="s">
        <v>422</v>
      </c>
      <c r="E56">
        <v>84</v>
      </c>
      <c r="F56" t="str">
        <f>IF(_xlfn.XLOOKUP(C56,'75'!$C$2:$C$509,'75'!$D$2:$D$509)=D56,'75'!F56)</f>
        <v>ok</v>
      </c>
    </row>
    <row r="57" spans="1:6" x14ac:dyDescent="0.45">
      <c r="A57" t="s">
        <v>433</v>
      </c>
      <c r="B57" t="s">
        <v>434</v>
      </c>
      <c r="C57" t="s">
        <v>435</v>
      </c>
      <c r="D57" t="s">
        <v>436</v>
      </c>
      <c r="E57">
        <v>87</v>
      </c>
      <c r="F57" t="str">
        <f>IF(_xlfn.XLOOKUP(C57,'75'!$C$2:$C$509,'75'!$D$2:$D$509)=D57,'75'!F57)</f>
        <v>ok</v>
      </c>
    </row>
    <row r="58" spans="1:6" x14ac:dyDescent="0.45">
      <c r="A58" t="s">
        <v>449</v>
      </c>
      <c r="B58" t="s">
        <v>450</v>
      </c>
      <c r="C58" t="s">
        <v>451</v>
      </c>
      <c r="D58" t="s">
        <v>452</v>
      </c>
      <c r="E58">
        <v>88</v>
      </c>
      <c r="F58" t="str">
        <f>IF(_xlfn.XLOOKUP(C58,'75'!$C$2:$C$509,'75'!$D$2:$D$509)=D58,'75'!F58)</f>
        <v>no</v>
      </c>
    </row>
    <row r="59" spans="1:6" x14ac:dyDescent="0.45">
      <c r="A59" t="s">
        <v>453</v>
      </c>
      <c r="B59" t="s">
        <v>454</v>
      </c>
      <c r="C59" t="s">
        <v>455</v>
      </c>
      <c r="D59" t="s">
        <v>456</v>
      </c>
      <c r="E59">
        <v>92</v>
      </c>
      <c r="F59" t="str">
        <f>IF(_xlfn.XLOOKUP(C59,'75'!$C$2:$C$509,'75'!$D$2:$D$509)=D59,'75'!F59)</f>
        <v>no</v>
      </c>
    </row>
    <row r="60" spans="1:6" x14ac:dyDescent="0.45">
      <c r="A60" t="s">
        <v>459</v>
      </c>
      <c r="B60" t="s">
        <v>460</v>
      </c>
      <c r="C60" t="s">
        <v>461</v>
      </c>
      <c r="D60" t="s">
        <v>462</v>
      </c>
      <c r="E60">
        <v>96</v>
      </c>
      <c r="F60" t="str">
        <f>IF(_xlfn.XLOOKUP(C60,'75'!$C$2:$C$509,'75'!$D$2:$D$509)=D60,'75'!F60)</f>
        <v>no</v>
      </c>
    </row>
    <row r="61" spans="1:6" x14ac:dyDescent="0.45">
      <c r="A61" t="s">
        <v>463</v>
      </c>
      <c r="B61" t="s">
        <v>464</v>
      </c>
      <c r="C61" t="s">
        <v>465</v>
      </c>
      <c r="D61" t="s">
        <v>466</v>
      </c>
      <c r="E61">
        <v>87</v>
      </c>
      <c r="F61" t="str">
        <f>IF(_xlfn.XLOOKUP(C61,'75'!$C$2:$C$509,'75'!$D$2:$D$509)=D61,'75'!F61)</f>
        <v>ok</v>
      </c>
    </row>
    <row r="62" spans="1:6" x14ac:dyDescent="0.45">
      <c r="A62" t="s">
        <v>467</v>
      </c>
      <c r="B62" t="s">
        <v>468</v>
      </c>
      <c r="C62" t="s">
        <v>469</v>
      </c>
      <c r="D62" t="s">
        <v>470</v>
      </c>
      <c r="E62">
        <v>97</v>
      </c>
      <c r="F62" t="str">
        <f>IF(_xlfn.XLOOKUP(C62,'75'!$C$2:$C$509,'75'!$D$2:$D$509)=D62,'75'!F62)</f>
        <v>no</v>
      </c>
    </row>
    <row r="63" spans="1:6" x14ac:dyDescent="0.45">
      <c r="A63" t="s">
        <v>471</v>
      </c>
      <c r="B63" t="s">
        <v>472</v>
      </c>
      <c r="C63" t="s">
        <v>473</v>
      </c>
      <c r="D63" t="s">
        <v>474</v>
      </c>
      <c r="E63">
        <v>97</v>
      </c>
      <c r="F63" t="str">
        <f>IF(_xlfn.XLOOKUP(C63,'75'!$C$2:$C$509,'75'!$D$2:$D$509)=D63,'75'!F63)</f>
        <v>no</v>
      </c>
    </row>
    <row r="64" spans="1:6" x14ac:dyDescent="0.45">
      <c r="A64" t="s">
        <v>479</v>
      </c>
      <c r="B64" t="s">
        <v>480</v>
      </c>
      <c r="C64" t="s">
        <v>481</v>
      </c>
      <c r="D64" t="s">
        <v>482</v>
      </c>
      <c r="E64">
        <v>89</v>
      </c>
      <c r="F64" t="str">
        <f>IF(_xlfn.XLOOKUP(C64,'75'!$C$2:$C$509,'75'!$D$2:$D$509)=D64,'75'!F64)</f>
        <v>no</v>
      </c>
    </row>
    <row r="65" spans="1:6" x14ac:dyDescent="0.45">
      <c r="A65" t="s">
        <v>491</v>
      </c>
      <c r="B65" t="s">
        <v>488</v>
      </c>
      <c r="C65" t="s">
        <v>492</v>
      </c>
      <c r="D65" t="s">
        <v>490</v>
      </c>
      <c r="E65">
        <v>82</v>
      </c>
      <c r="F65" t="str">
        <f>IF(_xlfn.XLOOKUP(C65,'75'!$C$2:$C$509,'75'!$D$2:$D$509)=D65,'75'!F65)</f>
        <v>no</v>
      </c>
    </row>
    <row r="66" spans="1:6" x14ac:dyDescent="0.45">
      <c r="A66" t="s">
        <v>493</v>
      </c>
      <c r="B66" t="s">
        <v>494</v>
      </c>
      <c r="C66" t="s">
        <v>495</v>
      </c>
      <c r="D66" t="s">
        <v>496</v>
      </c>
      <c r="E66">
        <v>84</v>
      </c>
      <c r="F66" t="str">
        <f>IF(_xlfn.XLOOKUP(C66,'75'!$C$2:$C$509,'75'!$D$2:$D$509)=D66,'75'!F66)</f>
        <v>no</v>
      </c>
    </row>
    <row r="67" spans="1:6" x14ac:dyDescent="0.45">
      <c r="A67" t="s">
        <v>497</v>
      </c>
      <c r="B67" t="s">
        <v>498</v>
      </c>
      <c r="C67" t="s">
        <v>499</v>
      </c>
      <c r="D67" t="s">
        <v>500</v>
      </c>
      <c r="E67">
        <v>92</v>
      </c>
      <c r="F67" t="str">
        <f>IF(_xlfn.XLOOKUP(C67,'75'!$C$2:$C$509,'75'!$D$2:$D$509)=D67,'75'!F67)</f>
        <v>ok</v>
      </c>
    </row>
    <row r="68" spans="1:6" x14ac:dyDescent="0.45">
      <c r="A68" t="s">
        <v>501</v>
      </c>
      <c r="B68" t="s">
        <v>502</v>
      </c>
      <c r="C68" t="s">
        <v>503</v>
      </c>
      <c r="D68" t="s">
        <v>504</v>
      </c>
      <c r="E68">
        <v>95</v>
      </c>
      <c r="F68" t="str">
        <f>IF(_xlfn.XLOOKUP(C68,'75'!$C$2:$C$509,'75'!$D$2:$D$509)=D68,'75'!F68)</f>
        <v>ok</v>
      </c>
    </row>
    <row r="69" spans="1:6" x14ac:dyDescent="0.45">
      <c r="A69" t="s">
        <v>513</v>
      </c>
      <c r="B69" t="s">
        <v>514</v>
      </c>
      <c r="C69" t="s">
        <v>515</v>
      </c>
      <c r="D69" t="s">
        <v>516</v>
      </c>
      <c r="E69">
        <v>90</v>
      </c>
      <c r="F69" t="str">
        <f>IF(_xlfn.XLOOKUP(C69,'75'!$C$2:$C$509,'75'!$D$2:$D$509)=D69,'75'!F69)</f>
        <v>ok</v>
      </c>
    </row>
    <row r="70" spans="1:6" x14ac:dyDescent="0.45">
      <c r="A70" t="s">
        <v>525</v>
      </c>
      <c r="B70" t="s">
        <v>526</v>
      </c>
      <c r="C70" t="s">
        <v>527</v>
      </c>
      <c r="D70" t="s">
        <v>528</v>
      </c>
      <c r="E70">
        <v>83</v>
      </c>
      <c r="F70" t="str">
        <f>IF(_xlfn.XLOOKUP(C70,'75'!$C$2:$C$509,'75'!$D$2:$D$509)=D70,'75'!F70)</f>
        <v>no</v>
      </c>
    </row>
    <row r="71" spans="1:6" x14ac:dyDescent="0.45">
      <c r="A71" t="s">
        <v>529</v>
      </c>
      <c r="B71" t="s">
        <v>530</v>
      </c>
      <c r="C71" t="s">
        <v>531</v>
      </c>
      <c r="D71" t="s">
        <v>532</v>
      </c>
      <c r="E71">
        <v>83</v>
      </c>
      <c r="F71" t="str">
        <f>IF(_xlfn.XLOOKUP(C71,'75'!$C$2:$C$509,'75'!$D$2:$D$509)=D71,'75'!F71)</f>
        <v>ok</v>
      </c>
    </row>
    <row r="72" spans="1:6" x14ac:dyDescent="0.45">
      <c r="A72" t="s">
        <v>534</v>
      </c>
      <c r="B72" t="s">
        <v>537</v>
      </c>
      <c r="C72" t="s">
        <v>536</v>
      </c>
      <c r="D72" t="s">
        <v>538</v>
      </c>
      <c r="E72">
        <v>94</v>
      </c>
      <c r="F72" t="str">
        <f>IF(_xlfn.XLOOKUP(C72,'75'!$C$2:$C$509,'75'!$D$2:$D$509)=D72,'75'!F72)</f>
        <v>no</v>
      </c>
    </row>
    <row r="73" spans="1:6" x14ac:dyDescent="0.45">
      <c r="A73" t="s">
        <v>539</v>
      </c>
      <c r="B73" t="s">
        <v>540</v>
      </c>
      <c r="C73" t="s">
        <v>541</v>
      </c>
      <c r="D73" t="s">
        <v>542</v>
      </c>
      <c r="E73">
        <v>88</v>
      </c>
      <c r="F73" t="str">
        <f>IF(_xlfn.XLOOKUP(C73,'75'!$C$2:$C$509,'75'!$D$2:$D$509)=D73,'75'!F73)</f>
        <v>no</v>
      </c>
    </row>
    <row r="74" spans="1:6" x14ac:dyDescent="0.45">
      <c r="A74" t="s">
        <v>547</v>
      </c>
      <c r="B74" t="s">
        <v>548</v>
      </c>
      <c r="C74" t="s">
        <v>549</v>
      </c>
      <c r="D74" t="s">
        <v>550</v>
      </c>
      <c r="E74">
        <v>82</v>
      </c>
      <c r="F74" t="str">
        <f>IF(_xlfn.XLOOKUP(C74,'75'!$C$2:$C$509,'75'!$D$2:$D$509)=D74,'75'!F74)</f>
        <v>ok</v>
      </c>
    </row>
    <row r="75" spans="1:6" x14ac:dyDescent="0.45">
      <c r="A75" t="s">
        <v>563</v>
      </c>
      <c r="B75" t="s">
        <v>564</v>
      </c>
      <c r="C75" t="s">
        <v>565</v>
      </c>
      <c r="D75" t="s">
        <v>566</v>
      </c>
      <c r="E75">
        <v>83</v>
      </c>
      <c r="F75" t="str">
        <f>IF(_xlfn.XLOOKUP(C75,'75'!$C$2:$C$509,'75'!$D$2:$D$509)=D75,'75'!F75)</f>
        <v>ok</v>
      </c>
    </row>
    <row r="76" spans="1:6" x14ac:dyDescent="0.45">
      <c r="A76" t="s">
        <v>571</v>
      </c>
      <c r="B76" t="s">
        <v>572</v>
      </c>
      <c r="C76" t="s">
        <v>573</v>
      </c>
      <c r="D76" t="s">
        <v>574</v>
      </c>
      <c r="E76">
        <v>96</v>
      </c>
      <c r="F76" t="str">
        <f>IF(_xlfn.XLOOKUP(C76,'75'!$C$2:$C$509,'75'!$D$2:$D$509)=D76,'75'!F76)</f>
        <v>ok</v>
      </c>
    </row>
    <row r="77" spans="1:6" x14ac:dyDescent="0.45">
      <c r="A77" t="s">
        <v>580</v>
      </c>
      <c r="B77" t="s">
        <v>583</v>
      </c>
      <c r="C77" t="s">
        <v>582</v>
      </c>
      <c r="D77" t="s">
        <v>584</v>
      </c>
      <c r="E77">
        <v>94</v>
      </c>
      <c r="F77" t="str">
        <f>IF(_xlfn.XLOOKUP(C77,'75'!$C$2:$C$509,'75'!$D$2:$D$509)=D77,'75'!F77)</f>
        <v>no</v>
      </c>
    </row>
    <row r="78" spans="1:6" x14ac:dyDescent="0.45">
      <c r="A78" t="s">
        <v>599</v>
      </c>
      <c r="B78" t="s">
        <v>600</v>
      </c>
      <c r="C78" t="s">
        <v>601</v>
      </c>
      <c r="D78" t="s">
        <v>602</v>
      </c>
      <c r="E78">
        <v>96</v>
      </c>
      <c r="F78" t="str">
        <f>IF(_xlfn.XLOOKUP(C78,'75'!$C$2:$C$509,'75'!$D$2:$D$509)=D78,'75'!F78)</f>
        <v>no</v>
      </c>
    </row>
    <row r="79" spans="1:6" x14ac:dyDescent="0.45">
      <c r="A79" t="s">
        <v>607</v>
      </c>
      <c r="B79" t="s">
        <v>608</v>
      </c>
      <c r="C79" t="s">
        <v>609</v>
      </c>
      <c r="D79" t="s">
        <v>610</v>
      </c>
      <c r="E79">
        <v>85</v>
      </c>
      <c r="F79" t="str">
        <f>IF(_xlfn.XLOOKUP(C79,'75'!$C$2:$C$509,'75'!$D$2:$D$509)=D79,'75'!F79)</f>
        <v>no</v>
      </c>
    </row>
    <row r="80" spans="1:6" x14ac:dyDescent="0.45">
      <c r="A80" t="s">
        <v>611</v>
      </c>
      <c r="B80" t="s">
        <v>564</v>
      </c>
      <c r="C80" t="s">
        <v>612</v>
      </c>
      <c r="D80" t="s">
        <v>566</v>
      </c>
      <c r="E80">
        <v>89</v>
      </c>
      <c r="F80" t="str">
        <f>IF(_xlfn.XLOOKUP(C80,'75'!$C$2:$C$509,'75'!$D$2:$D$509)=D80,'75'!F80)</f>
        <v>no</v>
      </c>
    </row>
    <row r="81" spans="1:6" x14ac:dyDescent="0.45">
      <c r="A81" t="s">
        <v>615</v>
      </c>
      <c r="B81" t="s">
        <v>616</v>
      </c>
      <c r="C81" t="s">
        <v>617</v>
      </c>
      <c r="D81" t="s">
        <v>618</v>
      </c>
      <c r="E81">
        <v>89</v>
      </c>
      <c r="F81" t="str">
        <f>IF(_xlfn.XLOOKUP(C81,'75'!$C$2:$C$509,'75'!$D$2:$D$509)=D81,'75'!F81)</f>
        <v>no</v>
      </c>
    </row>
    <row r="82" spans="1:6" x14ac:dyDescent="0.45">
      <c r="A82" t="s">
        <v>627</v>
      </c>
      <c r="B82" t="s">
        <v>628</v>
      </c>
      <c r="C82" t="s">
        <v>629</v>
      </c>
      <c r="D82" t="s">
        <v>630</v>
      </c>
      <c r="E82">
        <v>92</v>
      </c>
      <c r="F82" t="str">
        <f>IF(_xlfn.XLOOKUP(C82,'75'!$C$2:$C$509,'75'!$D$2:$D$509)=D82,'75'!F82)</f>
        <v>no</v>
      </c>
    </row>
    <row r="83" spans="1:6" x14ac:dyDescent="0.45">
      <c r="A83" t="s">
        <v>635</v>
      </c>
      <c r="B83" t="s">
        <v>636</v>
      </c>
      <c r="C83" t="s">
        <v>637</v>
      </c>
      <c r="D83" t="s">
        <v>638</v>
      </c>
      <c r="E83">
        <v>94</v>
      </c>
      <c r="F83" t="str">
        <f>IF(_xlfn.XLOOKUP(C83,'75'!$C$2:$C$509,'75'!$D$2:$D$509)=D83,'75'!F83)</f>
        <v>no</v>
      </c>
    </row>
    <row r="84" spans="1:6" x14ac:dyDescent="0.45">
      <c r="A84" t="s">
        <v>641</v>
      </c>
      <c r="B84" t="s">
        <v>642</v>
      </c>
      <c r="C84" t="s">
        <v>643</v>
      </c>
      <c r="D84" t="s">
        <v>644</v>
      </c>
      <c r="E84">
        <v>94</v>
      </c>
      <c r="F84" t="str">
        <f>IF(_xlfn.XLOOKUP(C84,'75'!$C$2:$C$509,'75'!$D$2:$D$509)=D84,'75'!F84)</f>
        <v>no</v>
      </c>
    </row>
    <row r="85" spans="1:6" x14ac:dyDescent="0.45">
      <c r="A85" t="s">
        <v>636</v>
      </c>
      <c r="B85" t="s">
        <v>639</v>
      </c>
      <c r="C85" t="s">
        <v>638</v>
      </c>
      <c r="D85" t="s">
        <v>640</v>
      </c>
      <c r="E85">
        <v>84</v>
      </c>
      <c r="F85" t="str">
        <f>IF(_xlfn.XLOOKUP(C85,'75'!$C$2:$C$509,'75'!$D$2:$D$509)=D85,'75'!F85)</f>
        <v>no</v>
      </c>
    </row>
    <row r="86" spans="1:6" x14ac:dyDescent="0.45">
      <c r="A86" t="s">
        <v>645</v>
      </c>
      <c r="B86" t="s">
        <v>646</v>
      </c>
      <c r="C86" t="s">
        <v>647</v>
      </c>
      <c r="D86" t="s">
        <v>648</v>
      </c>
      <c r="E86">
        <v>91</v>
      </c>
      <c r="F86" t="str">
        <f>IF(_xlfn.XLOOKUP(C86,'75'!$C$2:$C$509,'75'!$D$2:$D$509)=D86,'75'!F86)</f>
        <v>no</v>
      </c>
    </row>
    <row r="87" spans="1:6" x14ac:dyDescent="0.45">
      <c r="A87" t="s">
        <v>649</v>
      </c>
      <c r="B87" t="s">
        <v>650</v>
      </c>
      <c r="C87" t="s">
        <v>651</v>
      </c>
      <c r="D87" t="s">
        <v>652</v>
      </c>
      <c r="E87">
        <v>98</v>
      </c>
      <c r="F87" t="str">
        <f>IF(_xlfn.XLOOKUP(C87,'75'!$C$2:$C$509,'75'!$D$2:$D$509)=D87,'75'!F87)</f>
        <v>no</v>
      </c>
    </row>
    <row r="88" spans="1:6" x14ac:dyDescent="0.45">
      <c r="A88" t="s">
        <v>657</v>
      </c>
      <c r="B88" t="s">
        <v>658</v>
      </c>
      <c r="C88" t="s">
        <v>659</v>
      </c>
      <c r="D88" t="s">
        <v>660</v>
      </c>
      <c r="E88">
        <v>83</v>
      </c>
      <c r="F88" t="str">
        <f>IF(_xlfn.XLOOKUP(C88,'75'!$C$2:$C$509,'75'!$D$2:$D$509)=D88,'75'!F88)</f>
        <v>no</v>
      </c>
    </row>
    <row r="89" spans="1:6" x14ac:dyDescent="0.45">
      <c r="A89" t="s">
        <v>669</v>
      </c>
      <c r="B89" t="s">
        <v>670</v>
      </c>
      <c r="C89" t="s">
        <v>671</v>
      </c>
      <c r="D89" t="s">
        <v>672</v>
      </c>
      <c r="E89">
        <v>85</v>
      </c>
      <c r="F89" t="str">
        <f>IF(_xlfn.XLOOKUP(C89,'75'!$C$2:$C$509,'75'!$D$2:$D$509)=D89,'75'!F89)</f>
        <v>no</v>
      </c>
    </row>
    <row r="90" spans="1:6" x14ac:dyDescent="0.45">
      <c r="A90" t="s">
        <v>673</v>
      </c>
      <c r="B90" t="s">
        <v>674</v>
      </c>
      <c r="C90" t="s">
        <v>675</v>
      </c>
      <c r="D90" t="s">
        <v>676</v>
      </c>
      <c r="E90">
        <v>82</v>
      </c>
      <c r="F90" t="str">
        <f>IF(_xlfn.XLOOKUP(C90,'75'!$C$2:$C$509,'75'!$D$2:$D$509)=D90,'75'!F90)</f>
        <v>no</v>
      </c>
    </row>
    <row r="91" spans="1:6" x14ac:dyDescent="0.45">
      <c r="A91" t="s">
        <v>677</v>
      </c>
      <c r="B91" t="s">
        <v>678</v>
      </c>
      <c r="C91" t="s">
        <v>679</v>
      </c>
      <c r="D91" t="s">
        <v>680</v>
      </c>
      <c r="E91">
        <v>95</v>
      </c>
      <c r="F91" t="str">
        <f>IF(_xlfn.XLOOKUP(C91,'75'!$C$2:$C$509,'75'!$D$2:$D$509)=D91,'75'!F91)</f>
        <v>ok</v>
      </c>
    </row>
    <row r="92" spans="1:6" x14ac:dyDescent="0.45">
      <c r="A92" t="s">
        <v>681</v>
      </c>
      <c r="B92" t="s">
        <v>682</v>
      </c>
      <c r="C92" t="s">
        <v>683</v>
      </c>
      <c r="D92" t="s">
        <v>684</v>
      </c>
      <c r="E92">
        <v>87</v>
      </c>
      <c r="F92" t="str">
        <f>IF(_xlfn.XLOOKUP(C92,'75'!$C$2:$C$509,'75'!$D$2:$D$509)=D92,'75'!F92)</f>
        <v>no</v>
      </c>
    </row>
    <row r="93" spans="1:6" x14ac:dyDescent="0.45">
      <c r="A93" t="s">
        <v>685</v>
      </c>
      <c r="B93" t="s">
        <v>686</v>
      </c>
      <c r="C93" t="s">
        <v>687</v>
      </c>
      <c r="D93" t="s">
        <v>688</v>
      </c>
      <c r="E93">
        <v>91</v>
      </c>
      <c r="F93" t="str">
        <f>IF(_xlfn.XLOOKUP(C93,'75'!$C$2:$C$509,'75'!$D$2:$D$509)=D93,'75'!F93)</f>
        <v>ok</v>
      </c>
    </row>
    <row r="94" spans="1:6" x14ac:dyDescent="0.45">
      <c r="A94" t="s">
        <v>693</v>
      </c>
      <c r="B94" t="s">
        <v>694</v>
      </c>
      <c r="C94" t="s">
        <v>695</v>
      </c>
      <c r="D94" t="s">
        <v>696</v>
      </c>
      <c r="E94">
        <v>95</v>
      </c>
      <c r="F94" t="str">
        <f>IF(_xlfn.XLOOKUP(C94,'75'!$C$2:$C$509,'75'!$D$2:$D$509)=D94,'75'!F94)</f>
        <v>no</v>
      </c>
    </row>
    <row r="95" spans="1:6" x14ac:dyDescent="0.45">
      <c r="A95" t="s">
        <v>697</v>
      </c>
      <c r="B95" t="s">
        <v>698</v>
      </c>
      <c r="C95" t="s">
        <v>699</v>
      </c>
      <c r="D95" t="s">
        <v>700</v>
      </c>
      <c r="E95">
        <v>90</v>
      </c>
      <c r="F95" t="str">
        <f>IF(_xlfn.XLOOKUP(C95,'75'!$C$2:$C$509,'75'!$D$2:$D$509)=D95,'75'!F95)</f>
        <v>no</v>
      </c>
    </row>
    <row r="96" spans="1:6" x14ac:dyDescent="0.45">
      <c r="A96" t="s">
        <v>705</v>
      </c>
      <c r="B96" t="s">
        <v>706</v>
      </c>
      <c r="C96" t="s">
        <v>707</v>
      </c>
      <c r="D96" t="s">
        <v>708</v>
      </c>
      <c r="E96">
        <v>86</v>
      </c>
      <c r="F96" t="str">
        <f>IF(_xlfn.XLOOKUP(C96,'75'!$C$2:$C$509,'75'!$D$2:$D$509)=D96,'75'!F96)</f>
        <v>ok</v>
      </c>
    </row>
    <row r="97" spans="1:6" x14ac:dyDescent="0.45">
      <c r="A97" t="s">
        <v>709</v>
      </c>
      <c r="B97" t="s">
        <v>710</v>
      </c>
      <c r="C97" t="s">
        <v>711</v>
      </c>
      <c r="D97" t="s">
        <v>712</v>
      </c>
      <c r="E97">
        <v>92</v>
      </c>
      <c r="F97" t="str">
        <f>IF(_xlfn.XLOOKUP(C97,'75'!$C$2:$C$509,'75'!$D$2:$D$509)=D97,'75'!F97)</f>
        <v>no</v>
      </c>
    </row>
    <row r="98" spans="1:6" x14ac:dyDescent="0.45">
      <c r="A98" t="s">
        <v>713</v>
      </c>
      <c r="B98" t="s">
        <v>717</v>
      </c>
      <c r="C98" t="s">
        <v>715</v>
      </c>
      <c r="D98" t="s">
        <v>718</v>
      </c>
      <c r="E98">
        <v>89</v>
      </c>
      <c r="F98" t="s">
        <v>1513</v>
      </c>
    </row>
    <row r="99" spans="1:6" x14ac:dyDescent="0.45">
      <c r="A99" t="s">
        <v>713</v>
      </c>
      <c r="B99" t="s">
        <v>721</v>
      </c>
      <c r="C99" t="s">
        <v>715</v>
      </c>
      <c r="D99" t="s">
        <v>722</v>
      </c>
      <c r="E99">
        <v>83</v>
      </c>
      <c r="F99" t="s">
        <v>1512</v>
      </c>
    </row>
    <row r="100" spans="1:6" x14ac:dyDescent="0.45">
      <c r="A100" t="s">
        <v>731</v>
      </c>
      <c r="B100" t="s">
        <v>735</v>
      </c>
      <c r="C100" t="s">
        <v>733</v>
      </c>
      <c r="D100" t="s">
        <v>736</v>
      </c>
      <c r="E100">
        <v>94</v>
      </c>
      <c r="F100" t="s">
        <v>1512</v>
      </c>
    </row>
    <row r="101" spans="1:6" x14ac:dyDescent="0.45">
      <c r="A101" t="s">
        <v>737</v>
      </c>
      <c r="B101" t="s">
        <v>741</v>
      </c>
      <c r="C101" t="s">
        <v>739</v>
      </c>
      <c r="D101" t="s">
        <v>742</v>
      </c>
      <c r="E101">
        <v>90</v>
      </c>
      <c r="F101" t="s">
        <v>1513</v>
      </c>
    </row>
    <row r="102" spans="1:6" x14ac:dyDescent="0.45">
      <c r="A102" t="s">
        <v>749</v>
      </c>
      <c r="B102" t="s">
        <v>753</v>
      </c>
      <c r="C102" t="s">
        <v>751</v>
      </c>
      <c r="D102" t="s">
        <v>754</v>
      </c>
      <c r="E102">
        <v>82</v>
      </c>
      <c r="F102" t="s">
        <v>1512</v>
      </c>
    </row>
    <row r="103" spans="1:6" x14ac:dyDescent="0.45">
      <c r="A103" t="s">
        <v>749</v>
      </c>
      <c r="B103" t="s">
        <v>755</v>
      </c>
      <c r="C103" t="s">
        <v>751</v>
      </c>
      <c r="D103" t="s">
        <v>756</v>
      </c>
      <c r="E103">
        <v>83</v>
      </c>
      <c r="F103" t="s">
        <v>1512</v>
      </c>
    </row>
    <row r="104" spans="1:6" x14ac:dyDescent="0.45">
      <c r="A104" t="s">
        <v>771</v>
      </c>
      <c r="B104" t="s">
        <v>772</v>
      </c>
      <c r="C104" t="s">
        <v>773</v>
      </c>
      <c r="D104" t="s">
        <v>774</v>
      </c>
      <c r="E104">
        <v>86</v>
      </c>
      <c r="F104" t="str">
        <f>IF(_xlfn.XLOOKUP(C104,'75'!$C$2:$C$509,'75'!$D$2:$D$509)=D104,'75'!F104)</f>
        <v>no</v>
      </c>
    </row>
    <row r="105" spans="1:6" x14ac:dyDescent="0.45">
      <c r="A105" t="s">
        <v>779</v>
      </c>
      <c r="B105" t="s">
        <v>780</v>
      </c>
      <c r="C105" t="s">
        <v>781</v>
      </c>
      <c r="D105" t="s">
        <v>782</v>
      </c>
      <c r="E105">
        <v>83</v>
      </c>
      <c r="F105" t="str">
        <f>IF(_xlfn.XLOOKUP(C105,'75'!$C$2:$C$509,'75'!$D$2:$D$509)=D105,'75'!F105)</f>
        <v>no</v>
      </c>
    </row>
    <row r="106" spans="1:6" x14ac:dyDescent="0.45">
      <c r="A106" t="s">
        <v>785</v>
      </c>
      <c r="B106" t="s">
        <v>776</v>
      </c>
      <c r="C106" t="s">
        <v>786</v>
      </c>
      <c r="D106" t="s">
        <v>778</v>
      </c>
      <c r="E106">
        <v>83</v>
      </c>
      <c r="F106" t="str">
        <f>IF(_xlfn.XLOOKUP(C106,'75'!$C$2:$C$509,'75'!$D$2:$D$509)=D106,'75'!F106)</f>
        <v>no</v>
      </c>
    </row>
    <row r="107" spans="1:6" x14ac:dyDescent="0.45">
      <c r="A107" t="s">
        <v>787</v>
      </c>
      <c r="B107" t="s">
        <v>788</v>
      </c>
      <c r="C107" t="s">
        <v>789</v>
      </c>
      <c r="D107" t="s">
        <v>790</v>
      </c>
      <c r="E107">
        <v>94</v>
      </c>
      <c r="F107" t="str">
        <f>IF(_xlfn.XLOOKUP(C107,'75'!$C$2:$C$509,'75'!$D$2:$D$509)=D107,'75'!F107)</f>
        <v>no</v>
      </c>
    </row>
    <row r="108" spans="1:6" x14ac:dyDescent="0.45">
      <c r="A108" t="s">
        <v>795</v>
      </c>
      <c r="B108" t="s">
        <v>796</v>
      </c>
      <c r="C108" t="s">
        <v>797</v>
      </c>
      <c r="D108" t="s">
        <v>798</v>
      </c>
      <c r="E108">
        <v>97</v>
      </c>
      <c r="F108" t="str">
        <f>IF(_xlfn.XLOOKUP(C108,'75'!$C$2:$C$509,'75'!$D$2:$D$509)=D108,'75'!F108)</f>
        <v>ok</v>
      </c>
    </row>
    <row r="109" spans="1:6" x14ac:dyDescent="0.45">
      <c r="A109" t="s">
        <v>801</v>
      </c>
      <c r="B109" t="s">
        <v>802</v>
      </c>
      <c r="C109" t="s">
        <v>803</v>
      </c>
      <c r="D109" t="s">
        <v>804</v>
      </c>
      <c r="E109">
        <v>82</v>
      </c>
      <c r="F109" t="str">
        <f>IF(_xlfn.XLOOKUP(C109,'75'!$C$2:$C$509,'75'!$D$2:$D$509)=D109,'75'!F109)</f>
        <v>ok</v>
      </c>
    </row>
    <row r="110" spans="1:6" x14ac:dyDescent="0.45">
      <c r="A110" t="s">
        <v>744</v>
      </c>
      <c r="B110" t="s">
        <v>807</v>
      </c>
      <c r="C110" t="s">
        <v>746</v>
      </c>
      <c r="D110" t="s">
        <v>808</v>
      </c>
      <c r="E110">
        <v>84</v>
      </c>
      <c r="F110" t="s">
        <v>1513</v>
      </c>
    </row>
    <row r="111" spans="1:6" x14ac:dyDescent="0.45">
      <c r="A111" t="s">
        <v>738</v>
      </c>
      <c r="B111" t="s">
        <v>741</v>
      </c>
      <c r="C111" t="s">
        <v>740</v>
      </c>
      <c r="D111" t="s">
        <v>742</v>
      </c>
      <c r="E111">
        <v>86</v>
      </c>
      <c r="F111" t="str">
        <f>IF(_xlfn.XLOOKUP(C111,'75'!$C$2:$C$509,'75'!$D$2:$D$509)=D111,'75'!F111)</f>
        <v>no</v>
      </c>
    </row>
    <row r="112" spans="1:6" x14ac:dyDescent="0.45">
      <c r="A112" t="s">
        <v>811</v>
      </c>
      <c r="B112" t="s">
        <v>812</v>
      </c>
      <c r="C112" t="s">
        <v>813</v>
      </c>
      <c r="D112" t="s">
        <v>814</v>
      </c>
      <c r="E112">
        <v>89</v>
      </c>
      <c r="F112" t="str">
        <f>IF(_xlfn.XLOOKUP(C112,'75'!$C$2:$C$509,'75'!$D$2:$D$509)=D112,'75'!F112)</f>
        <v>no</v>
      </c>
    </row>
    <row r="113" spans="1:6" x14ac:dyDescent="0.45">
      <c r="A113" t="s">
        <v>821</v>
      </c>
      <c r="B113" t="s">
        <v>822</v>
      </c>
      <c r="C113" t="s">
        <v>823</v>
      </c>
      <c r="D113" t="s">
        <v>824</v>
      </c>
      <c r="E113">
        <v>89</v>
      </c>
      <c r="F113" t="str">
        <f>IF(_xlfn.XLOOKUP(C113,'75'!$C$2:$C$509,'75'!$D$2:$D$509)=D113,'75'!F113)</f>
        <v>ok</v>
      </c>
    </row>
    <row r="114" spans="1:6" x14ac:dyDescent="0.45">
      <c r="A114" t="s">
        <v>835</v>
      </c>
      <c r="B114" t="s">
        <v>836</v>
      </c>
      <c r="C114" t="s">
        <v>837</v>
      </c>
      <c r="D114" t="s">
        <v>838</v>
      </c>
      <c r="E114">
        <v>88</v>
      </c>
      <c r="F114" t="str">
        <f>IF(_xlfn.XLOOKUP(C114,'75'!$C$2:$C$509,'75'!$D$2:$D$509)=D114,'75'!F114)</f>
        <v>ok</v>
      </c>
    </row>
    <row r="115" spans="1:6" x14ac:dyDescent="0.45">
      <c r="A115" t="s">
        <v>839</v>
      </c>
      <c r="B115" t="s">
        <v>840</v>
      </c>
      <c r="C115" t="s">
        <v>841</v>
      </c>
      <c r="D115" t="s">
        <v>842</v>
      </c>
      <c r="E115">
        <v>86</v>
      </c>
      <c r="F115" t="str">
        <f>IF(_xlfn.XLOOKUP(C115,'75'!$C$2:$C$509,'75'!$D$2:$D$509)=D115,'75'!F115)</f>
        <v>no</v>
      </c>
    </row>
    <row r="116" spans="1:6" x14ac:dyDescent="0.45">
      <c r="A116" t="s">
        <v>847</v>
      </c>
      <c r="B116" t="s">
        <v>848</v>
      </c>
      <c r="C116" t="s">
        <v>849</v>
      </c>
      <c r="D116" t="s">
        <v>850</v>
      </c>
      <c r="E116">
        <v>90</v>
      </c>
      <c r="F116" t="str">
        <f>IF(_xlfn.XLOOKUP(C116,'75'!$C$2:$C$509,'75'!$D$2:$D$509)=D116,'75'!F116)</f>
        <v>ok</v>
      </c>
    </row>
    <row r="117" spans="1:6" x14ac:dyDescent="0.45">
      <c r="A117" t="s">
        <v>855</v>
      </c>
      <c r="B117" t="s">
        <v>856</v>
      </c>
      <c r="C117" t="s">
        <v>857</v>
      </c>
      <c r="D117" t="s">
        <v>858</v>
      </c>
      <c r="E117">
        <v>82</v>
      </c>
      <c r="F117" t="str">
        <f>IF(_xlfn.XLOOKUP(C117,'75'!$C$2:$C$509,'75'!$D$2:$D$509)=D117,'75'!F117)</f>
        <v>ok</v>
      </c>
    </row>
    <row r="118" spans="1:6" x14ac:dyDescent="0.45">
      <c r="A118" t="s">
        <v>859</v>
      </c>
      <c r="B118" t="s">
        <v>860</v>
      </c>
      <c r="C118" t="s">
        <v>861</v>
      </c>
      <c r="D118" t="s">
        <v>862</v>
      </c>
      <c r="E118">
        <v>85</v>
      </c>
      <c r="F118" t="str">
        <f>IF(_xlfn.XLOOKUP(C118,'75'!$C$2:$C$509,'75'!$D$2:$D$509)=D118,'75'!F118)</f>
        <v>no</v>
      </c>
    </row>
    <row r="119" spans="1:6" x14ac:dyDescent="0.45">
      <c r="A119" t="s">
        <v>873</v>
      </c>
      <c r="B119" t="s">
        <v>874</v>
      </c>
      <c r="C119" t="s">
        <v>875</v>
      </c>
      <c r="D119" t="s">
        <v>876</v>
      </c>
      <c r="E119">
        <v>83</v>
      </c>
      <c r="F119" t="str">
        <f>IF(_xlfn.XLOOKUP(C119,'75'!$C$2:$C$509,'75'!$D$2:$D$509)=D119,'75'!F119)</f>
        <v>ok</v>
      </c>
    </row>
    <row r="120" spans="1:6" x14ac:dyDescent="0.45">
      <c r="A120" t="s">
        <v>848</v>
      </c>
      <c r="B120" t="s">
        <v>878</v>
      </c>
      <c r="C120" t="s">
        <v>850</v>
      </c>
      <c r="D120" t="s">
        <v>880</v>
      </c>
      <c r="E120">
        <v>86</v>
      </c>
      <c r="F120" t="str">
        <f>IF(_xlfn.XLOOKUP(C120,'75'!$C$2:$C$509,'75'!$D$2:$D$509)=D120,'75'!F120)</f>
        <v>no</v>
      </c>
    </row>
    <row r="121" spans="1:6" x14ac:dyDescent="0.45">
      <c r="A121" t="s">
        <v>901</v>
      </c>
      <c r="B121" t="s">
        <v>902</v>
      </c>
      <c r="C121" t="s">
        <v>903</v>
      </c>
      <c r="D121" t="s">
        <v>904</v>
      </c>
      <c r="E121">
        <v>83</v>
      </c>
      <c r="F121" t="str">
        <f>IF(_xlfn.XLOOKUP(C121,'75'!$C$2:$C$509,'75'!$D$2:$D$509)=D121,'75'!F121)</f>
        <v>ok</v>
      </c>
    </row>
    <row r="122" spans="1:6" x14ac:dyDescent="0.45">
      <c r="A122" t="s">
        <v>915</v>
      </c>
      <c r="B122" t="s">
        <v>916</v>
      </c>
      <c r="C122" t="s">
        <v>917</v>
      </c>
      <c r="D122" t="s">
        <v>918</v>
      </c>
      <c r="E122">
        <v>92</v>
      </c>
      <c r="F122" t="str">
        <f>IF(_xlfn.XLOOKUP(C122,'75'!$C$2:$C$509,'75'!$D$2:$D$509)=D122,'75'!F122)</f>
        <v>ok</v>
      </c>
    </row>
    <row r="123" spans="1:6" x14ac:dyDescent="0.45">
      <c r="A123" t="s">
        <v>919</v>
      </c>
      <c r="B123" t="s">
        <v>920</v>
      </c>
      <c r="C123" t="s">
        <v>921</v>
      </c>
      <c r="D123" t="s">
        <v>922</v>
      </c>
      <c r="E123">
        <v>97</v>
      </c>
      <c r="F123" t="str">
        <f>IF(_xlfn.XLOOKUP(C123,'75'!$C$2:$C$509,'75'!$D$2:$D$509)=D123,'75'!F123)</f>
        <v>no</v>
      </c>
    </row>
    <row r="124" spans="1:6" x14ac:dyDescent="0.45">
      <c r="A124" t="s">
        <v>923</v>
      </c>
      <c r="B124" t="s">
        <v>924</v>
      </c>
      <c r="C124" t="s">
        <v>925</v>
      </c>
      <c r="D124" t="s">
        <v>926</v>
      </c>
      <c r="E124">
        <v>93</v>
      </c>
      <c r="F124" t="str">
        <f>IF(_xlfn.XLOOKUP(C124,'75'!$C$2:$C$509,'75'!$D$2:$D$509)=D124,'75'!F124)</f>
        <v>ok</v>
      </c>
    </row>
    <row r="125" spans="1:6" x14ac:dyDescent="0.45">
      <c r="A125" t="s">
        <v>931</v>
      </c>
      <c r="B125" t="s">
        <v>932</v>
      </c>
      <c r="C125" t="s">
        <v>933</v>
      </c>
      <c r="D125" t="s">
        <v>934</v>
      </c>
      <c r="E125">
        <v>83</v>
      </c>
      <c r="F125" t="str">
        <f>IF(_xlfn.XLOOKUP(C125,'75'!$C$2:$C$509,'75'!$D$2:$D$509)=D125,'75'!F125)</f>
        <v>ok</v>
      </c>
    </row>
    <row r="126" spans="1:6" x14ac:dyDescent="0.45">
      <c r="A126" t="s">
        <v>945</v>
      </c>
      <c r="B126" t="s">
        <v>946</v>
      </c>
      <c r="C126" t="s">
        <v>947</v>
      </c>
      <c r="D126" t="s">
        <v>948</v>
      </c>
      <c r="E126">
        <v>86</v>
      </c>
      <c r="F126" t="str">
        <f>IF(_xlfn.XLOOKUP(C126,'75'!$C$2:$C$509,'75'!$D$2:$D$509)=D126,'75'!F126)</f>
        <v>no</v>
      </c>
    </row>
    <row r="127" spans="1:6" x14ac:dyDescent="0.45">
      <c r="A127" t="s">
        <v>949</v>
      </c>
      <c r="B127" t="s">
        <v>950</v>
      </c>
      <c r="C127" t="s">
        <v>951</v>
      </c>
      <c r="D127" t="s">
        <v>952</v>
      </c>
      <c r="E127">
        <v>94</v>
      </c>
      <c r="F127" t="str">
        <f>IF(_xlfn.XLOOKUP(C127,'75'!$C$2:$C$509,'75'!$D$2:$D$509)=D127,'75'!F127)</f>
        <v>ok</v>
      </c>
    </row>
    <row r="128" spans="1:6" x14ac:dyDescent="0.45">
      <c r="A128" t="s">
        <v>949</v>
      </c>
      <c r="B128" t="s">
        <v>953</v>
      </c>
      <c r="C128" t="s">
        <v>951</v>
      </c>
      <c r="D128" t="s">
        <v>954</v>
      </c>
      <c r="E128">
        <v>91</v>
      </c>
      <c r="F128" t="s">
        <v>1512</v>
      </c>
    </row>
    <row r="129" spans="1:6" x14ac:dyDescent="0.45">
      <c r="A129" t="s">
        <v>950</v>
      </c>
      <c r="B129" t="s">
        <v>953</v>
      </c>
      <c r="C129" t="s">
        <v>952</v>
      </c>
      <c r="D129" t="s">
        <v>954</v>
      </c>
      <c r="E129">
        <v>91</v>
      </c>
      <c r="F129" t="str">
        <f>IF(_xlfn.XLOOKUP(C129,'75'!$C$2:$C$509,'75'!$D$2:$D$509)=D129,'75'!F129)</f>
        <v>no</v>
      </c>
    </row>
    <row r="130" spans="1:6" x14ac:dyDescent="0.45">
      <c r="A130" t="s">
        <v>955</v>
      </c>
      <c r="B130" t="s">
        <v>956</v>
      </c>
      <c r="C130" t="s">
        <v>957</v>
      </c>
      <c r="D130" t="s">
        <v>958</v>
      </c>
      <c r="E130">
        <v>86</v>
      </c>
      <c r="F130" t="str">
        <f>IF(_xlfn.XLOOKUP(C130,'75'!$C$2:$C$509,'75'!$D$2:$D$509)=D130,'75'!F130)</f>
        <v>ok</v>
      </c>
    </row>
    <row r="131" spans="1:6" x14ac:dyDescent="0.45">
      <c r="A131" t="s">
        <v>959</v>
      </c>
      <c r="B131" t="s">
        <v>963</v>
      </c>
      <c r="C131" t="s">
        <v>961</v>
      </c>
      <c r="D131" t="s">
        <v>964</v>
      </c>
      <c r="E131">
        <v>91</v>
      </c>
      <c r="F131" t="s">
        <v>1512</v>
      </c>
    </row>
    <row r="132" spans="1:6" x14ac:dyDescent="0.45">
      <c r="A132" t="s">
        <v>965</v>
      </c>
      <c r="B132" t="s">
        <v>966</v>
      </c>
      <c r="C132" t="s">
        <v>967</v>
      </c>
      <c r="D132" t="s">
        <v>968</v>
      </c>
      <c r="E132">
        <v>95</v>
      </c>
      <c r="F132" t="str">
        <f>IF(_xlfn.XLOOKUP(C132,'75'!$C$2:$C$509,'75'!$D$2:$D$509)=D132,'75'!F132)</f>
        <v>no</v>
      </c>
    </row>
    <row r="133" spans="1:6" x14ac:dyDescent="0.45">
      <c r="A133" t="s">
        <v>973</v>
      </c>
      <c r="B133" t="s">
        <v>974</v>
      </c>
      <c r="C133" t="s">
        <v>975</v>
      </c>
      <c r="D133" t="s">
        <v>976</v>
      </c>
      <c r="E133">
        <v>95</v>
      </c>
      <c r="F133" t="str">
        <f>IF(_xlfn.XLOOKUP(C133,'75'!$C$2:$C$509,'75'!$D$2:$D$509)=D133,'75'!F133)</f>
        <v>ok</v>
      </c>
    </row>
    <row r="134" spans="1:6" x14ac:dyDescent="0.45">
      <c r="A134" t="s">
        <v>977</v>
      </c>
      <c r="B134" t="s">
        <v>978</v>
      </c>
      <c r="C134" t="s">
        <v>979</v>
      </c>
      <c r="D134" t="s">
        <v>980</v>
      </c>
      <c r="E134">
        <v>89</v>
      </c>
      <c r="F134" t="str">
        <f>IF(_xlfn.XLOOKUP(C134,'75'!$C$2:$C$509,'75'!$D$2:$D$509)=D134,'75'!F134)</f>
        <v>no</v>
      </c>
    </row>
    <row r="135" spans="1:6" x14ac:dyDescent="0.45">
      <c r="A135" t="s">
        <v>981</v>
      </c>
      <c r="B135" t="s">
        <v>982</v>
      </c>
      <c r="C135" t="s">
        <v>983</v>
      </c>
      <c r="D135" t="s">
        <v>984</v>
      </c>
      <c r="E135">
        <v>92</v>
      </c>
      <c r="F135" t="str">
        <f>IF(_xlfn.XLOOKUP(C135,'75'!$C$2:$C$509,'75'!$D$2:$D$509)=D135,'75'!F135)</f>
        <v>ok</v>
      </c>
    </row>
    <row r="136" spans="1:6" x14ac:dyDescent="0.45">
      <c r="A136" t="s">
        <v>981</v>
      </c>
      <c r="B136" t="s">
        <v>985</v>
      </c>
      <c r="C136" t="s">
        <v>983</v>
      </c>
      <c r="D136" t="s">
        <v>986</v>
      </c>
      <c r="E136">
        <v>92</v>
      </c>
      <c r="F136" t="s">
        <v>1513</v>
      </c>
    </row>
    <row r="137" spans="1:6" x14ac:dyDescent="0.45">
      <c r="A137" t="s">
        <v>981</v>
      </c>
      <c r="B137" t="s">
        <v>987</v>
      </c>
      <c r="C137" t="s">
        <v>983</v>
      </c>
      <c r="D137" t="s">
        <v>988</v>
      </c>
      <c r="E137">
        <v>83</v>
      </c>
      <c r="F137" t="s">
        <v>1513</v>
      </c>
    </row>
    <row r="138" spans="1:6" x14ac:dyDescent="0.45">
      <c r="A138" t="s">
        <v>982</v>
      </c>
      <c r="B138" t="s">
        <v>985</v>
      </c>
      <c r="C138" t="s">
        <v>984</v>
      </c>
      <c r="D138" t="s">
        <v>986</v>
      </c>
      <c r="E138">
        <v>83</v>
      </c>
      <c r="F138" t="str">
        <f>IF(_xlfn.XLOOKUP(C138,'75'!$C$2:$C$509,'75'!$D$2:$D$509)=D138,'75'!F138)</f>
        <v>no</v>
      </c>
    </row>
    <row r="139" spans="1:6" x14ac:dyDescent="0.45">
      <c r="A139" t="s">
        <v>982</v>
      </c>
      <c r="B139" t="s">
        <v>987</v>
      </c>
      <c r="C139" t="s">
        <v>984</v>
      </c>
      <c r="D139" t="s">
        <v>988</v>
      </c>
      <c r="E139">
        <v>91</v>
      </c>
      <c r="F139" t="s">
        <v>1513</v>
      </c>
    </row>
    <row r="140" spans="1:6" x14ac:dyDescent="0.45">
      <c r="A140" t="s">
        <v>997</v>
      </c>
      <c r="B140" t="s">
        <v>998</v>
      </c>
      <c r="C140" t="s">
        <v>999</v>
      </c>
      <c r="D140" t="s">
        <v>1000</v>
      </c>
      <c r="E140">
        <v>83</v>
      </c>
      <c r="F140" t="str">
        <f>IF(_xlfn.XLOOKUP(C140,'75'!$C$2:$C$509,'75'!$D$2:$D$509)=D140,'75'!F140)</f>
        <v>ok</v>
      </c>
    </row>
    <row r="141" spans="1:6" x14ac:dyDescent="0.45">
      <c r="A141" t="s">
        <v>1007</v>
      </c>
      <c r="B141" t="s">
        <v>1008</v>
      </c>
      <c r="C141" t="s">
        <v>1009</v>
      </c>
      <c r="D141" t="s">
        <v>1010</v>
      </c>
      <c r="E141">
        <v>92</v>
      </c>
      <c r="F141" t="str">
        <f>IF(_xlfn.XLOOKUP(C141,'75'!$C$2:$C$509,'75'!$D$2:$D$509)=D141,'75'!F141)</f>
        <v>no</v>
      </c>
    </row>
    <row r="142" spans="1:6" x14ac:dyDescent="0.45">
      <c r="A142" t="s">
        <v>985</v>
      </c>
      <c r="B142" t="s">
        <v>987</v>
      </c>
      <c r="C142" t="s">
        <v>986</v>
      </c>
      <c r="D142" t="s">
        <v>988</v>
      </c>
      <c r="E142">
        <v>92</v>
      </c>
      <c r="F142" t="str">
        <f>IF(_xlfn.XLOOKUP(C142,'75'!$C$2:$C$509,'75'!$D$2:$D$509)=D142,'75'!F142)</f>
        <v>no</v>
      </c>
    </row>
    <row r="143" spans="1:6" x14ac:dyDescent="0.45">
      <c r="A143" t="s">
        <v>1021</v>
      </c>
      <c r="B143" t="s">
        <v>1022</v>
      </c>
      <c r="C143" t="s">
        <v>1023</v>
      </c>
      <c r="D143" t="s">
        <v>1024</v>
      </c>
      <c r="E143">
        <v>95</v>
      </c>
      <c r="F143" t="str">
        <f>IF(_xlfn.XLOOKUP(C143,'75'!$C$2:$C$509,'75'!$D$2:$D$509)=D143,'75'!F143)</f>
        <v>ok</v>
      </c>
    </row>
    <row r="144" spans="1:6" x14ac:dyDescent="0.45">
      <c r="A144" t="s">
        <v>1002</v>
      </c>
      <c r="B144" t="s">
        <v>1005</v>
      </c>
      <c r="C144" t="s">
        <v>1004</v>
      </c>
      <c r="D144" t="s">
        <v>1006</v>
      </c>
      <c r="E144">
        <v>83</v>
      </c>
      <c r="F144" t="str">
        <f>IF(_xlfn.XLOOKUP(C144,'75'!$C$2:$C$509,'75'!$D$2:$D$509)=D144,'75'!F144)</f>
        <v>ok</v>
      </c>
    </row>
    <row r="145" spans="1:6" x14ac:dyDescent="0.45">
      <c r="A145" t="s">
        <v>1027</v>
      </c>
      <c r="B145" t="s">
        <v>1028</v>
      </c>
      <c r="C145" t="s">
        <v>1029</v>
      </c>
      <c r="D145" t="s">
        <v>1030</v>
      </c>
      <c r="E145">
        <v>94</v>
      </c>
      <c r="F145" t="str">
        <f>IF(_xlfn.XLOOKUP(C145,'75'!$C$2:$C$509,'75'!$D$2:$D$509)=D145,'75'!F145)</f>
        <v>no</v>
      </c>
    </row>
    <row r="146" spans="1:6" x14ac:dyDescent="0.45">
      <c r="A146" t="s">
        <v>1031</v>
      </c>
      <c r="B146" t="s">
        <v>1032</v>
      </c>
      <c r="C146" t="s">
        <v>1033</v>
      </c>
      <c r="D146" t="s">
        <v>1034</v>
      </c>
      <c r="E146">
        <v>90</v>
      </c>
      <c r="F146" t="str">
        <f>IF(_xlfn.XLOOKUP(C146,'75'!$C$2:$C$509,'75'!$D$2:$D$509)=D146,'75'!F146)</f>
        <v>ok</v>
      </c>
    </row>
    <row r="147" spans="1:6" x14ac:dyDescent="0.45">
      <c r="A147" t="s">
        <v>1035</v>
      </c>
      <c r="B147" t="s">
        <v>1039</v>
      </c>
      <c r="C147" t="s">
        <v>1037</v>
      </c>
      <c r="D147" t="s">
        <v>1040</v>
      </c>
      <c r="E147">
        <v>98</v>
      </c>
      <c r="F147" t="s">
        <v>1512</v>
      </c>
    </row>
    <row r="148" spans="1:6" x14ac:dyDescent="0.45">
      <c r="A148" t="s">
        <v>1045</v>
      </c>
      <c r="B148" t="s">
        <v>1046</v>
      </c>
      <c r="C148" t="s">
        <v>1047</v>
      </c>
      <c r="D148" t="s">
        <v>1048</v>
      </c>
      <c r="E148">
        <v>97</v>
      </c>
      <c r="F148" t="str">
        <f>IF(_xlfn.XLOOKUP(C148,'75'!$C$2:$C$509,'75'!$D$2:$D$509)=D148,'75'!F148)</f>
        <v>ok</v>
      </c>
    </row>
    <row r="149" spans="1:6" x14ac:dyDescent="0.45">
      <c r="A149" t="s">
        <v>1051</v>
      </c>
      <c r="B149" t="s">
        <v>1042</v>
      </c>
      <c r="C149" t="s">
        <v>1052</v>
      </c>
      <c r="D149" t="s">
        <v>1044</v>
      </c>
      <c r="E149">
        <v>93</v>
      </c>
      <c r="F149" t="str">
        <f>IF(_xlfn.XLOOKUP(C149,'75'!$C$2:$C$509,'75'!$D$2:$D$509)=D149,'75'!F149)</f>
        <v>ok</v>
      </c>
    </row>
    <row r="150" spans="1:6" x14ac:dyDescent="0.45">
      <c r="A150" t="s">
        <v>1053</v>
      </c>
      <c r="B150" t="s">
        <v>1054</v>
      </c>
      <c r="C150" t="s">
        <v>1055</v>
      </c>
      <c r="D150" t="s">
        <v>1056</v>
      </c>
      <c r="E150">
        <v>84</v>
      </c>
      <c r="F150" t="str">
        <f>IF(_xlfn.XLOOKUP(C150,'75'!$C$2:$C$509,'75'!$D$2:$D$509)=D150,'75'!F150)</f>
        <v>no</v>
      </c>
    </row>
    <row r="151" spans="1:6" x14ac:dyDescent="0.45">
      <c r="A151" t="s">
        <v>1046</v>
      </c>
      <c r="B151" t="s">
        <v>1049</v>
      </c>
      <c r="C151" t="s">
        <v>1048</v>
      </c>
      <c r="D151" t="s">
        <v>1050</v>
      </c>
      <c r="E151">
        <v>83</v>
      </c>
      <c r="F151" t="str">
        <f>IF(_xlfn.XLOOKUP(C151,'75'!$C$2:$C$509,'75'!$D$2:$D$509)=D151,'75'!F151)</f>
        <v>ok</v>
      </c>
    </row>
    <row r="152" spans="1:6" x14ac:dyDescent="0.45">
      <c r="A152" t="s">
        <v>1057</v>
      </c>
      <c r="B152" t="s">
        <v>1058</v>
      </c>
      <c r="C152" t="s">
        <v>1059</v>
      </c>
      <c r="D152" t="s">
        <v>1060</v>
      </c>
      <c r="E152">
        <v>93</v>
      </c>
      <c r="F152" t="str">
        <f>IF(_xlfn.XLOOKUP(C152,'75'!$C$2:$C$509,'75'!$D$2:$D$509)=D152,'75'!F152)</f>
        <v>no</v>
      </c>
    </row>
    <row r="153" spans="1:6" x14ac:dyDescent="0.45">
      <c r="A153" t="s">
        <v>1061</v>
      </c>
      <c r="B153" t="s">
        <v>1062</v>
      </c>
      <c r="C153" t="s">
        <v>1063</v>
      </c>
      <c r="D153" t="s">
        <v>1064</v>
      </c>
      <c r="E153">
        <v>86</v>
      </c>
      <c r="F153" t="str">
        <f>IF(_xlfn.XLOOKUP(C153,'75'!$C$2:$C$509,'75'!$D$2:$D$509)=D153,'75'!F153)</f>
        <v>no</v>
      </c>
    </row>
    <row r="154" spans="1:6" x14ac:dyDescent="0.45">
      <c r="A154" t="s">
        <v>1069</v>
      </c>
      <c r="B154" t="s">
        <v>1070</v>
      </c>
      <c r="C154" t="s">
        <v>1071</v>
      </c>
      <c r="D154" t="s">
        <v>1072</v>
      </c>
      <c r="E154">
        <v>93</v>
      </c>
      <c r="F154" t="str">
        <f>IF(_xlfn.XLOOKUP(C154,'75'!$C$2:$C$509,'75'!$D$2:$D$509)=D154,'75'!F154)</f>
        <v>ok</v>
      </c>
    </row>
    <row r="155" spans="1:6" x14ac:dyDescent="0.45">
      <c r="A155" t="s">
        <v>1073</v>
      </c>
      <c r="B155" t="s">
        <v>1074</v>
      </c>
      <c r="C155" t="s">
        <v>1075</v>
      </c>
      <c r="D155" t="s">
        <v>1076</v>
      </c>
      <c r="E155">
        <v>94</v>
      </c>
      <c r="F155" t="str">
        <f>IF(_xlfn.XLOOKUP(C155,'75'!$C$2:$C$509,'75'!$D$2:$D$509)=D155,'75'!F155)</f>
        <v>ok</v>
      </c>
    </row>
    <row r="156" spans="1:6" x14ac:dyDescent="0.45">
      <c r="A156" t="s">
        <v>1077</v>
      </c>
      <c r="B156" t="s">
        <v>1078</v>
      </c>
      <c r="C156" t="s">
        <v>1079</v>
      </c>
      <c r="D156" t="s">
        <v>1080</v>
      </c>
      <c r="E156">
        <v>95</v>
      </c>
      <c r="F156" t="str">
        <f>IF(_xlfn.XLOOKUP(C156,'75'!$C$2:$C$509,'75'!$D$2:$D$509)=D156,'75'!F156)</f>
        <v>ok</v>
      </c>
    </row>
    <row r="157" spans="1:6" x14ac:dyDescent="0.45">
      <c r="A157" t="s">
        <v>1085</v>
      </c>
      <c r="B157" t="s">
        <v>1086</v>
      </c>
      <c r="C157" t="s">
        <v>1087</v>
      </c>
      <c r="D157" t="s">
        <v>1088</v>
      </c>
      <c r="E157">
        <v>87</v>
      </c>
      <c r="F157" t="str">
        <f>IF(_xlfn.XLOOKUP(C157,'75'!$C$2:$C$509,'75'!$D$2:$D$509)=D157,'75'!F157)</f>
        <v>ok</v>
      </c>
    </row>
    <row r="158" spans="1:6" x14ac:dyDescent="0.45">
      <c r="A158" t="s">
        <v>1097</v>
      </c>
      <c r="B158" t="s">
        <v>1098</v>
      </c>
      <c r="C158" t="s">
        <v>1099</v>
      </c>
      <c r="D158" t="s">
        <v>1100</v>
      </c>
      <c r="E158">
        <v>90</v>
      </c>
      <c r="F158" t="str">
        <f>IF(_xlfn.XLOOKUP(C158,'75'!$C$2:$C$509,'75'!$D$2:$D$509)=D158,'75'!F158)</f>
        <v>ok</v>
      </c>
    </row>
    <row r="159" spans="1:6" x14ac:dyDescent="0.45">
      <c r="A159" t="s">
        <v>1109</v>
      </c>
      <c r="B159" t="s">
        <v>1110</v>
      </c>
      <c r="C159" t="s">
        <v>1111</v>
      </c>
      <c r="D159" t="s">
        <v>1112</v>
      </c>
      <c r="E159">
        <v>90</v>
      </c>
      <c r="F159" t="str">
        <f>IF(_xlfn.XLOOKUP(C159,'75'!$C$2:$C$509,'75'!$D$2:$D$509)=D159,'75'!F159)</f>
        <v>ok</v>
      </c>
    </row>
    <row r="160" spans="1:6" x14ac:dyDescent="0.45">
      <c r="A160" t="s">
        <v>1113</v>
      </c>
      <c r="B160" t="s">
        <v>1114</v>
      </c>
      <c r="C160" t="s">
        <v>1115</v>
      </c>
      <c r="D160" t="s">
        <v>1116</v>
      </c>
      <c r="E160">
        <v>93</v>
      </c>
      <c r="F160" t="str">
        <f>IF(_xlfn.XLOOKUP(C160,'75'!$C$2:$C$509,'75'!$D$2:$D$509)=D160,'75'!F160)</f>
        <v>no</v>
      </c>
    </row>
    <row r="161" spans="1:6" x14ac:dyDescent="0.45">
      <c r="A161" t="s">
        <v>1117</v>
      </c>
      <c r="B161" t="s">
        <v>1118</v>
      </c>
      <c r="C161" t="s">
        <v>1119</v>
      </c>
      <c r="D161" t="s">
        <v>1120</v>
      </c>
      <c r="E161">
        <v>97</v>
      </c>
      <c r="F161" t="str">
        <f>IF(_xlfn.XLOOKUP(C161,'75'!$C$2:$C$509,'75'!$D$2:$D$509)=D161,'75'!F161)</f>
        <v>no</v>
      </c>
    </row>
    <row r="162" spans="1:6" x14ac:dyDescent="0.45">
      <c r="A162" t="s">
        <v>1121</v>
      </c>
      <c r="B162" t="s">
        <v>1122</v>
      </c>
      <c r="C162" t="s">
        <v>1123</v>
      </c>
      <c r="D162" t="s">
        <v>1124</v>
      </c>
      <c r="E162">
        <v>82</v>
      </c>
      <c r="F162" t="str">
        <f>IF(_xlfn.XLOOKUP(C162,'75'!$C$2:$C$509,'75'!$D$2:$D$509)=D162,'75'!F162)</f>
        <v>no</v>
      </c>
    </row>
    <row r="163" spans="1:6" x14ac:dyDescent="0.45">
      <c r="A163" t="s">
        <v>1125</v>
      </c>
      <c r="B163" t="s">
        <v>1129</v>
      </c>
      <c r="C163" t="s">
        <v>1127</v>
      </c>
      <c r="D163" t="s">
        <v>1130</v>
      </c>
      <c r="E163">
        <v>82</v>
      </c>
      <c r="F163" t="s">
        <v>1513</v>
      </c>
    </row>
    <row r="164" spans="1:6" x14ac:dyDescent="0.45">
      <c r="A164" t="s">
        <v>1137</v>
      </c>
      <c r="B164" t="s">
        <v>1138</v>
      </c>
      <c r="C164" t="s">
        <v>1139</v>
      </c>
      <c r="D164" t="s">
        <v>1140</v>
      </c>
      <c r="E164">
        <v>96</v>
      </c>
      <c r="F164" t="str">
        <f>IF(_xlfn.XLOOKUP(C164,'75'!$C$2:$C$509,'75'!$D$2:$D$509)=D164,'75'!F164)</f>
        <v>ok</v>
      </c>
    </row>
    <row r="165" spans="1:6" x14ac:dyDescent="0.45">
      <c r="A165" t="s">
        <v>1161</v>
      </c>
      <c r="B165" t="s">
        <v>1162</v>
      </c>
      <c r="C165" t="s">
        <v>1163</v>
      </c>
      <c r="D165" t="s">
        <v>1164</v>
      </c>
      <c r="E165">
        <v>90</v>
      </c>
      <c r="F165" t="str">
        <f>IF(_xlfn.XLOOKUP(C165,'75'!$C$2:$C$509,'75'!$D$2:$D$509)=D165,'75'!F165)</f>
        <v>no</v>
      </c>
    </row>
    <row r="166" spans="1:6" x14ac:dyDescent="0.45">
      <c r="A166" t="s">
        <v>1165</v>
      </c>
      <c r="B166" t="s">
        <v>1166</v>
      </c>
      <c r="C166" t="s">
        <v>1167</v>
      </c>
      <c r="D166" t="s">
        <v>1168</v>
      </c>
      <c r="E166">
        <v>93</v>
      </c>
      <c r="F166" t="str">
        <f>IF(_xlfn.XLOOKUP(C166,'75'!$C$2:$C$509,'75'!$D$2:$D$509)=D166,'75'!F166)</f>
        <v>no</v>
      </c>
    </row>
    <row r="167" spans="1:6" x14ac:dyDescent="0.45">
      <c r="A167" t="s">
        <v>1173</v>
      </c>
      <c r="B167" t="s">
        <v>1174</v>
      </c>
      <c r="C167" t="s">
        <v>1175</v>
      </c>
      <c r="D167" t="s">
        <v>1176</v>
      </c>
      <c r="E167">
        <v>82</v>
      </c>
      <c r="F167" t="str">
        <f>IF(_xlfn.XLOOKUP(C167,'75'!$C$2:$C$509,'75'!$D$2:$D$509)=D167,'75'!F167)</f>
        <v>ok</v>
      </c>
    </row>
    <row r="168" spans="1:6" x14ac:dyDescent="0.45">
      <c r="A168" t="s">
        <v>1189</v>
      </c>
      <c r="B168" t="s">
        <v>1190</v>
      </c>
      <c r="C168" t="s">
        <v>1191</v>
      </c>
      <c r="D168" t="s">
        <v>1192</v>
      </c>
      <c r="E168">
        <v>92</v>
      </c>
      <c r="F168" t="str">
        <f>IF(_xlfn.XLOOKUP(C168,'75'!$C$2:$C$509,'75'!$D$2:$D$509)=D168,'75'!F168)</f>
        <v>ok</v>
      </c>
    </row>
    <row r="169" spans="1:6" x14ac:dyDescent="0.45">
      <c r="A169" t="s">
        <v>1205</v>
      </c>
      <c r="B169" t="s">
        <v>1206</v>
      </c>
      <c r="C169" t="s">
        <v>1207</v>
      </c>
      <c r="D169" t="s">
        <v>1208</v>
      </c>
      <c r="E169">
        <v>95</v>
      </c>
      <c r="F169" t="str">
        <f>IF(_xlfn.XLOOKUP(C169,'75'!$C$2:$C$509,'75'!$D$2:$D$509)=D169,'75'!F169)</f>
        <v>no</v>
      </c>
    </row>
    <row r="170" spans="1:6" x14ac:dyDescent="0.45">
      <c r="A170" t="s">
        <v>1209</v>
      </c>
      <c r="B170" t="s">
        <v>1210</v>
      </c>
      <c r="C170" t="s">
        <v>1211</v>
      </c>
      <c r="D170" t="s">
        <v>1212</v>
      </c>
      <c r="E170">
        <v>88</v>
      </c>
      <c r="F170" t="str">
        <f>IF(_xlfn.XLOOKUP(C170,'75'!$C$2:$C$509,'75'!$D$2:$D$509)=D170,'75'!F170)</f>
        <v>no</v>
      </c>
    </row>
    <row r="171" spans="1:6" x14ac:dyDescent="0.45">
      <c r="A171" t="s">
        <v>1219</v>
      </c>
      <c r="B171" t="s">
        <v>1220</v>
      </c>
      <c r="C171" t="s">
        <v>1221</v>
      </c>
      <c r="D171" t="s">
        <v>1222</v>
      </c>
      <c r="E171">
        <v>87</v>
      </c>
      <c r="F171" t="str">
        <f>IF(_xlfn.XLOOKUP(C171,'75'!$C$2:$C$509,'75'!$D$2:$D$509)=D171,'75'!F171)</f>
        <v>no</v>
      </c>
    </row>
    <row r="172" spans="1:6" x14ac:dyDescent="0.45">
      <c r="A172" t="s">
        <v>1223</v>
      </c>
      <c r="B172" t="s">
        <v>1224</v>
      </c>
      <c r="C172" t="s">
        <v>1225</v>
      </c>
      <c r="D172" t="s">
        <v>1226</v>
      </c>
      <c r="E172">
        <v>98</v>
      </c>
      <c r="F172" t="str">
        <f>IF(_xlfn.XLOOKUP(C172,'75'!$C$2:$C$509,'75'!$D$2:$D$509)=D172,'75'!F172)</f>
        <v>no</v>
      </c>
    </row>
    <row r="173" spans="1:6" x14ac:dyDescent="0.45">
      <c r="A173" t="s">
        <v>1231</v>
      </c>
      <c r="B173" t="s">
        <v>1228</v>
      </c>
      <c r="C173" t="s">
        <v>1232</v>
      </c>
      <c r="D173" t="s">
        <v>1230</v>
      </c>
      <c r="E173">
        <v>94</v>
      </c>
      <c r="F173" t="str">
        <f>IF(_xlfn.XLOOKUP(C173,'75'!$C$2:$C$509,'75'!$D$2:$D$509)=D173,'75'!F173)</f>
        <v>no</v>
      </c>
    </row>
    <row r="174" spans="1:6" x14ac:dyDescent="0.45">
      <c r="A174" t="s">
        <v>1233</v>
      </c>
      <c r="B174" t="s">
        <v>1186</v>
      </c>
      <c r="C174" t="s">
        <v>1234</v>
      </c>
      <c r="D174" t="s">
        <v>1188</v>
      </c>
      <c r="E174">
        <v>90</v>
      </c>
      <c r="F174" t="str">
        <f>IF(_xlfn.XLOOKUP(C174,'75'!$C$2:$C$509,'75'!$D$2:$D$509)=D174,'75'!F174)</f>
        <v>no</v>
      </c>
    </row>
    <row r="175" spans="1:6" x14ac:dyDescent="0.45">
      <c r="A175" t="s">
        <v>1235</v>
      </c>
      <c r="B175" t="s">
        <v>1236</v>
      </c>
      <c r="C175" t="s">
        <v>1237</v>
      </c>
      <c r="D175" t="s">
        <v>1238</v>
      </c>
      <c r="E175">
        <v>87</v>
      </c>
      <c r="F175" t="str">
        <f>IF(_xlfn.XLOOKUP(C175,'75'!$C$2:$C$509,'75'!$D$2:$D$509)=D175,'75'!F175)</f>
        <v>ok</v>
      </c>
    </row>
    <row r="176" spans="1:6" x14ac:dyDescent="0.45">
      <c r="A176" t="s">
        <v>1239</v>
      </c>
      <c r="B176" t="s">
        <v>1240</v>
      </c>
      <c r="C176" t="s">
        <v>1241</v>
      </c>
      <c r="D176" t="s">
        <v>1242</v>
      </c>
      <c r="E176">
        <v>84</v>
      </c>
      <c r="F176" t="str">
        <f>IF(_xlfn.XLOOKUP(C176,'75'!$C$2:$C$509,'75'!$D$2:$D$509)=D176,'75'!F176)</f>
        <v>no</v>
      </c>
    </row>
    <row r="177" spans="1:6" x14ac:dyDescent="0.45">
      <c r="A177" t="s">
        <v>1251</v>
      </c>
      <c r="B177" t="s">
        <v>1252</v>
      </c>
      <c r="C177" t="s">
        <v>1253</v>
      </c>
      <c r="D177" t="s">
        <v>1254</v>
      </c>
      <c r="E177">
        <v>94</v>
      </c>
      <c r="F177" t="str">
        <f>IF(_xlfn.XLOOKUP(C177,'75'!$C$2:$C$509,'75'!$D$2:$D$509)=D177,'75'!F177)</f>
        <v>ok</v>
      </c>
    </row>
    <row r="178" spans="1:6" x14ac:dyDescent="0.45">
      <c r="A178" t="s">
        <v>1261</v>
      </c>
      <c r="B178" t="s">
        <v>1262</v>
      </c>
      <c r="C178" t="s">
        <v>1263</v>
      </c>
      <c r="D178" t="s">
        <v>1264</v>
      </c>
      <c r="E178">
        <v>85</v>
      </c>
      <c r="F178" t="str">
        <f>IF(_xlfn.XLOOKUP(C178,'75'!$C$2:$C$509,'75'!$D$2:$D$509)=D178,'75'!F178)</f>
        <v>no</v>
      </c>
    </row>
    <row r="179" spans="1:6" x14ac:dyDescent="0.45">
      <c r="A179" t="s">
        <v>1265</v>
      </c>
      <c r="B179" t="s">
        <v>1266</v>
      </c>
      <c r="C179" t="s">
        <v>1267</v>
      </c>
      <c r="D179" t="s">
        <v>1268</v>
      </c>
      <c r="E179">
        <v>82</v>
      </c>
      <c r="F179" t="str">
        <f>IF(_xlfn.XLOOKUP(C179,'75'!$C$2:$C$509,'75'!$D$2:$D$509)=D179,'75'!F179)</f>
        <v>ok</v>
      </c>
    </row>
    <row r="180" spans="1:6" x14ac:dyDescent="0.45">
      <c r="A180" t="s">
        <v>1269</v>
      </c>
      <c r="B180" t="s">
        <v>1270</v>
      </c>
      <c r="C180" t="s">
        <v>1271</v>
      </c>
      <c r="D180" t="s">
        <v>1272</v>
      </c>
      <c r="E180">
        <v>84</v>
      </c>
      <c r="F180" t="str">
        <f>IF(_xlfn.XLOOKUP(C180,'75'!$C$2:$C$509,'75'!$D$2:$D$509)=D180,'75'!F180)</f>
        <v>ok</v>
      </c>
    </row>
    <row r="181" spans="1:6" x14ac:dyDescent="0.45">
      <c r="A181" t="s">
        <v>1273</v>
      </c>
      <c r="B181" t="s">
        <v>1274</v>
      </c>
      <c r="C181" t="s">
        <v>1275</v>
      </c>
      <c r="D181" t="s">
        <v>1276</v>
      </c>
      <c r="E181">
        <v>91</v>
      </c>
      <c r="F181" t="str">
        <f>IF(_xlfn.XLOOKUP(C181,'75'!$C$2:$C$509,'75'!$D$2:$D$509)=D181,'75'!F181)</f>
        <v>no</v>
      </c>
    </row>
    <row r="182" spans="1:6" x14ac:dyDescent="0.45">
      <c r="A182" t="s">
        <v>1281</v>
      </c>
      <c r="B182" t="s">
        <v>1282</v>
      </c>
      <c r="C182" t="s">
        <v>1283</v>
      </c>
      <c r="D182" t="s">
        <v>1284</v>
      </c>
      <c r="E182">
        <v>85</v>
      </c>
      <c r="F182" t="str">
        <f>IF(_xlfn.XLOOKUP(C182,'75'!$C$2:$C$509,'75'!$D$2:$D$509)=D182,'75'!F182)</f>
        <v>no</v>
      </c>
    </row>
    <row r="183" spans="1:6" x14ac:dyDescent="0.45">
      <c r="A183" t="s">
        <v>1285</v>
      </c>
      <c r="B183" t="s">
        <v>1286</v>
      </c>
      <c r="C183" t="s">
        <v>1287</v>
      </c>
      <c r="D183" t="s">
        <v>1288</v>
      </c>
      <c r="E183">
        <v>82</v>
      </c>
      <c r="F183" t="str">
        <f>IF(_xlfn.XLOOKUP(C183,'75'!$C$2:$C$509,'75'!$D$2:$D$509)=D183,'75'!F183)</f>
        <v>ok</v>
      </c>
    </row>
    <row r="184" spans="1:6" x14ac:dyDescent="0.45">
      <c r="A184" t="s">
        <v>1299</v>
      </c>
      <c r="B184" t="s">
        <v>1300</v>
      </c>
      <c r="C184" t="s">
        <v>1301</v>
      </c>
      <c r="D184" t="s">
        <v>1302</v>
      </c>
      <c r="E184">
        <v>86</v>
      </c>
      <c r="F184" t="str">
        <f>IF(_xlfn.XLOOKUP(C184,'75'!$C$2:$C$509,'75'!$D$2:$D$509)=D184,'75'!F184)</f>
        <v>no</v>
      </c>
    </row>
    <row r="185" spans="1:6" x14ac:dyDescent="0.45">
      <c r="A185" t="s">
        <v>1307</v>
      </c>
      <c r="B185" t="s">
        <v>1319</v>
      </c>
      <c r="C185" t="s">
        <v>1309</v>
      </c>
      <c r="D185" t="s">
        <v>1320</v>
      </c>
      <c r="E185">
        <v>86</v>
      </c>
      <c r="F185" t="s">
        <v>1513</v>
      </c>
    </row>
    <row r="186" spans="1:6" x14ac:dyDescent="0.45">
      <c r="A186" t="s">
        <v>1307</v>
      </c>
      <c r="B186" t="s">
        <v>1321</v>
      </c>
      <c r="C186" t="s">
        <v>1309</v>
      </c>
      <c r="D186" t="s">
        <v>1322</v>
      </c>
      <c r="E186">
        <v>82</v>
      </c>
      <c r="F186" t="s">
        <v>1513</v>
      </c>
    </row>
    <row r="187" spans="1:6" x14ac:dyDescent="0.45">
      <c r="A187" t="s">
        <v>1329</v>
      </c>
      <c r="B187" t="s">
        <v>1330</v>
      </c>
      <c r="C187" t="s">
        <v>1331</v>
      </c>
      <c r="D187" t="s">
        <v>1332</v>
      </c>
      <c r="E187">
        <v>92</v>
      </c>
      <c r="F187" t="str">
        <f>IF(_xlfn.XLOOKUP(C187,'75'!$C$2:$C$509,'75'!$D$2:$D$509)=D187,'75'!F187)</f>
        <v>no</v>
      </c>
    </row>
    <row r="188" spans="1:6" x14ac:dyDescent="0.45">
      <c r="A188" t="s">
        <v>1339</v>
      </c>
      <c r="B188" t="s">
        <v>1341</v>
      </c>
      <c r="C188" t="s">
        <v>1340</v>
      </c>
      <c r="D188" t="s">
        <v>1342</v>
      </c>
      <c r="E188">
        <v>95</v>
      </c>
      <c r="F188" t="s">
        <v>1512</v>
      </c>
    </row>
    <row r="189" spans="1:6" x14ac:dyDescent="0.45">
      <c r="A189" t="s">
        <v>1355</v>
      </c>
      <c r="B189" t="s">
        <v>1356</v>
      </c>
      <c r="C189" t="s">
        <v>1357</v>
      </c>
      <c r="D189" t="s">
        <v>1358</v>
      </c>
      <c r="E189">
        <v>85</v>
      </c>
      <c r="F189" t="str">
        <f>IF(_xlfn.XLOOKUP(C189,'75'!$C$2:$C$509,'75'!$D$2:$D$509)=D189,'75'!F189)</f>
        <v>ok</v>
      </c>
    </row>
    <row r="190" spans="1:6" x14ac:dyDescent="0.45">
      <c r="A190" t="s">
        <v>1369</v>
      </c>
      <c r="B190" t="s">
        <v>1370</v>
      </c>
      <c r="C190" t="s">
        <v>1371</v>
      </c>
      <c r="D190" t="s">
        <v>1372</v>
      </c>
      <c r="E190">
        <v>83</v>
      </c>
      <c r="F190" t="str">
        <f>IF(_xlfn.XLOOKUP(C190,'75'!$C$2:$C$509,'75'!$D$2:$D$509)=D190,'75'!F190)</f>
        <v>no</v>
      </c>
    </row>
    <row r="191" spans="1:6" x14ac:dyDescent="0.45">
      <c r="A191" t="s">
        <v>1373</v>
      </c>
      <c r="B191" t="s">
        <v>1374</v>
      </c>
      <c r="C191" t="s">
        <v>1375</v>
      </c>
      <c r="D191" t="s">
        <v>1376</v>
      </c>
      <c r="E191">
        <v>89</v>
      </c>
      <c r="F191" t="str">
        <f>IF(_xlfn.XLOOKUP(C191,'75'!$C$2:$C$509,'75'!$D$2:$D$509)=D191,'75'!F191)</f>
        <v>ok</v>
      </c>
    </row>
    <row r="192" spans="1:6" x14ac:dyDescent="0.45">
      <c r="A192" t="s">
        <v>1308</v>
      </c>
      <c r="B192" t="s">
        <v>1311</v>
      </c>
      <c r="C192" t="s">
        <v>1310</v>
      </c>
      <c r="D192" t="s">
        <v>1312</v>
      </c>
      <c r="E192">
        <v>83</v>
      </c>
      <c r="F192" t="str">
        <f>IF(_xlfn.XLOOKUP(C192,'75'!$C$2:$C$509,'75'!$D$2:$D$509)=D192,'75'!F192)</f>
        <v>no</v>
      </c>
    </row>
    <row r="193" spans="1:6" x14ac:dyDescent="0.45">
      <c r="A193" t="s">
        <v>1308</v>
      </c>
      <c r="B193" t="s">
        <v>1313</v>
      </c>
      <c r="C193" t="s">
        <v>1310</v>
      </c>
      <c r="D193" t="s">
        <v>1314</v>
      </c>
      <c r="E193">
        <v>83</v>
      </c>
      <c r="F193" t="s">
        <v>1513</v>
      </c>
    </row>
    <row r="194" spans="1:6" x14ac:dyDescent="0.45">
      <c r="A194" t="s">
        <v>1308</v>
      </c>
      <c r="B194" t="s">
        <v>1315</v>
      </c>
      <c r="C194" t="s">
        <v>1310</v>
      </c>
      <c r="D194" t="s">
        <v>1316</v>
      </c>
      <c r="E194">
        <v>83</v>
      </c>
      <c r="F194" t="s">
        <v>1513</v>
      </c>
    </row>
    <row r="195" spans="1:6" x14ac:dyDescent="0.45">
      <c r="A195" t="s">
        <v>1308</v>
      </c>
      <c r="B195" t="s">
        <v>1317</v>
      </c>
      <c r="C195" t="s">
        <v>1310</v>
      </c>
      <c r="D195" t="s">
        <v>1318</v>
      </c>
      <c r="E195">
        <v>83</v>
      </c>
      <c r="F195" t="s">
        <v>1513</v>
      </c>
    </row>
    <row r="196" spans="1:6" x14ac:dyDescent="0.45">
      <c r="A196" t="s">
        <v>1379</v>
      </c>
      <c r="B196" t="s">
        <v>1380</v>
      </c>
      <c r="C196" t="s">
        <v>1381</v>
      </c>
      <c r="D196" t="s">
        <v>1382</v>
      </c>
      <c r="E196">
        <v>82</v>
      </c>
      <c r="F196" t="str">
        <f>IF(_xlfn.XLOOKUP(C196,'75'!$C$2:$C$509,'75'!$D$2:$D$509)=D196,'75'!F196)</f>
        <v>no</v>
      </c>
    </row>
    <row r="197" spans="1:6" x14ac:dyDescent="0.45">
      <c r="A197" t="s">
        <v>1311</v>
      </c>
      <c r="B197" t="s">
        <v>1313</v>
      </c>
      <c r="C197" t="s">
        <v>1312</v>
      </c>
      <c r="D197" t="s">
        <v>1314</v>
      </c>
      <c r="E197">
        <v>83</v>
      </c>
      <c r="F197" t="str">
        <f>IF(_xlfn.XLOOKUP(C197,'75'!$C$2:$C$509,'75'!$D$2:$D$509)=D197,'75'!F197)</f>
        <v>no</v>
      </c>
    </row>
    <row r="198" spans="1:6" x14ac:dyDescent="0.45">
      <c r="A198" t="s">
        <v>1311</v>
      </c>
      <c r="B198" t="s">
        <v>1315</v>
      </c>
      <c r="C198" t="s">
        <v>1312</v>
      </c>
      <c r="D198" t="s">
        <v>1316</v>
      </c>
      <c r="E198">
        <v>83</v>
      </c>
      <c r="F198" t="s">
        <v>1513</v>
      </c>
    </row>
    <row r="199" spans="1:6" x14ac:dyDescent="0.45">
      <c r="A199" t="s">
        <v>1311</v>
      </c>
      <c r="B199" t="s">
        <v>1317</v>
      </c>
      <c r="C199" t="s">
        <v>1312</v>
      </c>
      <c r="D199" t="s">
        <v>1318</v>
      </c>
      <c r="E199">
        <v>83</v>
      </c>
      <c r="F199" t="s">
        <v>1513</v>
      </c>
    </row>
    <row r="200" spans="1:6" x14ac:dyDescent="0.45">
      <c r="A200" t="s">
        <v>1313</v>
      </c>
      <c r="B200" t="s">
        <v>1315</v>
      </c>
      <c r="C200" t="s">
        <v>1314</v>
      </c>
      <c r="D200" t="s">
        <v>1316</v>
      </c>
      <c r="E200">
        <v>83</v>
      </c>
      <c r="F200" t="str">
        <f>IF(_xlfn.XLOOKUP(C200,'75'!$C$2:$C$509,'75'!$D$2:$D$509)=D200,'75'!F200)</f>
        <v>ok</v>
      </c>
    </row>
    <row r="201" spans="1:6" x14ac:dyDescent="0.45">
      <c r="A201" t="s">
        <v>1313</v>
      </c>
      <c r="B201" t="s">
        <v>1317</v>
      </c>
      <c r="C201" t="s">
        <v>1314</v>
      </c>
      <c r="D201" t="s">
        <v>1318</v>
      </c>
      <c r="E201">
        <v>83</v>
      </c>
      <c r="F201" t="s">
        <v>1513</v>
      </c>
    </row>
    <row r="202" spans="1:6" x14ac:dyDescent="0.45">
      <c r="A202" t="s">
        <v>1383</v>
      </c>
      <c r="B202" t="s">
        <v>1380</v>
      </c>
      <c r="C202" t="s">
        <v>1384</v>
      </c>
      <c r="D202" t="s">
        <v>1382</v>
      </c>
      <c r="E202">
        <v>86</v>
      </c>
      <c r="F202" t="str">
        <f>IF(_xlfn.XLOOKUP(C202,'75'!$C$2:$C$509,'75'!$D$2:$D$509)=D202,'75'!F202)</f>
        <v>no</v>
      </c>
    </row>
    <row r="203" spans="1:6" x14ac:dyDescent="0.45">
      <c r="A203" t="s">
        <v>1315</v>
      </c>
      <c r="B203" t="s">
        <v>1317</v>
      </c>
      <c r="C203" t="s">
        <v>1316</v>
      </c>
      <c r="D203" t="s">
        <v>1318</v>
      </c>
      <c r="E203">
        <v>83</v>
      </c>
      <c r="F203" t="str">
        <f>IF(_xlfn.XLOOKUP(C203,'75'!$C$2:$C$509,'75'!$D$2:$D$509)=D203,'75'!F203)</f>
        <v>no</v>
      </c>
    </row>
    <row r="204" spans="1:6" x14ac:dyDescent="0.45">
      <c r="A204" t="s">
        <v>1385</v>
      </c>
      <c r="B204" t="s">
        <v>1386</v>
      </c>
      <c r="C204" t="s">
        <v>1387</v>
      </c>
      <c r="D204" t="s">
        <v>1388</v>
      </c>
      <c r="E204">
        <v>89</v>
      </c>
      <c r="F204" t="str">
        <f>IF(_xlfn.XLOOKUP(C204,'75'!$C$2:$C$509,'75'!$D$2:$D$509)=D204,'75'!F204)</f>
        <v>no</v>
      </c>
    </row>
    <row r="205" spans="1:6" x14ac:dyDescent="0.45">
      <c r="A205" t="s">
        <v>1391</v>
      </c>
      <c r="B205" t="s">
        <v>1392</v>
      </c>
      <c r="C205" t="s">
        <v>1393</v>
      </c>
      <c r="D205" t="s">
        <v>1394</v>
      </c>
      <c r="E205">
        <v>86</v>
      </c>
      <c r="F205" t="str">
        <f>IF(_xlfn.XLOOKUP(C205,'75'!$C$2:$C$509,'75'!$D$2:$D$509)=D205,'75'!F205)</f>
        <v>no</v>
      </c>
    </row>
    <row r="206" spans="1:6" x14ac:dyDescent="0.45">
      <c r="A206" t="s">
        <v>1397</v>
      </c>
      <c r="B206" t="s">
        <v>1398</v>
      </c>
      <c r="C206" t="s">
        <v>1399</v>
      </c>
      <c r="D206" t="s">
        <v>1400</v>
      </c>
      <c r="E206">
        <v>83</v>
      </c>
      <c r="F206" t="str">
        <f>IF(_xlfn.XLOOKUP(C206,'75'!$C$2:$C$509,'75'!$D$2:$D$509)=D206,'75'!F206)</f>
        <v>no</v>
      </c>
    </row>
    <row r="207" spans="1:6" x14ac:dyDescent="0.45">
      <c r="A207" t="s">
        <v>1401</v>
      </c>
      <c r="B207" t="s">
        <v>1402</v>
      </c>
      <c r="C207" t="s">
        <v>1403</v>
      </c>
      <c r="D207" t="s">
        <v>1404</v>
      </c>
      <c r="E207">
        <v>84</v>
      </c>
      <c r="F207" t="str">
        <f>IF(_xlfn.XLOOKUP(C207,'75'!$C$2:$C$509,'75'!$D$2:$D$509)=D207,'75'!F207)</f>
        <v>no</v>
      </c>
    </row>
    <row r="208" spans="1:6" x14ac:dyDescent="0.45">
      <c r="A208" t="s">
        <v>1405</v>
      </c>
      <c r="B208" t="s">
        <v>1406</v>
      </c>
      <c r="C208" t="s">
        <v>1407</v>
      </c>
      <c r="D208" t="s">
        <v>1408</v>
      </c>
      <c r="E208">
        <v>83</v>
      </c>
      <c r="F208" t="str">
        <f>IF(_xlfn.XLOOKUP(C208,'75'!$C$2:$C$509,'75'!$D$2:$D$509)=D208,'75'!F208)</f>
        <v>ok</v>
      </c>
    </row>
    <row r="209" spans="1:6" x14ac:dyDescent="0.45">
      <c r="A209" t="s">
        <v>1409</v>
      </c>
      <c r="B209" t="s">
        <v>1410</v>
      </c>
      <c r="C209" t="s">
        <v>1411</v>
      </c>
      <c r="D209" t="s">
        <v>1412</v>
      </c>
      <c r="E209">
        <v>96</v>
      </c>
      <c r="F209" t="str">
        <f>IF(_xlfn.XLOOKUP(C209,'75'!$C$2:$C$509,'75'!$D$2:$D$509)=D209,'75'!F209)</f>
        <v>ok</v>
      </c>
    </row>
    <row r="210" spans="1:6" x14ac:dyDescent="0.45">
      <c r="A210" t="s">
        <v>1414</v>
      </c>
      <c r="B210" t="s">
        <v>1417</v>
      </c>
      <c r="C210" t="s">
        <v>1416</v>
      </c>
      <c r="D210" t="s">
        <v>1418</v>
      </c>
      <c r="E210">
        <v>88</v>
      </c>
      <c r="F210" t="s">
        <v>1513</v>
      </c>
    </row>
    <row r="211" spans="1:6" x14ac:dyDescent="0.45">
      <c r="A211" t="s">
        <v>1437</v>
      </c>
      <c r="B211" t="s">
        <v>1434</v>
      </c>
      <c r="C211" t="s">
        <v>1438</v>
      </c>
      <c r="D211" t="s">
        <v>1436</v>
      </c>
      <c r="E211">
        <v>82</v>
      </c>
      <c r="F211" t="str">
        <f>IF(_xlfn.XLOOKUP(C211,'75'!$C$2:$C$509,'75'!$D$2:$D$509)=D211,'75'!F211)</f>
        <v>no</v>
      </c>
    </row>
    <row r="212" spans="1:6" x14ac:dyDescent="0.45">
      <c r="A212" t="s">
        <v>1439</v>
      </c>
      <c r="B212" t="s">
        <v>1440</v>
      </c>
      <c r="C212" t="s">
        <v>1441</v>
      </c>
      <c r="D212" t="s">
        <v>1442</v>
      </c>
      <c r="E212">
        <v>91</v>
      </c>
      <c r="F212" t="str">
        <f>IF(_xlfn.XLOOKUP(C212,'75'!$C$2:$C$509,'75'!$D$2:$D$509)=D212,'75'!F212)</f>
        <v>ok</v>
      </c>
    </row>
    <row r="213" spans="1:6" x14ac:dyDescent="0.45">
      <c r="A213" t="s">
        <v>1449</v>
      </c>
      <c r="B213" t="s">
        <v>1461</v>
      </c>
      <c r="C213" t="s">
        <v>1451</v>
      </c>
      <c r="D213" t="s">
        <v>1462</v>
      </c>
      <c r="E213">
        <v>84</v>
      </c>
      <c r="F213" t="s">
        <v>1513</v>
      </c>
    </row>
    <row r="214" spans="1:6" x14ac:dyDescent="0.45">
      <c r="A214" t="s">
        <v>1464</v>
      </c>
      <c r="B214" t="s">
        <v>1469</v>
      </c>
      <c r="C214" t="s">
        <v>1466</v>
      </c>
      <c r="D214" t="s">
        <v>1470</v>
      </c>
      <c r="E214">
        <v>82</v>
      </c>
      <c r="F214" t="str">
        <f>IF(_xlfn.XLOOKUP(C214,'75'!$C$2:$C$509,'75'!$D$2:$D$509)=D214,'75'!F214)</f>
        <v>ok</v>
      </c>
    </row>
    <row r="215" spans="1:6" x14ac:dyDescent="0.45">
      <c r="A215" t="s">
        <v>1479</v>
      </c>
      <c r="B215" t="s">
        <v>1480</v>
      </c>
      <c r="C215" t="s">
        <v>1481</v>
      </c>
      <c r="D215" t="s">
        <v>1482</v>
      </c>
      <c r="E215">
        <v>88</v>
      </c>
      <c r="F215" t="str">
        <f>IF(_xlfn.XLOOKUP(C215,'75'!$C$2:$C$509,'75'!$D$2:$D$509)=D215,'75'!F215)</f>
        <v>no</v>
      </c>
    </row>
    <row r="216" spans="1:6" x14ac:dyDescent="0.45">
      <c r="A216" t="s">
        <v>1491</v>
      </c>
      <c r="B216" t="s">
        <v>1492</v>
      </c>
      <c r="C216" t="s">
        <v>1493</v>
      </c>
      <c r="D216" t="s">
        <v>1494</v>
      </c>
      <c r="E216">
        <v>83</v>
      </c>
      <c r="F216" t="str">
        <f>IF(_xlfn.XLOOKUP(C216,'75'!$C$2:$C$509,'75'!$D$2:$D$509)=D216,'75'!F216)</f>
        <v>ok</v>
      </c>
    </row>
    <row r="217" spans="1:6" x14ac:dyDescent="0.45">
      <c r="A217" t="s">
        <v>1455</v>
      </c>
      <c r="B217" t="s">
        <v>1457</v>
      </c>
      <c r="C217" t="s">
        <v>1456</v>
      </c>
      <c r="D217" t="s">
        <v>1458</v>
      </c>
      <c r="E217">
        <v>86</v>
      </c>
      <c r="F217" t="str">
        <f>IF(_xlfn.XLOOKUP(C217,'75'!$C$2:$C$509,'75'!$D$2:$D$509)=D217,'75'!F217)</f>
        <v>no</v>
      </c>
    </row>
    <row r="218" spans="1:6" x14ac:dyDescent="0.45">
      <c r="A218" t="s">
        <v>1455</v>
      </c>
      <c r="B218" t="s">
        <v>1459</v>
      </c>
      <c r="C218" t="s">
        <v>1456</v>
      </c>
      <c r="D218" t="s">
        <v>1460</v>
      </c>
      <c r="E218">
        <v>86</v>
      </c>
      <c r="F218" t="s">
        <v>1513</v>
      </c>
    </row>
    <row r="219" spans="1:6" x14ac:dyDescent="0.45">
      <c r="A219" t="s">
        <v>1507</v>
      </c>
      <c r="B219" t="s">
        <v>1508</v>
      </c>
      <c r="C219" t="s">
        <v>1509</v>
      </c>
      <c r="D219" t="s">
        <v>1510</v>
      </c>
      <c r="E219">
        <v>92</v>
      </c>
      <c r="F219" t="str">
        <f>IF(_xlfn.XLOOKUP(C219,'75'!$C$2:$C$509,'75'!$D$2:$D$509)=D219,'75'!F219)</f>
        <v>no</v>
      </c>
    </row>
    <row r="220" spans="1:6" x14ac:dyDescent="0.45">
      <c r="A220" t="s">
        <v>1457</v>
      </c>
      <c r="B220" t="s">
        <v>1459</v>
      </c>
      <c r="C220" t="s">
        <v>1458</v>
      </c>
      <c r="D220" t="s">
        <v>1460</v>
      </c>
      <c r="E220">
        <v>86</v>
      </c>
      <c r="F220" t="str">
        <f>IF(_xlfn.XLOOKUP(C220,'75'!$C$2:$C$509,'75'!$D$2:$D$509)=D220,'75'!F220)</f>
        <v>no</v>
      </c>
    </row>
    <row r="221" spans="1:6" x14ac:dyDescent="0.45">
      <c r="A221" t="s">
        <v>1457</v>
      </c>
      <c r="B221" t="s">
        <v>1497</v>
      </c>
      <c r="C221" t="s">
        <v>1458</v>
      </c>
      <c r="D221" t="s">
        <v>1498</v>
      </c>
      <c r="E221">
        <v>82</v>
      </c>
      <c r="F221" t="s">
        <v>1513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794E-1E1C-438D-B836-4A28B95599C9}">
  <dimension ref="A1:J159"/>
  <sheetViews>
    <sheetView workbookViewId="0">
      <selection activeCell="F1" sqref="F1"/>
    </sheetView>
  </sheetViews>
  <sheetFormatPr defaultRowHeight="14.25" x14ac:dyDescent="0.45"/>
  <cols>
    <col min="1" max="1" width="26.86328125" bestFit="1" customWidth="1"/>
    <col min="2" max="2" width="25.06640625" bestFit="1" customWidth="1"/>
    <col min="3" max="4" width="11.73046875" bestFit="1" customWidth="1"/>
    <col min="5" max="5" width="13.4648437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1516</v>
      </c>
    </row>
    <row r="2" spans="1:10" x14ac:dyDescent="0.45">
      <c r="A2" t="s">
        <v>5</v>
      </c>
      <c r="B2" t="s">
        <v>6</v>
      </c>
      <c r="C2" t="s">
        <v>7</v>
      </c>
      <c r="D2" t="s">
        <v>8</v>
      </c>
      <c r="E2">
        <v>92</v>
      </c>
      <c r="F2" t="str">
        <f>IF(_xlfn.XLOOKUP(C2,'75'!$C$2:$C$509,'75'!$D$2:$D$509)=D2,'75'!F2)</f>
        <v>ok</v>
      </c>
      <c r="H2" t="s">
        <v>1517</v>
      </c>
      <c r="I2">
        <f>COUNTIF(F2:F159, "ok")/158</f>
        <v>0.44936708860759494</v>
      </c>
      <c r="J2">
        <f>COUNTIF(F2:F159, "ok")</f>
        <v>71</v>
      </c>
    </row>
    <row r="3" spans="1:10" x14ac:dyDescent="0.45">
      <c r="A3" t="s">
        <v>19</v>
      </c>
      <c r="B3" t="s">
        <v>20</v>
      </c>
      <c r="C3" t="s">
        <v>21</v>
      </c>
      <c r="D3" t="s">
        <v>22</v>
      </c>
      <c r="E3">
        <v>94</v>
      </c>
      <c r="F3" t="str">
        <f>IF(_xlfn.XLOOKUP(C3,'75'!$C$2:$C$509,'75'!$D$2:$D$509)=D3,'75'!F3)</f>
        <v>no</v>
      </c>
      <c r="H3" t="s">
        <v>1518</v>
      </c>
      <c r="I3">
        <f>COUNTIF(F2:F159, "no")/158</f>
        <v>0.55063291139240511</v>
      </c>
      <c r="J3">
        <f>COUNTIF(F2:F159,"no")</f>
        <v>87</v>
      </c>
    </row>
    <row r="4" spans="1:10" x14ac:dyDescent="0.45">
      <c r="A4" t="s">
        <v>31</v>
      </c>
      <c r="B4" t="s">
        <v>32</v>
      </c>
      <c r="C4" t="s">
        <v>33</v>
      </c>
      <c r="D4" t="s">
        <v>34</v>
      </c>
      <c r="E4">
        <v>85</v>
      </c>
      <c r="F4" t="str">
        <f>IF(_xlfn.XLOOKUP(C4,'75'!$C$2:$C$509,'75'!$D$2:$D$509)=D4,'75'!F4)</f>
        <v>no</v>
      </c>
    </row>
    <row r="5" spans="1:10" x14ac:dyDescent="0.45">
      <c r="A5" t="s">
        <v>57</v>
      </c>
      <c r="B5" t="s">
        <v>58</v>
      </c>
      <c r="C5" t="s">
        <v>59</v>
      </c>
      <c r="D5" t="s">
        <v>60</v>
      </c>
      <c r="E5">
        <v>85</v>
      </c>
      <c r="F5" t="str">
        <f>IF(_xlfn.XLOOKUP(C5,'75'!$C$2:$C$509,'75'!$D$2:$D$509)=D5,'75'!F5)</f>
        <v>no</v>
      </c>
    </row>
    <row r="6" spans="1:10" x14ac:dyDescent="0.45">
      <c r="A6" t="s">
        <v>79</v>
      </c>
      <c r="B6" t="s">
        <v>83</v>
      </c>
      <c r="C6" t="s">
        <v>81</v>
      </c>
      <c r="D6" t="s">
        <v>84</v>
      </c>
      <c r="E6">
        <v>90</v>
      </c>
      <c r="F6" t="s">
        <v>1513</v>
      </c>
    </row>
    <row r="7" spans="1:10" x14ac:dyDescent="0.45">
      <c r="A7" t="s">
        <v>85</v>
      </c>
      <c r="B7" t="s">
        <v>86</v>
      </c>
      <c r="C7" t="s">
        <v>87</v>
      </c>
      <c r="D7" t="s">
        <v>88</v>
      </c>
      <c r="E7">
        <v>90</v>
      </c>
      <c r="F7" t="str">
        <f>IF(_xlfn.XLOOKUP(C7,'75'!$C$2:$C$509,'75'!$D$2:$D$509)=D7,'75'!F7)</f>
        <v>no</v>
      </c>
    </row>
    <row r="8" spans="1:10" x14ac:dyDescent="0.45">
      <c r="A8" t="s">
        <v>89</v>
      </c>
      <c r="B8" t="s">
        <v>90</v>
      </c>
      <c r="C8" t="s">
        <v>91</v>
      </c>
      <c r="D8" t="s">
        <v>92</v>
      </c>
      <c r="E8">
        <v>94</v>
      </c>
      <c r="F8" t="str">
        <f>IF(_xlfn.XLOOKUP(C8,'75'!$C$2:$C$509,'75'!$D$2:$D$509)=D8,'75'!F8)</f>
        <v>no</v>
      </c>
    </row>
    <row r="9" spans="1:10" x14ac:dyDescent="0.45">
      <c r="A9" t="s">
        <v>97</v>
      </c>
      <c r="B9" t="s">
        <v>98</v>
      </c>
      <c r="C9" t="s">
        <v>99</v>
      </c>
      <c r="D9" t="s">
        <v>100</v>
      </c>
      <c r="E9">
        <v>92</v>
      </c>
      <c r="F9" t="str">
        <f>IF(_xlfn.XLOOKUP(C9,'75'!$C$2:$C$509,'75'!$D$2:$D$509)=D9,'75'!F9)</f>
        <v>no</v>
      </c>
    </row>
    <row r="10" spans="1:10" x14ac:dyDescent="0.45">
      <c r="A10" t="s">
        <v>101</v>
      </c>
      <c r="B10" t="s">
        <v>102</v>
      </c>
      <c r="C10" t="s">
        <v>103</v>
      </c>
      <c r="D10" t="s">
        <v>104</v>
      </c>
      <c r="E10">
        <v>88</v>
      </c>
      <c r="F10" t="str">
        <f>IF(_xlfn.XLOOKUP(C10,'75'!$C$2:$C$509,'75'!$D$2:$D$509)=D10,'75'!F10)</f>
        <v>no</v>
      </c>
    </row>
    <row r="11" spans="1:10" x14ac:dyDescent="0.45">
      <c r="A11" t="s">
        <v>109</v>
      </c>
      <c r="B11" t="s">
        <v>110</v>
      </c>
      <c r="C11" t="s">
        <v>111</v>
      </c>
      <c r="D11" t="s">
        <v>112</v>
      </c>
      <c r="E11">
        <v>85</v>
      </c>
      <c r="F11" t="str">
        <f>IF(_xlfn.XLOOKUP(C11,'75'!$C$2:$C$509,'75'!$D$2:$D$509)=D11,'75'!F11)</f>
        <v>ok</v>
      </c>
    </row>
    <row r="12" spans="1:10" x14ac:dyDescent="0.45">
      <c r="A12" t="s">
        <v>121</v>
      </c>
      <c r="B12" t="s">
        <v>122</v>
      </c>
      <c r="C12" t="s">
        <v>123</v>
      </c>
      <c r="D12" t="s">
        <v>124</v>
      </c>
      <c r="E12">
        <v>92</v>
      </c>
      <c r="F12" t="str">
        <f>IF(_xlfn.XLOOKUP(C12,'75'!$C$2:$C$509,'75'!$D$2:$D$509)=D12,'75'!F12)</f>
        <v>no</v>
      </c>
    </row>
    <row r="13" spans="1:10" x14ac:dyDescent="0.45">
      <c r="A13" t="s">
        <v>149</v>
      </c>
      <c r="B13" t="s">
        <v>150</v>
      </c>
      <c r="C13" t="s">
        <v>151</v>
      </c>
      <c r="D13" t="s">
        <v>152</v>
      </c>
      <c r="E13">
        <v>94</v>
      </c>
      <c r="F13" t="str">
        <f>IF(_xlfn.XLOOKUP(C13,'75'!$C$2:$C$509,'75'!$D$2:$D$509)=D13,'75'!F13)</f>
        <v>no</v>
      </c>
    </row>
    <row r="14" spans="1:10" x14ac:dyDescent="0.45">
      <c r="A14" t="s">
        <v>153</v>
      </c>
      <c r="B14" t="s">
        <v>154</v>
      </c>
      <c r="C14" t="s">
        <v>155</v>
      </c>
      <c r="D14" t="s">
        <v>156</v>
      </c>
      <c r="E14">
        <v>92</v>
      </c>
      <c r="F14" t="str">
        <f>IF(_xlfn.XLOOKUP(C14,'75'!$C$2:$C$509,'75'!$D$2:$D$509)=D14,'75'!F14)</f>
        <v>ok</v>
      </c>
    </row>
    <row r="15" spans="1:10" x14ac:dyDescent="0.45">
      <c r="A15" t="s">
        <v>159</v>
      </c>
      <c r="B15" t="s">
        <v>160</v>
      </c>
      <c r="C15" t="s">
        <v>161</v>
      </c>
      <c r="D15" t="s">
        <v>162</v>
      </c>
      <c r="E15">
        <v>98</v>
      </c>
      <c r="F15" t="str">
        <f>IF(_xlfn.XLOOKUP(C15,'75'!$C$2:$C$509,'75'!$D$2:$D$509)=D15,'75'!F15)</f>
        <v>no</v>
      </c>
    </row>
    <row r="16" spans="1:10" x14ac:dyDescent="0.45">
      <c r="A16" t="s">
        <v>163</v>
      </c>
      <c r="B16" t="s">
        <v>164</v>
      </c>
      <c r="C16" t="s">
        <v>165</v>
      </c>
      <c r="D16" t="s">
        <v>166</v>
      </c>
      <c r="E16">
        <v>94</v>
      </c>
      <c r="F16" t="str">
        <f>IF(_xlfn.XLOOKUP(C16,'75'!$C$2:$C$509,'75'!$D$2:$D$509)=D16,'75'!F16)</f>
        <v>no</v>
      </c>
    </row>
    <row r="17" spans="1:6" x14ac:dyDescent="0.45">
      <c r="A17" t="s">
        <v>167</v>
      </c>
      <c r="B17" t="s">
        <v>168</v>
      </c>
      <c r="C17" t="s">
        <v>169</v>
      </c>
      <c r="D17" t="s">
        <v>170</v>
      </c>
      <c r="E17">
        <v>97</v>
      </c>
      <c r="F17" t="str">
        <f>IF(_xlfn.XLOOKUP(C17,'75'!$C$2:$C$509,'75'!$D$2:$D$509)=D17,'75'!F17)</f>
        <v>ok</v>
      </c>
    </row>
    <row r="18" spans="1:6" x14ac:dyDescent="0.45">
      <c r="A18" t="s">
        <v>171</v>
      </c>
      <c r="B18" t="s">
        <v>172</v>
      </c>
      <c r="C18" t="s">
        <v>173</v>
      </c>
      <c r="D18" t="s">
        <v>174</v>
      </c>
      <c r="E18">
        <v>87</v>
      </c>
      <c r="F18" t="str">
        <f>IF(_xlfn.XLOOKUP(C18,'75'!$C$2:$C$509,'75'!$D$2:$D$509)=D18,'75'!F18)</f>
        <v>no</v>
      </c>
    </row>
    <row r="19" spans="1:6" x14ac:dyDescent="0.45">
      <c r="A19" t="s">
        <v>179</v>
      </c>
      <c r="B19" t="s">
        <v>180</v>
      </c>
      <c r="C19" t="s">
        <v>181</v>
      </c>
      <c r="D19" t="s">
        <v>182</v>
      </c>
      <c r="E19">
        <v>88</v>
      </c>
      <c r="F19" t="str">
        <f>IF(_xlfn.XLOOKUP(C19,'75'!$C$2:$C$509,'75'!$D$2:$D$509)=D19,'75'!F19)</f>
        <v>ok</v>
      </c>
    </row>
    <row r="20" spans="1:6" x14ac:dyDescent="0.45">
      <c r="A20" t="s">
        <v>191</v>
      </c>
      <c r="B20" t="s">
        <v>192</v>
      </c>
      <c r="C20" t="s">
        <v>193</v>
      </c>
      <c r="D20" t="s">
        <v>194</v>
      </c>
      <c r="E20">
        <v>93</v>
      </c>
      <c r="F20" t="str">
        <f>IF(_xlfn.XLOOKUP(C20,'75'!$C$2:$C$509,'75'!$D$2:$D$509)=D20,'75'!F20)</f>
        <v>no</v>
      </c>
    </row>
    <row r="21" spans="1:6" x14ac:dyDescent="0.45">
      <c r="A21" t="s">
        <v>191</v>
      </c>
      <c r="B21" t="s">
        <v>195</v>
      </c>
      <c r="C21" t="s">
        <v>193</v>
      </c>
      <c r="D21" t="s">
        <v>196</v>
      </c>
      <c r="E21">
        <v>97</v>
      </c>
      <c r="F21" t="s">
        <v>1512</v>
      </c>
    </row>
    <row r="22" spans="1:6" x14ac:dyDescent="0.45">
      <c r="A22" t="s">
        <v>211</v>
      </c>
      <c r="B22" t="s">
        <v>209</v>
      </c>
      <c r="C22" t="s">
        <v>212</v>
      </c>
      <c r="D22" t="s">
        <v>210</v>
      </c>
      <c r="E22">
        <v>88</v>
      </c>
      <c r="F22" t="s">
        <v>1513</v>
      </c>
    </row>
    <row r="23" spans="1:6" x14ac:dyDescent="0.45">
      <c r="A23" t="s">
        <v>213</v>
      </c>
      <c r="B23" t="s">
        <v>214</v>
      </c>
      <c r="C23" t="s">
        <v>215</v>
      </c>
      <c r="D23" t="s">
        <v>216</v>
      </c>
      <c r="E23">
        <v>92</v>
      </c>
      <c r="F23" t="str">
        <f>IF(_xlfn.XLOOKUP(C23,'75'!$C$2:$C$509,'75'!$D$2:$D$509)=D23,'75'!F23)</f>
        <v>ok</v>
      </c>
    </row>
    <row r="24" spans="1:6" x14ac:dyDescent="0.45">
      <c r="A24" t="s">
        <v>217</v>
      </c>
      <c r="B24" t="s">
        <v>221</v>
      </c>
      <c r="C24" t="s">
        <v>219</v>
      </c>
      <c r="D24" t="s">
        <v>222</v>
      </c>
      <c r="E24">
        <v>89</v>
      </c>
      <c r="F24" t="s">
        <v>1512</v>
      </c>
    </row>
    <row r="25" spans="1:6" x14ac:dyDescent="0.45">
      <c r="A25" t="s">
        <v>231</v>
      </c>
      <c r="B25" t="s">
        <v>235</v>
      </c>
      <c r="C25" t="s">
        <v>233</v>
      </c>
      <c r="D25" t="s">
        <v>236</v>
      </c>
      <c r="E25">
        <v>93</v>
      </c>
      <c r="F25" t="s">
        <v>1512</v>
      </c>
    </row>
    <row r="26" spans="1:6" x14ac:dyDescent="0.45">
      <c r="A26" t="s">
        <v>237</v>
      </c>
      <c r="B26" t="s">
        <v>238</v>
      </c>
      <c r="C26" t="s">
        <v>239</v>
      </c>
      <c r="D26" t="s">
        <v>240</v>
      </c>
      <c r="E26">
        <v>91</v>
      </c>
      <c r="F26" t="str">
        <f>IF(_xlfn.XLOOKUP(C26,'75'!$C$2:$C$509,'75'!$D$2:$D$509)=D26,'75'!F26)</f>
        <v>no</v>
      </c>
    </row>
    <row r="27" spans="1:6" x14ac:dyDescent="0.45">
      <c r="A27" t="s">
        <v>253</v>
      </c>
      <c r="B27" t="s">
        <v>254</v>
      </c>
      <c r="C27" t="s">
        <v>255</v>
      </c>
      <c r="D27" t="s">
        <v>256</v>
      </c>
      <c r="E27">
        <v>85</v>
      </c>
      <c r="F27" t="str">
        <f>IF(_xlfn.XLOOKUP(C27,'75'!$C$2:$C$509,'75'!$D$2:$D$509)=D27,'75'!F27)</f>
        <v>ok</v>
      </c>
    </row>
    <row r="28" spans="1:6" x14ac:dyDescent="0.45">
      <c r="A28" t="s">
        <v>259</v>
      </c>
      <c r="B28" t="s">
        <v>263</v>
      </c>
      <c r="C28" t="s">
        <v>261</v>
      </c>
      <c r="D28" t="s">
        <v>264</v>
      </c>
      <c r="E28">
        <v>96</v>
      </c>
      <c r="F28" t="s">
        <v>1513</v>
      </c>
    </row>
    <row r="29" spans="1:6" x14ac:dyDescent="0.45">
      <c r="A29" t="s">
        <v>205</v>
      </c>
      <c r="B29" t="s">
        <v>209</v>
      </c>
      <c r="C29" t="s">
        <v>206</v>
      </c>
      <c r="D29" t="s">
        <v>210</v>
      </c>
      <c r="E29">
        <v>86</v>
      </c>
      <c r="F29" t="s">
        <v>1513</v>
      </c>
    </row>
    <row r="30" spans="1:6" x14ac:dyDescent="0.45">
      <c r="A30" t="s">
        <v>279</v>
      </c>
      <c r="B30" t="s">
        <v>189</v>
      </c>
      <c r="C30" t="s">
        <v>280</v>
      </c>
      <c r="D30" t="s">
        <v>190</v>
      </c>
      <c r="E30">
        <v>95</v>
      </c>
      <c r="F30" t="str">
        <f>IF(_xlfn.XLOOKUP(C30,'75'!$C$2:$C$509,'75'!$D$2:$D$509)=D30,'75'!F30)</f>
        <v>ok</v>
      </c>
    </row>
    <row r="31" spans="1:6" x14ac:dyDescent="0.45">
      <c r="A31" t="s">
        <v>281</v>
      </c>
      <c r="B31" t="s">
        <v>282</v>
      </c>
      <c r="C31" t="s">
        <v>283</v>
      </c>
      <c r="D31" t="s">
        <v>284</v>
      </c>
      <c r="E31">
        <v>95</v>
      </c>
      <c r="F31" t="str">
        <f>IF(_xlfn.XLOOKUP(C31,'75'!$C$2:$C$509,'75'!$D$2:$D$509)=D31,'75'!F31)</f>
        <v>ok</v>
      </c>
    </row>
    <row r="32" spans="1:6" x14ac:dyDescent="0.45">
      <c r="A32" t="s">
        <v>266</v>
      </c>
      <c r="B32" t="s">
        <v>289</v>
      </c>
      <c r="C32" t="s">
        <v>268</v>
      </c>
      <c r="D32" t="s">
        <v>290</v>
      </c>
      <c r="E32">
        <v>86</v>
      </c>
      <c r="F32" t="str">
        <f>IF(_xlfn.XLOOKUP(C32,'75'!$C$2:$C$509,'75'!$D$2:$D$509)=D32,'75'!F32)</f>
        <v>no</v>
      </c>
    </row>
    <row r="33" spans="1:6" x14ac:dyDescent="0.45">
      <c r="A33" t="s">
        <v>291</v>
      </c>
      <c r="B33" t="s">
        <v>292</v>
      </c>
      <c r="C33" t="s">
        <v>293</v>
      </c>
      <c r="D33" t="s">
        <v>294</v>
      </c>
      <c r="E33">
        <v>94</v>
      </c>
      <c r="F33" t="str">
        <f>IF(_xlfn.XLOOKUP(C33,'75'!$C$2:$C$509,'75'!$D$2:$D$509)=D33,'75'!F33)</f>
        <v>no</v>
      </c>
    </row>
    <row r="34" spans="1:6" x14ac:dyDescent="0.45">
      <c r="A34" t="s">
        <v>218</v>
      </c>
      <c r="B34" t="s">
        <v>221</v>
      </c>
      <c r="C34" t="s">
        <v>220</v>
      </c>
      <c r="D34" t="s">
        <v>222</v>
      </c>
      <c r="E34">
        <v>92</v>
      </c>
      <c r="F34" t="str">
        <f>IF(_xlfn.XLOOKUP(C34,'75'!$C$2:$C$509,'75'!$D$2:$D$509)=D34,'75'!F34)</f>
        <v>no</v>
      </c>
    </row>
    <row r="35" spans="1:6" x14ac:dyDescent="0.45">
      <c r="A35" t="s">
        <v>192</v>
      </c>
      <c r="B35" t="s">
        <v>195</v>
      </c>
      <c r="C35" t="s">
        <v>194</v>
      </c>
      <c r="D35" t="s">
        <v>196</v>
      </c>
      <c r="E35">
        <v>97</v>
      </c>
      <c r="F35" t="str">
        <f>IF(_xlfn.XLOOKUP(C35,'75'!$C$2:$C$509,'75'!$D$2:$D$509)=D35,'75'!F35)</f>
        <v>ok</v>
      </c>
    </row>
    <row r="36" spans="1:6" x14ac:dyDescent="0.45">
      <c r="A36" t="s">
        <v>307</v>
      </c>
      <c r="B36" t="s">
        <v>308</v>
      </c>
      <c r="C36" t="s">
        <v>309</v>
      </c>
      <c r="D36" t="s">
        <v>310</v>
      </c>
      <c r="E36">
        <v>89</v>
      </c>
      <c r="F36" t="str">
        <f>IF(_xlfn.XLOOKUP(C36,'75'!$C$2:$C$509,'75'!$D$2:$D$509)=D36,'75'!F36)</f>
        <v>ok</v>
      </c>
    </row>
    <row r="37" spans="1:6" x14ac:dyDescent="0.45">
      <c r="A37" t="s">
        <v>319</v>
      </c>
      <c r="B37" t="s">
        <v>320</v>
      </c>
      <c r="C37" t="s">
        <v>321</v>
      </c>
      <c r="D37" t="s">
        <v>322</v>
      </c>
      <c r="E37">
        <v>92</v>
      </c>
      <c r="F37" t="str">
        <f>IF(_xlfn.XLOOKUP(C37,'75'!$C$2:$C$509,'75'!$D$2:$D$509)=D37,'75'!F37)</f>
        <v>no</v>
      </c>
    </row>
    <row r="38" spans="1:6" x14ac:dyDescent="0.45">
      <c r="A38" t="s">
        <v>327</v>
      </c>
      <c r="B38" t="s">
        <v>328</v>
      </c>
      <c r="C38" t="s">
        <v>329</v>
      </c>
      <c r="D38" t="s">
        <v>330</v>
      </c>
      <c r="E38">
        <v>86</v>
      </c>
      <c r="F38" t="str">
        <f>IF(_xlfn.XLOOKUP(C38,'75'!$C$2:$C$509,'75'!$D$2:$D$509)=D38,'75'!F38)</f>
        <v>no</v>
      </c>
    </row>
    <row r="39" spans="1:6" x14ac:dyDescent="0.45">
      <c r="A39" t="s">
        <v>339</v>
      </c>
      <c r="B39" t="s">
        <v>340</v>
      </c>
      <c r="C39" t="s">
        <v>341</v>
      </c>
      <c r="D39" t="s">
        <v>342</v>
      </c>
      <c r="E39">
        <v>85</v>
      </c>
      <c r="F39" t="str">
        <f>IF(_xlfn.XLOOKUP(C39,'75'!$C$2:$C$509,'75'!$D$2:$D$509)=D39,'75'!F39)</f>
        <v>ok</v>
      </c>
    </row>
    <row r="40" spans="1:6" x14ac:dyDescent="0.45">
      <c r="A40" t="s">
        <v>339</v>
      </c>
      <c r="B40" t="s">
        <v>343</v>
      </c>
      <c r="C40" t="s">
        <v>341</v>
      </c>
      <c r="D40" t="s">
        <v>344</v>
      </c>
      <c r="E40">
        <v>93</v>
      </c>
      <c r="F40" t="s">
        <v>1512</v>
      </c>
    </row>
    <row r="41" spans="1:6" x14ac:dyDescent="0.45">
      <c r="A41" t="s">
        <v>349</v>
      </c>
      <c r="B41" t="s">
        <v>350</v>
      </c>
      <c r="C41" t="s">
        <v>351</v>
      </c>
      <c r="D41" t="s">
        <v>352</v>
      </c>
      <c r="E41">
        <v>90</v>
      </c>
      <c r="F41" t="str">
        <f>IF(_xlfn.XLOOKUP(C41,'75'!$C$2:$C$509,'75'!$D$2:$D$509)=D41,'75'!F41)</f>
        <v>no</v>
      </c>
    </row>
    <row r="42" spans="1:6" x14ac:dyDescent="0.45">
      <c r="A42" t="s">
        <v>369</v>
      </c>
      <c r="B42" t="s">
        <v>370</v>
      </c>
      <c r="C42" t="s">
        <v>371</v>
      </c>
      <c r="D42" t="s">
        <v>372</v>
      </c>
      <c r="E42">
        <v>90</v>
      </c>
      <c r="F42" t="str">
        <f>IF(_xlfn.XLOOKUP(C42,'75'!$C$2:$C$509,'75'!$D$2:$D$509)=D42,'75'!F42)</f>
        <v>no</v>
      </c>
    </row>
    <row r="43" spans="1:6" x14ac:dyDescent="0.45">
      <c r="A43" t="s">
        <v>377</v>
      </c>
      <c r="B43" t="s">
        <v>378</v>
      </c>
      <c r="C43" t="s">
        <v>379</v>
      </c>
      <c r="D43" t="s">
        <v>380</v>
      </c>
      <c r="E43">
        <v>93</v>
      </c>
      <c r="F43" t="str">
        <f>IF(_xlfn.XLOOKUP(C43,'75'!$C$2:$C$509,'75'!$D$2:$D$509)=D43,'75'!F43)</f>
        <v>ok</v>
      </c>
    </row>
    <row r="44" spans="1:6" x14ac:dyDescent="0.45">
      <c r="A44" t="s">
        <v>381</v>
      </c>
      <c r="B44" t="s">
        <v>382</v>
      </c>
      <c r="C44" t="s">
        <v>383</v>
      </c>
      <c r="D44" t="s">
        <v>384</v>
      </c>
      <c r="E44">
        <v>96</v>
      </c>
      <c r="F44" t="str">
        <f>IF(_xlfn.XLOOKUP(C44,'75'!$C$2:$C$509,'75'!$D$2:$D$509)=D44,'75'!F44)</f>
        <v>ok</v>
      </c>
    </row>
    <row r="45" spans="1:6" x14ac:dyDescent="0.45">
      <c r="A45" t="s">
        <v>389</v>
      </c>
      <c r="B45" t="s">
        <v>390</v>
      </c>
      <c r="C45" t="s">
        <v>391</v>
      </c>
      <c r="D45" t="s">
        <v>392</v>
      </c>
      <c r="E45">
        <v>91</v>
      </c>
      <c r="F45" t="str">
        <f>IF(_xlfn.XLOOKUP(C45,'75'!$C$2:$C$509,'75'!$D$2:$D$509)=D45,'75'!F45)</f>
        <v>no</v>
      </c>
    </row>
    <row r="46" spans="1:6" x14ac:dyDescent="0.45">
      <c r="A46" t="s">
        <v>393</v>
      </c>
      <c r="B46" t="s">
        <v>394</v>
      </c>
      <c r="C46" t="s">
        <v>395</v>
      </c>
      <c r="D46" t="s">
        <v>396</v>
      </c>
      <c r="E46">
        <v>91</v>
      </c>
      <c r="F46" t="str">
        <f>IF(_xlfn.XLOOKUP(C46,'75'!$C$2:$C$509,'75'!$D$2:$D$509)=D46,'75'!F46)</f>
        <v>ok</v>
      </c>
    </row>
    <row r="47" spans="1:6" x14ac:dyDescent="0.45">
      <c r="A47" t="s">
        <v>401</v>
      </c>
      <c r="B47" t="s">
        <v>402</v>
      </c>
      <c r="C47" t="s">
        <v>403</v>
      </c>
      <c r="D47" t="s">
        <v>404</v>
      </c>
      <c r="E47">
        <v>92</v>
      </c>
      <c r="F47" t="str">
        <f>IF(_xlfn.XLOOKUP(C47,'75'!$C$2:$C$509,'75'!$D$2:$D$509)=D47,'75'!F47)</f>
        <v>ok</v>
      </c>
    </row>
    <row r="48" spans="1:6" x14ac:dyDescent="0.45">
      <c r="A48" t="s">
        <v>411</v>
      </c>
      <c r="B48" t="s">
        <v>412</v>
      </c>
      <c r="C48" t="s">
        <v>413</v>
      </c>
      <c r="D48" t="s">
        <v>414</v>
      </c>
      <c r="E48">
        <v>90</v>
      </c>
      <c r="F48" t="str">
        <f>IF(_xlfn.XLOOKUP(C48,'75'!$C$2:$C$509,'75'!$D$2:$D$509)=D48,'75'!F48)</f>
        <v>ok</v>
      </c>
    </row>
    <row r="49" spans="1:6" x14ac:dyDescent="0.45">
      <c r="A49" t="s">
        <v>433</v>
      </c>
      <c r="B49" t="s">
        <v>434</v>
      </c>
      <c r="C49" t="s">
        <v>435</v>
      </c>
      <c r="D49" t="s">
        <v>436</v>
      </c>
      <c r="E49">
        <v>87</v>
      </c>
      <c r="F49" t="str">
        <f>IF(_xlfn.XLOOKUP(C49,'75'!$C$2:$C$509,'75'!$D$2:$D$509)=D49,'75'!F49)</f>
        <v>ok</v>
      </c>
    </row>
    <row r="50" spans="1:6" x14ac:dyDescent="0.45">
      <c r="A50" t="s">
        <v>449</v>
      </c>
      <c r="B50" t="s">
        <v>450</v>
      </c>
      <c r="C50" t="s">
        <v>451</v>
      </c>
      <c r="D50" t="s">
        <v>452</v>
      </c>
      <c r="E50">
        <v>88</v>
      </c>
      <c r="F50" t="str">
        <f>IF(_xlfn.XLOOKUP(C50,'75'!$C$2:$C$509,'75'!$D$2:$D$509)=D50,'75'!F50)</f>
        <v>no</v>
      </c>
    </row>
    <row r="51" spans="1:6" x14ac:dyDescent="0.45">
      <c r="A51" t="s">
        <v>453</v>
      </c>
      <c r="B51" t="s">
        <v>454</v>
      </c>
      <c r="C51" t="s">
        <v>455</v>
      </c>
      <c r="D51" t="s">
        <v>456</v>
      </c>
      <c r="E51">
        <v>92</v>
      </c>
      <c r="F51" t="str">
        <f>IF(_xlfn.XLOOKUP(C51,'75'!$C$2:$C$509,'75'!$D$2:$D$509)=D51,'75'!F51)</f>
        <v>no</v>
      </c>
    </row>
    <row r="52" spans="1:6" x14ac:dyDescent="0.45">
      <c r="A52" t="s">
        <v>459</v>
      </c>
      <c r="B52" t="s">
        <v>460</v>
      </c>
      <c r="C52" t="s">
        <v>461</v>
      </c>
      <c r="D52" t="s">
        <v>462</v>
      </c>
      <c r="E52">
        <v>96</v>
      </c>
      <c r="F52" t="str">
        <f>IF(_xlfn.XLOOKUP(C52,'75'!$C$2:$C$509,'75'!$D$2:$D$509)=D52,'75'!F52)</f>
        <v>no</v>
      </c>
    </row>
    <row r="53" spans="1:6" x14ac:dyDescent="0.45">
      <c r="A53" t="s">
        <v>463</v>
      </c>
      <c r="B53" t="s">
        <v>464</v>
      </c>
      <c r="C53" t="s">
        <v>465</v>
      </c>
      <c r="D53" t="s">
        <v>466</v>
      </c>
      <c r="E53">
        <v>87</v>
      </c>
      <c r="F53" t="str">
        <f>IF(_xlfn.XLOOKUP(C53,'75'!$C$2:$C$509,'75'!$D$2:$D$509)=D53,'75'!F53)</f>
        <v>no</v>
      </c>
    </row>
    <row r="54" spans="1:6" x14ac:dyDescent="0.45">
      <c r="A54" t="s">
        <v>467</v>
      </c>
      <c r="B54" t="s">
        <v>468</v>
      </c>
      <c r="C54" t="s">
        <v>469</v>
      </c>
      <c r="D54" t="s">
        <v>470</v>
      </c>
      <c r="E54">
        <v>97</v>
      </c>
      <c r="F54" t="str">
        <f>IF(_xlfn.XLOOKUP(C54,'75'!$C$2:$C$509,'75'!$D$2:$D$509)=D54,'75'!F54)</f>
        <v>no</v>
      </c>
    </row>
    <row r="55" spans="1:6" x14ac:dyDescent="0.45">
      <c r="A55" t="s">
        <v>471</v>
      </c>
      <c r="B55" t="s">
        <v>472</v>
      </c>
      <c r="C55" t="s">
        <v>473</v>
      </c>
      <c r="D55" t="s">
        <v>474</v>
      </c>
      <c r="E55">
        <v>97</v>
      </c>
      <c r="F55" t="str">
        <f>IF(_xlfn.XLOOKUP(C55,'75'!$C$2:$C$509,'75'!$D$2:$D$509)=D55,'75'!F55)</f>
        <v>ok</v>
      </c>
    </row>
    <row r="56" spans="1:6" x14ac:dyDescent="0.45">
      <c r="A56" t="s">
        <v>479</v>
      </c>
      <c r="B56" t="s">
        <v>480</v>
      </c>
      <c r="C56" t="s">
        <v>481</v>
      </c>
      <c r="D56" t="s">
        <v>482</v>
      </c>
      <c r="E56">
        <v>89</v>
      </c>
      <c r="F56" t="str">
        <f>IF(_xlfn.XLOOKUP(C56,'75'!$C$2:$C$509,'75'!$D$2:$D$509)=D56,'75'!F56)</f>
        <v>ok</v>
      </c>
    </row>
    <row r="57" spans="1:6" x14ac:dyDescent="0.45">
      <c r="A57" t="s">
        <v>497</v>
      </c>
      <c r="B57" t="s">
        <v>498</v>
      </c>
      <c r="C57" t="s">
        <v>499</v>
      </c>
      <c r="D57" t="s">
        <v>500</v>
      </c>
      <c r="E57">
        <v>92</v>
      </c>
      <c r="F57" t="str">
        <f>IF(_xlfn.XLOOKUP(C57,'75'!$C$2:$C$509,'75'!$D$2:$D$509)=D57,'75'!F57)</f>
        <v>ok</v>
      </c>
    </row>
    <row r="58" spans="1:6" x14ac:dyDescent="0.45">
      <c r="A58" t="s">
        <v>501</v>
      </c>
      <c r="B58" t="s">
        <v>502</v>
      </c>
      <c r="C58" t="s">
        <v>503</v>
      </c>
      <c r="D58" t="s">
        <v>504</v>
      </c>
      <c r="E58">
        <v>95</v>
      </c>
      <c r="F58" t="str">
        <f>IF(_xlfn.XLOOKUP(C58,'75'!$C$2:$C$509,'75'!$D$2:$D$509)=D58,'75'!F58)</f>
        <v>no</v>
      </c>
    </row>
    <row r="59" spans="1:6" x14ac:dyDescent="0.45">
      <c r="A59" t="s">
        <v>513</v>
      </c>
      <c r="B59" t="s">
        <v>514</v>
      </c>
      <c r="C59" t="s">
        <v>515</v>
      </c>
      <c r="D59" t="s">
        <v>516</v>
      </c>
      <c r="E59">
        <v>90</v>
      </c>
      <c r="F59" t="str">
        <f>IF(_xlfn.XLOOKUP(C59,'75'!$C$2:$C$509,'75'!$D$2:$D$509)=D59,'75'!F59)</f>
        <v>no</v>
      </c>
    </row>
    <row r="60" spans="1:6" x14ac:dyDescent="0.45">
      <c r="A60" t="s">
        <v>534</v>
      </c>
      <c r="B60" t="s">
        <v>537</v>
      </c>
      <c r="C60" t="s">
        <v>536</v>
      </c>
      <c r="D60" t="s">
        <v>538</v>
      </c>
      <c r="E60">
        <v>94</v>
      </c>
      <c r="F60" t="str">
        <f>IF(_xlfn.XLOOKUP(C60,'75'!$C$2:$C$509,'75'!$D$2:$D$509)=D60,'75'!F60)</f>
        <v>no</v>
      </c>
    </row>
    <row r="61" spans="1:6" x14ac:dyDescent="0.45">
      <c r="A61" t="s">
        <v>539</v>
      </c>
      <c r="B61" t="s">
        <v>540</v>
      </c>
      <c r="C61" t="s">
        <v>541</v>
      </c>
      <c r="D61" t="s">
        <v>542</v>
      </c>
      <c r="E61">
        <v>88</v>
      </c>
      <c r="F61" t="str">
        <f>IF(_xlfn.XLOOKUP(C61,'75'!$C$2:$C$509,'75'!$D$2:$D$509)=D61,'75'!F61)</f>
        <v>ok</v>
      </c>
    </row>
    <row r="62" spans="1:6" x14ac:dyDescent="0.45">
      <c r="A62" t="s">
        <v>571</v>
      </c>
      <c r="B62" t="s">
        <v>572</v>
      </c>
      <c r="C62" t="s">
        <v>573</v>
      </c>
      <c r="D62" t="s">
        <v>574</v>
      </c>
      <c r="E62">
        <v>96</v>
      </c>
      <c r="F62" t="str">
        <f>IF(_xlfn.XLOOKUP(C62,'75'!$C$2:$C$509,'75'!$D$2:$D$509)=D62,'75'!F62)</f>
        <v>no</v>
      </c>
    </row>
    <row r="63" spans="1:6" x14ac:dyDescent="0.45">
      <c r="A63" t="s">
        <v>580</v>
      </c>
      <c r="B63" t="s">
        <v>583</v>
      </c>
      <c r="C63" t="s">
        <v>582</v>
      </c>
      <c r="D63" t="s">
        <v>584</v>
      </c>
      <c r="E63">
        <v>94</v>
      </c>
      <c r="F63" t="str">
        <f>IF(_xlfn.XLOOKUP(C63,'75'!$C$2:$C$509,'75'!$D$2:$D$509)=D63,'75'!F63)</f>
        <v>no</v>
      </c>
    </row>
    <row r="64" spans="1:6" x14ac:dyDescent="0.45">
      <c r="A64" t="s">
        <v>599</v>
      </c>
      <c r="B64" t="s">
        <v>600</v>
      </c>
      <c r="C64" t="s">
        <v>601</v>
      </c>
      <c r="D64" t="s">
        <v>602</v>
      </c>
      <c r="E64">
        <v>96</v>
      </c>
      <c r="F64" t="str">
        <f>IF(_xlfn.XLOOKUP(C64,'75'!$C$2:$C$509,'75'!$D$2:$D$509)=D64,'75'!F64)</f>
        <v>no</v>
      </c>
    </row>
    <row r="65" spans="1:6" x14ac:dyDescent="0.45">
      <c r="A65" t="s">
        <v>607</v>
      </c>
      <c r="B65" t="s">
        <v>608</v>
      </c>
      <c r="C65" t="s">
        <v>609</v>
      </c>
      <c r="D65" t="s">
        <v>610</v>
      </c>
      <c r="E65">
        <v>85</v>
      </c>
      <c r="F65" t="str">
        <f>IF(_xlfn.XLOOKUP(C65,'75'!$C$2:$C$509,'75'!$D$2:$D$509)=D65,'75'!F65)</f>
        <v>no</v>
      </c>
    </row>
    <row r="66" spans="1:6" x14ac:dyDescent="0.45">
      <c r="A66" t="s">
        <v>611</v>
      </c>
      <c r="B66" t="s">
        <v>564</v>
      </c>
      <c r="C66" t="s">
        <v>612</v>
      </c>
      <c r="D66" t="s">
        <v>566</v>
      </c>
      <c r="E66">
        <v>89</v>
      </c>
      <c r="F66" t="str">
        <f>IF(_xlfn.XLOOKUP(C66,'75'!$C$2:$C$509,'75'!$D$2:$D$509)=D66,'75'!F66)</f>
        <v>no</v>
      </c>
    </row>
    <row r="67" spans="1:6" x14ac:dyDescent="0.45">
      <c r="A67" t="s">
        <v>615</v>
      </c>
      <c r="B67" t="s">
        <v>616</v>
      </c>
      <c r="C67" t="s">
        <v>617</v>
      </c>
      <c r="D67" t="s">
        <v>618</v>
      </c>
      <c r="E67">
        <v>89</v>
      </c>
      <c r="F67" t="str">
        <f>IF(_xlfn.XLOOKUP(C67,'75'!$C$2:$C$509,'75'!$D$2:$D$509)=D67,'75'!F67)</f>
        <v>ok</v>
      </c>
    </row>
    <row r="68" spans="1:6" x14ac:dyDescent="0.45">
      <c r="A68" t="s">
        <v>627</v>
      </c>
      <c r="B68" t="s">
        <v>628</v>
      </c>
      <c r="C68" t="s">
        <v>629</v>
      </c>
      <c r="D68" t="s">
        <v>630</v>
      </c>
      <c r="E68">
        <v>92</v>
      </c>
      <c r="F68" t="str">
        <f>IF(_xlfn.XLOOKUP(C68,'75'!$C$2:$C$509,'75'!$D$2:$D$509)=D68,'75'!F68)</f>
        <v>ok</v>
      </c>
    </row>
    <row r="69" spans="1:6" x14ac:dyDescent="0.45">
      <c r="A69" t="s">
        <v>635</v>
      </c>
      <c r="B69" t="s">
        <v>636</v>
      </c>
      <c r="C69" t="s">
        <v>637</v>
      </c>
      <c r="D69" t="s">
        <v>638</v>
      </c>
      <c r="E69">
        <v>94</v>
      </c>
      <c r="F69" t="str">
        <f>IF(_xlfn.XLOOKUP(C69,'75'!$C$2:$C$509,'75'!$D$2:$D$509)=D69,'75'!F69)</f>
        <v>ok</v>
      </c>
    </row>
    <row r="70" spans="1:6" x14ac:dyDescent="0.45">
      <c r="A70" t="s">
        <v>641</v>
      </c>
      <c r="B70" t="s">
        <v>642</v>
      </c>
      <c r="C70" t="s">
        <v>643</v>
      </c>
      <c r="D70" t="s">
        <v>644</v>
      </c>
      <c r="E70">
        <v>94</v>
      </c>
      <c r="F70" t="str">
        <f>IF(_xlfn.XLOOKUP(C70,'75'!$C$2:$C$509,'75'!$D$2:$D$509)=D70,'75'!F70)</f>
        <v>no</v>
      </c>
    </row>
    <row r="71" spans="1:6" x14ac:dyDescent="0.45">
      <c r="A71" t="s">
        <v>645</v>
      </c>
      <c r="B71" t="s">
        <v>646</v>
      </c>
      <c r="C71" t="s">
        <v>647</v>
      </c>
      <c r="D71" t="s">
        <v>648</v>
      </c>
      <c r="E71">
        <v>91</v>
      </c>
      <c r="F71" t="str">
        <f>IF(_xlfn.XLOOKUP(C71,'75'!$C$2:$C$509,'75'!$D$2:$D$509)=D71,'75'!F71)</f>
        <v>ok</v>
      </c>
    </row>
    <row r="72" spans="1:6" x14ac:dyDescent="0.45">
      <c r="A72" t="s">
        <v>649</v>
      </c>
      <c r="B72" t="s">
        <v>650</v>
      </c>
      <c r="C72" t="s">
        <v>651</v>
      </c>
      <c r="D72" t="s">
        <v>652</v>
      </c>
      <c r="E72">
        <v>98</v>
      </c>
      <c r="F72" t="str">
        <f>IF(_xlfn.XLOOKUP(C72,'75'!$C$2:$C$509,'75'!$D$2:$D$509)=D72,'75'!F72)</f>
        <v>no</v>
      </c>
    </row>
    <row r="73" spans="1:6" x14ac:dyDescent="0.45">
      <c r="A73" t="s">
        <v>669</v>
      </c>
      <c r="B73" t="s">
        <v>670</v>
      </c>
      <c r="C73" t="s">
        <v>671</v>
      </c>
      <c r="D73" t="s">
        <v>672</v>
      </c>
      <c r="E73">
        <v>85</v>
      </c>
      <c r="F73" t="str">
        <f>IF(_xlfn.XLOOKUP(C73,'75'!$C$2:$C$509,'75'!$D$2:$D$509)=D73,'75'!F73)</f>
        <v>no</v>
      </c>
    </row>
    <row r="74" spans="1:6" x14ac:dyDescent="0.45">
      <c r="A74" t="s">
        <v>677</v>
      </c>
      <c r="B74" t="s">
        <v>678</v>
      </c>
      <c r="C74" t="s">
        <v>679</v>
      </c>
      <c r="D74" t="s">
        <v>680</v>
      </c>
      <c r="E74">
        <v>95</v>
      </c>
      <c r="F74" t="str">
        <f>IF(_xlfn.XLOOKUP(C74,'75'!$C$2:$C$509,'75'!$D$2:$D$509)=D74,'75'!F74)</f>
        <v>ok</v>
      </c>
    </row>
    <row r="75" spans="1:6" x14ac:dyDescent="0.45">
      <c r="A75" t="s">
        <v>681</v>
      </c>
      <c r="B75" t="s">
        <v>682</v>
      </c>
      <c r="C75" t="s">
        <v>683</v>
      </c>
      <c r="D75" t="s">
        <v>684</v>
      </c>
      <c r="E75">
        <v>87</v>
      </c>
      <c r="F75" t="str">
        <f>IF(_xlfn.XLOOKUP(C75,'75'!$C$2:$C$509,'75'!$D$2:$D$509)=D75,'75'!F75)</f>
        <v>ok</v>
      </c>
    </row>
    <row r="76" spans="1:6" x14ac:dyDescent="0.45">
      <c r="A76" t="s">
        <v>685</v>
      </c>
      <c r="B76" t="s">
        <v>686</v>
      </c>
      <c r="C76" t="s">
        <v>687</v>
      </c>
      <c r="D76" t="s">
        <v>688</v>
      </c>
      <c r="E76">
        <v>91</v>
      </c>
      <c r="F76" t="str">
        <f>IF(_xlfn.XLOOKUP(C76,'75'!$C$2:$C$509,'75'!$D$2:$D$509)=D76,'75'!F76)</f>
        <v>ok</v>
      </c>
    </row>
    <row r="77" spans="1:6" x14ac:dyDescent="0.45">
      <c r="A77" t="s">
        <v>693</v>
      </c>
      <c r="B77" t="s">
        <v>694</v>
      </c>
      <c r="C77" t="s">
        <v>695</v>
      </c>
      <c r="D77" t="s">
        <v>696</v>
      </c>
      <c r="E77">
        <v>95</v>
      </c>
      <c r="F77" t="str">
        <f>IF(_xlfn.XLOOKUP(C77,'75'!$C$2:$C$509,'75'!$D$2:$D$509)=D77,'75'!F77)</f>
        <v>no</v>
      </c>
    </row>
    <row r="78" spans="1:6" x14ac:dyDescent="0.45">
      <c r="A78" t="s">
        <v>697</v>
      </c>
      <c r="B78" t="s">
        <v>698</v>
      </c>
      <c r="C78" t="s">
        <v>699</v>
      </c>
      <c r="D78" t="s">
        <v>700</v>
      </c>
      <c r="E78">
        <v>90</v>
      </c>
      <c r="F78" t="str">
        <f>IF(_xlfn.XLOOKUP(C78,'75'!$C$2:$C$509,'75'!$D$2:$D$509)=D78,'75'!F78)</f>
        <v>no</v>
      </c>
    </row>
    <row r="79" spans="1:6" x14ac:dyDescent="0.45">
      <c r="A79" t="s">
        <v>705</v>
      </c>
      <c r="B79" t="s">
        <v>706</v>
      </c>
      <c r="C79" t="s">
        <v>707</v>
      </c>
      <c r="D79" t="s">
        <v>708</v>
      </c>
      <c r="E79">
        <v>86</v>
      </c>
      <c r="F79" t="str">
        <f>IF(_xlfn.XLOOKUP(C79,'75'!$C$2:$C$509,'75'!$D$2:$D$509)=D79,'75'!F79)</f>
        <v>no</v>
      </c>
    </row>
    <row r="80" spans="1:6" x14ac:dyDescent="0.45">
      <c r="A80" t="s">
        <v>709</v>
      </c>
      <c r="B80" t="s">
        <v>710</v>
      </c>
      <c r="C80" t="s">
        <v>711</v>
      </c>
      <c r="D80" t="s">
        <v>712</v>
      </c>
      <c r="E80">
        <v>92</v>
      </c>
      <c r="F80" t="str">
        <f>IF(_xlfn.XLOOKUP(C80,'75'!$C$2:$C$509,'75'!$D$2:$D$509)=D80,'75'!F80)</f>
        <v>no</v>
      </c>
    </row>
    <row r="81" spans="1:6" x14ac:dyDescent="0.45">
      <c r="A81" t="s">
        <v>713</v>
      </c>
      <c r="B81" t="s">
        <v>717</v>
      </c>
      <c r="C81" t="s">
        <v>715</v>
      </c>
      <c r="D81" t="s">
        <v>718</v>
      </c>
      <c r="E81">
        <v>89</v>
      </c>
      <c r="F81" t="s">
        <v>1513</v>
      </c>
    </row>
    <row r="82" spans="1:6" x14ac:dyDescent="0.45">
      <c r="A82" t="s">
        <v>731</v>
      </c>
      <c r="B82" t="s">
        <v>735</v>
      </c>
      <c r="C82" t="s">
        <v>733</v>
      </c>
      <c r="D82" t="s">
        <v>736</v>
      </c>
      <c r="E82">
        <v>94</v>
      </c>
      <c r="F82" t="s">
        <v>1513</v>
      </c>
    </row>
    <row r="83" spans="1:6" x14ac:dyDescent="0.45">
      <c r="A83" t="s">
        <v>737</v>
      </c>
      <c r="B83" t="s">
        <v>741</v>
      </c>
      <c r="C83" t="s">
        <v>739</v>
      </c>
      <c r="D83" t="s">
        <v>742</v>
      </c>
      <c r="E83">
        <v>90</v>
      </c>
      <c r="F83" t="s">
        <v>1513</v>
      </c>
    </row>
    <row r="84" spans="1:6" x14ac:dyDescent="0.45">
      <c r="A84" t="s">
        <v>771</v>
      </c>
      <c r="B84" t="s">
        <v>772</v>
      </c>
      <c r="C84" t="s">
        <v>773</v>
      </c>
      <c r="D84" t="s">
        <v>774</v>
      </c>
      <c r="E84">
        <v>86</v>
      </c>
      <c r="F84" t="str">
        <f>IF(_xlfn.XLOOKUP(C84,'75'!$C$2:$C$509,'75'!$D$2:$D$509)=D84,'75'!F84)</f>
        <v>no</v>
      </c>
    </row>
    <row r="85" spans="1:6" x14ac:dyDescent="0.45">
      <c r="A85" t="s">
        <v>787</v>
      </c>
      <c r="B85" t="s">
        <v>788</v>
      </c>
      <c r="C85" t="s">
        <v>789</v>
      </c>
      <c r="D85" t="s">
        <v>790</v>
      </c>
      <c r="E85">
        <v>94</v>
      </c>
      <c r="F85" t="str">
        <f>IF(_xlfn.XLOOKUP(C85,'75'!$C$2:$C$509,'75'!$D$2:$D$509)=D85,'75'!F85)</f>
        <v>no</v>
      </c>
    </row>
    <row r="86" spans="1:6" x14ac:dyDescent="0.45">
      <c r="A86" t="s">
        <v>795</v>
      </c>
      <c r="B86" t="s">
        <v>796</v>
      </c>
      <c r="C86" t="s">
        <v>797</v>
      </c>
      <c r="D86" t="s">
        <v>798</v>
      </c>
      <c r="E86">
        <v>97</v>
      </c>
      <c r="F86" t="str">
        <f>IF(_xlfn.XLOOKUP(C86,'75'!$C$2:$C$509,'75'!$D$2:$D$509)=D86,'75'!F86)</f>
        <v>no</v>
      </c>
    </row>
    <row r="87" spans="1:6" x14ac:dyDescent="0.45">
      <c r="A87" t="s">
        <v>738</v>
      </c>
      <c r="B87" t="s">
        <v>741</v>
      </c>
      <c r="C87" t="s">
        <v>740</v>
      </c>
      <c r="D87" t="s">
        <v>742</v>
      </c>
      <c r="E87">
        <v>86</v>
      </c>
      <c r="F87" t="str">
        <f>IF(_xlfn.XLOOKUP(C87,'75'!$C$2:$C$509,'75'!$D$2:$D$509)=D87,'75'!F87)</f>
        <v>no</v>
      </c>
    </row>
    <row r="88" spans="1:6" x14ac:dyDescent="0.45">
      <c r="A88" t="s">
        <v>811</v>
      </c>
      <c r="B88" t="s">
        <v>812</v>
      </c>
      <c r="C88" t="s">
        <v>813</v>
      </c>
      <c r="D88" t="s">
        <v>814</v>
      </c>
      <c r="E88">
        <v>89</v>
      </c>
      <c r="F88" t="str">
        <f>IF(_xlfn.XLOOKUP(C88,'75'!$C$2:$C$509,'75'!$D$2:$D$509)=D88,'75'!F88)</f>
        <v>no</v>
      </c>
    </row>
    <row r="89" spans="1:6" x14ac:dyDescent="0.45">
      <c r="A89" t="s">
        <v>821</v>
      </c>
      <c r="B89" t="s">
        <v>822</v>
      </c>
      <c r="C89" t="s">
        <v>823</v>
      </c>
      <c r="D89" t="s">
        <v>824</v>
      </c>
      <c r="E89">
        <v>89</v>
      </c>
      <c r="F89" t="str">
        <f>IF(_xlfn.XLOOKUP(C89,'75'!$C$2:$C$509,'75'!$D$2:$D$509)=D89,'75'!F89)</f>
        <v>no</v>
      </c>
    </row>
    <row r="90" spans="1:6" x14ac:dyDescent="0.45">
      <c r="A90" t="s">
        <v>835</v>
      </c>
      <c r="B90" t="s">
        <v>836</v>
      </c>
      <c r="C90" t="s">
        <v>837</v>
      </c>
      <c r="D90" t="s">
        <v>838</v>
      </c>
      <c r="E90">
        <v>88</v>
      </c>
      <c r="F90" t="str">
        <f>IF(_xlfn.XLOOKUP(C90,'75'!$C$2:$C$509,'75'!$D$2:$D$509)=D90,'75'!F90)</f>
        <v>no</v>
      </c>
    </row>
    <row r="91" spans="1:6" x14ac:dyDescent="0.45">
      <c r="A91" t="s">
        <v>839</v>
      </c>
      <c r="B91" t="s">
        <v>840</v>
      </c>
      <c r="C91" t="s">
        <v>841</v>
      </c>
      <c r="D91" t="s">
        <v>842</v>
      </c>
      <c r="E91">
        <v>86</v>
      </c>
      <c r="F91" t="str">
        <f>IF(_xlfn.XLOOKUP(C91,'75'!$C$2:$C$509,'75'!$D$2:$D$509)=D91,'75'!F91)</f>
        <v>ok</v>
      </c>
    </row>
    <row r="92" spans="1:6" x14ac:dyDescent="0.45">
      <c r="A92" t="s">
        <v>847</v>
      </c>
      <c r="B92" t="s">
        <v>848</v>
      </c>
      <c r="C92" t="s">
        <v>849</v>
      </c>
      <c r="D92" t="s">
        <v>850</v>
      </c>
      <c r="E92">
        <v>90</v>
      </c>
      <c r="F92" t="str">
        <f>IF(_xlfn.XLOOKUP(C92,'75'!$C$2:$C$509,'75'!$D$2:$D$509)=D92,'75'!F92)</f>
        <v>no</v>
      </c>
    </row>
    <row r="93" spans="1:6" x14ac:dyDescent="0.45">
      <c r="A93" t="s">
        <v>859</v>
      </c>
      <c r="B93" t="s">
        <v>860</v>
      </c>
      <c r="C93" t="s">
        <v>861</v>
      </c>
      <c r="D93" t="s">
        <v>862</v>
      </c>
      <c r="E93">
        <v>85</v>
      </c>
      <c r="F93" t="str">
        <f>IF(_xlfn.XLOOKUP(C93,'75'!$C$2:$C$509,'75'!$D$2:$D$509)=D93,'75'!F93)</f>
        <v>ok</v>
      </c>
    </row>
    <row r="94" spans="1:6" x14ac:dyDescent="0.45">
      <c r="A94" t="s">
        <v>848</v>
      </c>
      <c r="B94" t="s">
        <v>878</v>
      </c>
      <c r="C94" t="s">
        <v>850</v>
      </c>
      <c r="D94" t="s">
        <v>880</v>
      </c>
      <c r="E94">
        <v>86</v>
      </c>
      <c r="F94" t="str">
        <f>IF(_xlfn.XLOOKUP(C94,'75'!$C$2:$C$509,'75'!$D$2:$D$509)=D94,'75'!F94)</f>
        <v>no</v>
      </c>
    </row>
    <row r="95" spans="1:6" x14ac:dyDescent="0.45">
      <c r="A95" t="s">
        <v>915</v>
      </c>
      <c r="B95" t="s">
        <v>916</v>
      </c>
      <c r="C95" t="s">
        <v>917</v>
      </c>
      <c r="D95" t="s">
        <v>918</v>
      </c>
      <c r="E95">
        <v>92</v>
      </c>
      <c r="F95" t="str">
        <f>IF(_xlfn.XLOOKUP(C95,'75'!$C$2:$C$509,'75'!$D$2:$D$509)=D95,'75'!F95)</f>
        <v>no</v>
      </c>
    </row>
    <row r="96" spans="1:6" x14ac:dyDescent="0.45">
      <c r="A96" t="s">
        <v>919</v>
      </c>
      <c r="B96" t="s">
        <v>920</v>
      </c>
      <c r="C96" t="s">
        <v>921</v>
      </c>
      <c r="D96" t="s">
        <v>922</v>
      </c>
      <c r="E96">
        <v>97</v>
      </c>
      <c r="F96" t="str">
        <f>IF(_xlfn.XLOOKUP(C96,'75'!$C$2:$C$509,'75'!$D$2:$D$509)=D96,'75'!F96)</f>
        <v>ok</v>
      </c>
    </row>
    <row r="97" spans="1:6" x14ac:dyDescent="0.45">
      <c r="A97" t="s">
        <v>923</v>
      </c>
      <c r="B97" t="s">
        <v>924</v>
      </c>
      <c r="C97" t="s">
        <v>925</v>
      </c>
      <c r="D97" t="s">
        <v>926</v>
      </c>
      <c r="E97">
        <v>93</v>
      </c>
      <c r="F97" t="str">
        <f>IF(_xlfn.XLOOKUP(C97,'75'!$C$2:$C$509,'75'!$D$2:$D$509)=D97,'75'!F97)</f>
        <v>no</v>
      </c>
    </row>
    <row r="98" spans="1:6" x14ac:dyDescent="0.45">
      <c r="A98" t="s">
        <v>945</v>
      </c>
      <c r="B98" t="s">
        <v>946</v>
      </c>
      <c r="C98" t="s">
        <v>947</v>
      </c>
      <c r="D98" t="s">
        <v>948</v>
      </c>
      <c r="E98">
        <v>86</v>
      </c>
      <c r="F98" t="str">
        <f>IF(_xlfn.XLOOKUP(C98,'75'!$C$2:$C$509,'75'!$D$2:$D$509)=D98,'75'!F98)</f>
        <v>no</v>
      </c>
    </row>
    <row r="99" spans="1:6" x14ac:dyDescent="0.45">
      <c r="A99" t="s">
        <v>949</v>
      </c>
      <c r="B99" t="s">
        <v>950</v>
      </c>
      <c r="C99" t="s">
        <v>951</v>
      </c>
      <c r="D99" t="s">
        <v>952</v>
      </c>
      <c r="E99">
        <v>94</v>
      </c>
      <c r="F99" t="str">
        <f>IF(_xlfn.XLOOKUP(C99,'75'!$C$2:$C$509,'75'!$D$2:$D$509)=D99,'75'!F99)</f>
        <v>ok</v>
      </c>
    </row>
    <row r="100" spans="1:6" x14ac:dyDescent="0.45">
      <c r="A100" t="s">
        <v>949</v>
      </c>
      <c r="B100" t="s">
        <v>953</v>
      </c>
      <c r="C100" t="s">
        <v>951</v>
      </c>
      <c r="D100" t="s">
        <v>954</v>
      </c>
      <c r="E100">
        <v>91</v>
      </c>
      <c r="F100" t="s">
        <v>1512</v>
      </c>
    </row>
    <row r="101" spans="1:6" x14ac:dyDescent="0.45">
      <c r="A101" t="s">
        <v>950</v>
      </c>
      <c r="B101" t="s">
        <v>953</v>
      </c>
      <c r="C101" t="s">
        <v>952</v>
      </c>
      <c r="D101" t="s">
        <v>954</v>
      </c>
      <c r="E101">
        <v>91</v>
      </c>
      <c r="F101" t="str">
        <f>IF(_xlfn.XLOOKUP(C101,'75'!$C$2:$C$509,'75'!$D$2:$D$509)=D101,'75'!F101)</f>
        <v>ok</v>
      </c>
    </row>
    <row r="102" spans="1:6" x14ac:dyDescent="0.45">
      <c r="A102" t="s">
        <v>955</v>
      </c>
      <c r="B102" t="s">
        <v>956</v>
      </c>
      <c r="C102" t="s">
        <v>957</v>
      </c>
      <c r="D102" t="s">
        <v>958</v>
      </c>
      <c r="E102">
        <v>86</v>
      </c>
      <c r="F102" t="str">
        <f>IF(_xlfn.XLOOKUP(C102,'75'!$C$2:$C$509,'75'!$D$2:$D$509)=D102,'75'!F102)</f>
        <v>ok</v>
      </c>
    </row>
    <row r="103" spans="1:6" x14ac:dyDescent="0.45">
      <c r="A103" t="s">
        <v>959</v>
      </c>
      <c r="B103" t="s">
        <v>963</v>
      </c>
      <c r="C103" t="s">
        <v>961</v>
      </c>
      <c r="D103" t="s">
        <v>964</v>
      </c>
      <c r="E103">
        <v>91</v>
      </c>
      <c r="F103" t="s">
        <v>1512</v>
      </c>
    </row>
    <row r="104" spans="1:6" x14ac:dyDescent="0.45">
      <c r="A104" t="s">
        <v>965</v>
      </c>
      <c r="B104" t="s">
        <v>966</v>
      </c>
      <c r="C104" t="s">
        <v>967</v>
      </c>
      <c r="D104" t="s">
        <v>968</v>
      </c>
      <c r="E104">
        <v>95</v>
      </c>
      <c r="F104" t="str">
        <f>IF(_xlfn.XLOOKUP(C104,'75'!$C$2:$C$509,'75'!$D$2:$D$509)=D104,'75'!F104)</f>
        <v>no</v>
      </c>
    </row>
    <row r="105" spans="1:6" x14ac:dyDescent="0.45">
      <c r="A105" t="s">
        <v>973</v>
      </c>
      <c r="B105" t="s">
        <v>974</v>
      </c>
      <c r="C105" t="s">
        <v>975</v>
      </c>
      <c r="D105" t="s">
        <v>976</v>
      </c>
      <c r="E105">
        <v>95</v>
      </c>
      <c r="F105" t="str">
        <f>IF(_xlfn.XLOOKUP(C105,'75'!$C$2:$C$509,'75'!$D$2:$D$509)=D105,'75'!F105)</f>
        <v>no</v>
      </c>
    </row>
    <row r="106" spans="1:6" x14ac:dyDescent="0.45">
      <c r="A106" t="s">
        <v>977</v>
      </c>
      <c r="B106" t="s">
        <v>978</v>
      </c>
      <c r="C106" t="s">
        <v>979</v>
      </c>
      <c r="D106" t="s">
        <v>980</v>
      </c>
      <c r="E106">
        <v>89</v>
      </c>
      <c r="F106" t="str">
        <f>IF(_xlfn.XLOOKUP(C106,'75'!$C$2:$C$509,'75'!$D$2:$D$509)=D106,'75'!F106)</f>
        <v>no</v>
      </c>
    </row>
    <row r="107" spans="1:6" x14ac:dyDescent="0.45">
      <c r="A107" t="s">
        <v>981</v>
      </c>
      <c r="B107" t="s">
        <v>982</v>
      </c>
      <c r="C107" t="s">
        <v>983</v>
      </c>
      <c r="D107" t="s">
        <v>984</v>
      </c>
      <c r="E107">
        <v>92</v>
      </c>
      <c r="F107" t="str">
        <f>IF(_xlfn.XLOOKUP(C107,'75'!$C$2:$C$509,'75'!$D$2:$D$509)=D107,'75'!F107)</f>
        <v>no</v>
      </c>
    </row>
    <row r="108" spans="1:6" x14ac:dyDescent="0.45">
      <c r="A108" t="s">
        <v>981</v>
      </c>
      <c r="B108" t="s">
        <v>985</v>
      </c>
      <c r="C108" t="s">
        <v>983</v>
      </c>
      <c r="D108" t="s">
        <v>986</v>
      </c>
      <c r="E108">
        <v>92</v>
      </c>
      <c r="F108" t="s">
        <v>1513</v>
      </c>
    </row>
    <row r="109" spans="1:6" x14ac:dyDescent="0.45">
      <c r="A109" t="s">
        <v>982</v>
      </c>
      <c r="B109" t="s">
        <v>987</v>
      </c>
      <c r="C109" t="s">
        <v>984</v>
      </c>
      <c r="D109" t="s">
        <v>988</v>
      </c>
      <c r="E109">
        <v>91</v>
      </c>
      <c r="F109" t="s">
        <v>1513</v>
      </c>
    </row>
    <row r="110" spans="1:6" x14ac:dyDescent="0.45">
      <c r="A110" t="s">
        <v>1007</v>
      </c>
      <c r="B110" t="s">
        <v>1008</v>
      </c>
      <c r="C110" t="s">
        <v>1009</v>
      </c>
      <c r="D110" t="s">
        <v>1010</v>
      </c>
      <c r="E110">
        <v>92</v>
      </c>
      <c r="F110" t="str">
        <f>IF(_xlfn.XLOOKUP(C110,'75'!$C$2:$C$509,'75'!$D$2:$D$509)=D110,'75'!F110)</f>
        <v>ok</v>
      </c>
    </row>
    <row r="111" spans="1:6" x14ac:dyDescent="0.45">
      <c r="A111" t="s">
        <v>985</v>
      </c>
      <c r="B111" t="s">
        <v>987</v>
      </c>
      <c r="C111" t="s">
        <v>986</v>
      </c>
      <c r="D111" t="s">
        <v>988</v>
      </c>
      <c r="E111">
        <v>92</v>
      </c>
      <c r="F111" t="str">
        <f>IF(_xlfn.XLOOKUP(C111,'75'!$C$2:$C$509,'75'!$D$2:$D$509)=D111,'75'!F111)</f>
        <v>no</v>
      </c>
    </row>
    <row r="112" spans="1:6" x14ac:dyDescent="0.45">
      <c r="A112" t="s">
        <v>1021</v>
      </c>
      <c r="B112" t="s">
        <v>1022</v>
      </c>
      <c r="C112" t="s">
        <v>1023</v>
      </c>
      <c r="D112" t="s">
        <v>1024</v>
      </c>
      <c r="E112">
        <v>95</v>
      </c>
      <c r="F112" t="str">
        <f>IF(_xlfn.XLOOKUP(C112,'75'!$C$2:$C$509,'75'!$D$2:$D$509)=D112,'75'!F112)</f>
        <v>no</v>
      </c>
    </row>
    <row r="113" spans="1:6" x14ac:dyDescent="0.45">
      <c r="A113" t="s">
        <v>1027</v>
      </c>
      <c r="B113" t="s">
        <v>1028</v>
      </c>
      <c r="C113" t="s">
        <v>1029</v>
      </c>
      <c r="D113" t="s">
        <v>1030</v>
      </c>
      <c r="E113">
        <v>94</v>
      </c>
      <c r="F113" t="str">
        <f>IF(_xlfn.XLOOKUP(C113,'75'!$C$2:$C$509,'75'!$D$2:$D$509)=D113,'75'!F113)</f>
        <v>ok</v>
      </c>
    </row>
    <row r="114" spans="1:6" x14ac:dyDescent="0.45">
      <c r="A114" t="s">
        <v>1031</v>
      </c>
      <c r="B114" t="s">
        <v>1032</v>
      </c>
      <c r="C114" t="s">
        <v>1033</v>
      </c>
      <c r="D114" t="s">
        <v>1034</v>
      </c>
      <c r="E114">
        <v>90</v>
      </c>
      <c r="F114" t="str">
        <f>IF(_xlfn.XLOOKUP(C114,'75'!$C$2:$C$509,'75'!$D$2:$D$509)=D114,'75'!F114)</f>
        <v>ok</v>
      </c>
    </row>
    <row r="115" spans="1:6" x14ac:dyDescent="0.45">
      <c r="A115" t="s">
        <v>1035</v>
      </c>
      <c r="B115" t="s">
        <v>1039</v>
      </c>
      <c r="C115" t="s">
        <v>1037</v>
      </c>
      <c r="D115" t="s">
        <v>1040</v>
      </c>
      <c r="E115">
        <v>98</v>
      </c>
      <c r="F115" t="s">
        <v>1512</v>
      </c>
    </row>
    <row r="116" spans="1:6" x14ac:dyDescent="0.45">
      <c r="A116" t="s">
        <v>1045</v>
      </c>
      <c r="B116" t="s">
        <v>1046</v>
      </c>
      <c r="C116" t="s">
        <v>1047</v>
      </c>
      <c r="D116" t="s">
        <v>1048</v>
      </c>
      <c r="E116">
        <v>97</v>
      </c>
      <c r="F116" t="str">
        <f>IF(_xlfn.XLOOKUP(C116,'75'!$C$2:$C$509,'75'!$D$2:$D$509)=D116,'75'!F116)</f>
        <v>ok</v>
      </c>
    </row>
    <row r="117" spans="1:6" x14ac:dyDescent="0.45">
      <c r="A117" t="s">
        <v>1051</v>
      </c>
      <c r="B117" t="s">
        <v>1042</v>
      </c>
      <c r="C117" t="s">
        <v>1052</v>
      </c>
      <c r="D117" t="s">
        <v>1044</v>
      </c>
      <c r="E117">
        <v>93</v>
      </c>
      <c r="F117" t="str">
        <f>IF(_xlfn.XLOOKUP(C117,'75'!$C$2:$C$509,'75'!$D$2:$D$509)=D117,'75'!F117)</f>
        <v>ok</v>
      </c>
    </row>
    <row r="118" spans="1:6" x14ac:dyDescent="0.45">
      <c r="A118" t="s">
        <v>1057</v>
      </c>
      <c r="B118" t="s">
        <v>1058</v>
      </c>
      <c r="C118" t="s">
        <v>1059</v>
      </c>
      <c r="D118" t="s">
        <v>1060</v>
      </c>
      <c r="E118">
        <v>93</v>
      </c>
      <c r="F118" t="str">
        <f>IF(_xlfn.XLOOKUP(C118,'75'!$C$2:$C$509,'75'!$D$2:$D$509)=D118,'75'!F118)</f>
        <v>no</v>
      </c>
    </row>
    <row r="119" spans="1:6" x14ac:dyDescent="0.45">
      <c r="A119" t="s">
        <v>1061</v>
      </c>
      <c r="B119" t="s">
        <v>1062</v>
      </c>
      <c r="C119" t="s">
        <v>1063</v>
      </c>
      <c r="D119" t="s">
        <v>1064</v>
      </c>
      <c r="E119">
        <v>86</v>
      </c>
      <c r="F119" t="str">
        <f>IF(_xlfn.XLOOKUP(C119,'75'!$C$2:$C$509,'75'!$D$2:$D$509)=D119,'75'!F119)</f>
        <v>ok</v>
      </c>
    </row>
    <row r="120" spans="1:6" x14ac:dyDescent="0.45">
      <c r="A120" t="s">
        <v>1069</v>
      </c>
      <c r="B120" t="s">
        <v>1070</v>
      </c>
      <c r="C120" t="s">
        <v>1071</v>
      </c>
      <c r="D120" t="s">
        <v>1072</v>
      </c>
      <c r="E120">
        <v>93</v>
      </c>
      <c r="F120" t="str">
        <f>IF(_xlfn.XLOOKUP(C120,'75'!$C$2:$C$509,'75'!$D$2:$D$509)=D120,'75'!F120)</f>
        <v>no</v>
      </c>
    </row>
    <row r="121" spans="1:6" x14ac:dyDescent="0.45">
      <c r="A121" t="s">
        <v>1073</v>
      </c>
      <c r="B121" t="s">
        <v>1074</v>
      </c>
      <c r="C121" t="s">
        <v>1075</v>
      </c>
      <c r="D121" t="s">
        <v>1076</v>
      </c>
      <c r="E121">
        <v>94</v>
      </c>
      <c r="F121" t="str">
        <f>IF(_xlfn.XLOOKUP(C121,'75'!$C$2:$C$509,'75'!$D$2:$D$509)=D121,'75'!F121)</f>
        <v>ok</v>
      </c>
    </row>
    <row r="122" spans="1:6" x14ac:dyDescent="0.45">
      <c r="A122" t="s">
        <v>1077</v>
      </c>
      <c r="B122" t="s">
        <v>1078</v>
      </c>
      <c r="C122" t="s">
        <v>1079</v>
      </c>
      <c r="D122" t="s">
        <v>1080</v>
      </c>
      <c r="E122">
        <v>95</v>
      </c>
      <c r="F122" t="str">
        <f>IF(_xlfn.XLOOKUP(C122,'75'!$C$2:$C$509,'75'!$D$2:$D$509)=D122,'75'!F122)</f>
        <v>ok</v>
      </c>
    </row>
    <row r="123" spans="1:6" x14ac:dyDescent="0.45">
      <c r="A123" t="s">
        <v>1085</v>
      </c>
      <c r="B123" t="s">
        <v>1086</v>
      </c>
      <c r="C123" t="s">
        <v>1087</v>
      </c>
      <c r="D123" t="s">
        <v>1088</v>
      </c>
      <c r="E123">
        <v>87</v>
      </c>
      <c r="F123" t="str">
        <f>IF(_xlfn.XLOOKUP(C123,'75'!$C$2:$C$509,'75'!$D$2:$D$509)=D123,'75'!F123)</f>
        <v>no</v>
      </c>
    </row>
    <row r="124" spans="1:6" x14ac:dyDescent="0.45">
      <c r="A124" t="s">
        <v>1097</v>
      </c>
      <c r="B124" t="s">
        <v>1098</v>
      </c>
      <c r="C124" t="s">
        <v>1099</v>
      </c>
      <c r="D124" t="s">
        <v>1100</v>
      </c>
      <c r="E124">
        <v>90</v>
      </c>
      <c r="F124" t="str">
        <f>IF(_xlfn.XLOOKUP(C124,'75'!$C$2:$C$509,'75'!$D$2:$D$509)=D124,'75'!F124)</f>
        <v>ok</v>
      </c>
    </row>
    <row r="125" spans="1:6" x14ac:dyDescent="0.45">
      <c r="A125" t="s">
        <v>1109</v>
      </c>
      <c r="B125" t="s">
        <v>1110</v>
      </c>
      <c r="C125" t="s">
        <v>1111</v>
      </c>
      <c r="D125" t="s">
        <v>1112</v>
      </c>
      <c r="E125">
        <v>90</v>
      </c>
      <c r="F125" t="str">
        <f>IF(_xlfn.XLOOKUP(C125,'75'!$C$2:$C$509,'75'!$D$2:$D$509)=D125,'75'!F125)</f>
        <v>ok</v>
      </c>
    </row>
    <row r="126" spans="1:6" x14ac:dyDescent="0.45">
      <c r="A126" t="s">
        <v>1113</v>
      </c>
      <c r="B126" t="s">
        <v>1114</v>
      </c>
      <c r="C126" t="s">
        <v>1115</v>
      </c>
      <c r="D126" t="s">
        <v>1116</v>
      </c>
      <c r="E126">
        <v>93</v>
      </c>
      <c r="F126" t="str">
        <f>IF(_xlfn.XLOOKUP(C126,'75'!$C$2:$C$509,'75'!$D$2:$D$509)=D126,'75'!F126)</f>
        <v>no</v>
      </c>
    </row>
    <row r="127" spans="1:6" x14ac:dyDescent="0.45">
      <c r="A127" t="s">
        <v>1117</v>
      </c>
      <c r="B127" t="s">
        <v>1118</v>
      </c>
      <c r="C127" t="s">
        <v>1119</v>
      </c>
      <c r="D127" t="s">
        <v>1120</v>
      </c>
      <c r="E127">
        <v>97</v>
      </c>
      <c r="F127" t="str">
        <f>IF(_xlfn.XLOOKUP(C127,'75'!$C$2:$C$509,'75'!$D$2:$D$509)=D127,'75'!F127)</f>
        <v>ok</v>
      </c>
    </row>
    <row r="128" spans="1:6" x14ac:dyDescent="0.45">
      <c r="A128" t="s">
        <v>1137</v>
      </c>
      <c r="B128" t="s">
        <v>1138</v>
      </c>
      <c r="C128" t="s">
        <v>1139</v>
      </c>
      <c r="D128" t="s">
        <v>1140</v>
      </c>
      <c r="E128">
        <v>96</v>
      </c>
      <c r="F128" t="str">
        <f>IF(_xlfn.XLOOKUP(C128,'75'!$C$2:$C$509,'75'!$D$2:$D$509)=D128,'75'!F128)</f>
        <v>ok</v>
      </c>
    </row>
    <row r="129" spans="1:6" x14ac:dyDescent="0.45">
      <c r="A129" t="s">
        <v>1161</v>
      </c>
      <c r="B129" t="s">
        <v>1162</v>
      </c>
      <c r="C129" t="s">
        <v>1163</v>
      </c>
      <c r="D129" t="s">
        <v>1164</v>
      </c>
      <c r="E129">
        <v>90</v>
      </c>
      <c r="F129" t="str">
        <f>IF(_xlfn.XLOOKUP(C129,'75'!$C$2:$C$509,'75'!$D$2:$D$509)=D129,'75'!F129)</f>
        <v>no</v>
      </c>
    </row>
    <row r="130" spans="1:6" x14ac:dyDescent="0.45">
      <c r="A130" t="s">
        <v>1165</v>
      </c>
      <c r="B130" t="s">
        <v>1166</v>
      </c>
      <c r="C130" t="s">
        <v>1167</v>
      </c>
      <c r="D130" t="s">
        <v>1168</v>
      </c>
      <c r="E130">
        <v>93</v>
      </c>
      <c r="F130" t="str">
        <f>IF(_xlfn.XLOOKUP(C130,'75'!$C$2:$C$509,'75'!$D$2:$D$509)=D130,'75'!F130)</f>
        <v>ok</v>
      </c>
    </row>
    <row r="131" spans="1:6" x14ac:dyDescent="0.45">
      <c r="A131" t="s">
        <v>1189</v>
      </c>
      <c r="B131" t="s">
        <v>1190</v>
      </c>
      <c r="C131" t="s">
        <v>1191</v>
      </c>
      <c r="D131" t="s">
        <v>1192</v>
      </c>
      <c r="E131">
        <v>92</v>
      </c>
      <c r="F131" t="str">
        <f>IF(_xlfn.XLOOKUP(C131,'75'!$C$2:$C$509,'75'!$D$2:$D$509)=D131,'75'!F131)</f>
        <v>no</v>
      </c>
    </row>
    <row r="132" spans="1:6" x14ac:dyDescent="0.45">
      <c r="A132" t="s">
        <v>1205</v>
      </c>
      <c r="B132" t="s">
        <v>1206</v>
      </c>
      <c r="C132" t="s">
        <v>1207</v>
      </c>
      <c r="D132" t="s">
        <v>1208</v>
      </c>
      <c r="E132">
        <v>95</v>
      </c>
      <c r="F132" t="str">
        <f>IF(_xlfn.XLOOKUP(C132,'75'!$C$2:$C$509,'75'!$D$2:$D$509)=D132,'75'!F132)</f>
        <v>no</v>
      </c>
    </row>
    <row r="133" spans="1:6" x14ac:dyDescent="0.45">
      <c r="A133" t="s">
        <v>1209</v>
      </c>
      <c r="B133" t="s">
        <v>1210</v>
      </c>
      <c r="C133" t="s">
        <v>1211</v>
      </c>
      <c r="D133" t="s">
        <v>1212</v>
      </c>
      <c r="E133">
        <v>88</v>
      </c>
      <c r="F133" t="str">
        <f>IF(_xlfn.XLOOKUP(C133,'75'!$C$2:$C$509,'75'!$D$2:$D$509)=D133,'75'!F133)</f>
        <v>ok</v>
      </c>
    </row>
    <row r="134" spans="1:6" x14ac:dyDescent="0.45">
      <c r="A134" t="s">
        <v>1219</v>
      </c>
      <c r="B134" t="s">
        <v>1220</v>
      </c>
      <c r="C134" t="s">
        <v>1221</v>
      </c>
      <c r="D134" t="s">
        <v>1222</v>
      </c>
      <c r="E134">
        <v>87</v>
      </c>
      <c r="F134" t="str">
        <f>IF(_xlfn.XLOOKUP(C134,'75'!$C$2:$C$509,'75'!$D$2:$D$509)=D134,'75'!F134)</f>
        <v>no</v>
      </c>
    </row>
    <row r="135" spans="1:6" x14ac:dyDescent="0.45">
      <c r="A135" t="s">
        <v>1223</v>
      </c>
      <c r="B135" t="s">
        <v>1224</v>
      </c>
      <c r="C135" t="s">
        <v>1225</v>
      </c>
      <c r="D135" t="s">
        <v>1226</v>
      </c>
      <c r="E135">
        <v>98</v>
      </c>
      <c r="F135" t="str">
        <f>IF(_xlfn.XLOOKUP(C135,'75'!$C$2:$C$509,'75'!$D$2:$D$509)=D135,'75'!F135)</f>
        <v>ok</v>
      </c>
    </row>
    <row r="136" spans="1:6" x14ac:dyDescent="0.45">
      <c r="A136" t="s">
        <v>1231</v>
      </c>
      <c r="B136" t="s">
        <v>1228</v>
      </c>
      <c r="C136" t="s">
        <v>1232</v>
      </c>
      <c r="D136" t="s">
        <v>1230</v>
      </c>
      <c r="E136">
        <v>94</v>
      </c>
      <c r="F136" t="str">
        <f>IF(_xlfn.XLOOKUP(C136,'75'!$C$2:$C$509,'75'!$D$2:$D$509)=D136,'75'!F136)</f>
        <v>ok</v>
      </c>
    </row>
    <row r="137" spans="1:6" x14ac:dyDescent="0.45">
      <c r="A137" t="s">
        <v>1233</v>
      </c>
      <c r="B137" t="s">
        <v>1186</v>
      </c>
      <c r="C137" t="s">
        <v>1234</v>
      </c>
      <c r="D137" t="s">
        <v>1188</v>
      </c>
      <c r="E137">
        <v>90</v>
      </c>
      <c r="F137" t="str">
        <f>IF(_xlfn.XLOOKUP(C137,'75'!$C$2:$C$509,'75'!$D$2:$D$509)=D137,'75'!F137)</f>
        <v>no</v>
      </c>
    </row>
    <row r="138" spans="1:6" x14ac:dyDescent="0.45">
      <c r="A138" t="s">
        <v>1235</v>
      </c>
      <c r="B138" t="s">
        <v>1236</v>
      </c>
      <c r="C138" t="s">
        <v>1237</v>
      </c>
      <c r="D138" t="s">
        <v>1238</v>
      </c>
      <c r="E138">
        <v>87</v>
      </c>
      <c r="F138" t="str">
        <f>IF(_xlfn.XLOOKUP(C138,'75'!$C$2:$C$509,'75'!$D$2:$D$509)=D138,'75'!F138)</f>
        <v>no</v>
      </c>
    </row>
    <row r="139" spans="1:6" x14ac:dyDescent="0.45">
      <c r="A139" t="s">
        <v>1251</v>
      </c>
      <c r="B139" t="s">
        <v>1252</v>
      </c>
      <c r="C139" t="s">
        <v>1253</v>
      </c>
      <c r="D139" t="s">
        <v>1254</v>
      </c>
      <c r="E139">
        <v>94</v>
      </c>
      <c r="F139" t="str">
        <f>IF(_xlfn.XLOOKUP(C139,'75'!$C$2:$C$509,'75'!$D$2:$D$509)=D139,'75'!F139)</f>
        <v>ok</v>
      </c>
    </row>
    <row r="140" spans="1:6" x14ac:dyDescent="0.45">
      <c r="A140" t="s">
        <v>1261</v>
      </c>
      <c r="B140" t="s">
        <v>1262</v>
      </c>
      <c r="C140" t="s">
        <v>1263</v>
      </c>
      <c r="D140" t="s">
        <v>1264</v>
      </c>
      <c r="E140">
        <v>85</v>
      </c>
      <c r="F140" t="str">
        <f>IF(_xlfn.XLOOKUP(C140,'75'!$C$2:$C$509,'75'!$D$2:$D$509)=D140,'75'!F140)</f>
        <v>ok</v>
      </c>
    </row>
    <row r="141" spans="1:6" x14ac:dyDescent="0.45">
      <c r="A141" t="s">
        <v>1273</v>
      </c>
      <c r="B141" t="s">
        <v>1274</v>
      </c>
      <c r="C141" t="s">
        <v>1275</v>
      </c>
      <c r="D141" t="s">
        <v>1276</v>
      </c>
      <c r="E141">
        <v>91</v>
      </c>
      <c r="F141" t="str">
        <f>IF(_xlfn.XLOOKUP(C141,'75'!$C$2:$C$509,'75'!$D$2:$D$509)=D141,'75'!F141)</f>
        <v>no</v>
      </c>
    </row>
    <row r="142" spans="1:6" x14ac:dyDescent="0.45">
      <c r="A142" t="s">
        <v>1281</v>
      </c>
      <c r="B142" t="s">
        <v>1282</v>
      </c>
      <c r="C142" t="s">
        <v>1283</v>
      </c>
      <c r="D142" t="s">
        <v>1284</v>
      </c>
      <c r="E142">
        <v>85</v>
      </c>
      <c r="F142" t="str">
        <f>IF(_xlfn.XLOOKUP(C142,'75'!$C$2:$C$509,'75'!$D$2:$D$509)=D142,'75'!F142)</f>
        <v>no</v>
      </c>
    </row>
    <row r="143" spans="1:6" x14ac:dyDescent="0.45">
      <c r="A143" t="s">
        <v>1299</v>
      </c>
      <c r="B143" t="s">
        <v>1300</v>
      </c>
      <c r="C143" t="s">
        <v>1301</v>
      </c>
      <c r="D143" t="s">
        <v>1302</v>
      </c>
      <c r="E143">
        <v>86</v>
      </c>
      <c r="F143" t="str">
        <f>IF(_xlfn.XLOOKUP(C143,'75'!$C$2:$C$509,'75'!$D$2:$D$509)=D143,'75'!F143)</f>
        <v>ok</v>
      </c>
    </row>
    <row r="144" spans="1:6" x14ac:dyDescent="0.45">
      <c r="A144" t="s">
        <v>1307</v>
      </c>
      <c r="B144" t="s">
        <v>1319</v>
      </c>
      <c r="C144" t="s">
        <v>1309</v>
      </c>
      <c r="D144" t="s">
        <v>1320</v>
      </c>
      <c r="E144">
        <v>86</v>
      </c>
      <c r="F144" t="s">
        <v>1513</v>
      </c>
    </row>
    <row r="145" spans="1:6" x14ac:dyDescent="0.45">
      <c r="A145" t="s">
        <v>1329</v>
      </c>
      <c r="B145" t="s">
        <v>1330</v>
      </c>
      <c r="C145" t="s">
        <v>1331</v>
      </c>
      <c r="D145" t="s">
        <v>1332</v>
      </c>
      <c r="E145">
        <v>92</v>
      </c>
      <c r="F145" t="str">
        <f>IF(_xlfn.XLOOKUP(C145,'75'!$C$2:$C$509,'75'!$D$2:$D$509)=D145,'75'!F145)</f>
        <v>no</v>
      </c>
    </row>
    <row r="146" spans="1:6" x14ac:dyDescent="0.45">
      <c r="A146" t="s">
        <v>1339</v>
      </c>
      <c r="B146" t="s">
        <v>1341</v>
      </c>
      <c r="C146" t="s">
        <v>1340</v>
      </c>
      <c r="D146" t="s">
        <v>1342</v>
      </c>
      <c r="E146">
        <v>95</v>
      </c>
      <c r="F146" t="s">
        <v>1512</v>
      </c>
    </row>
    <row r="147" spans="1:6" x14ac:dyDescent="0.45">
      <c r="A147" t="s">
        <v>1355</v>
      </c>
      <c r="B147" t="s">
        <v>1356</v>
      </c>
      <c r="C147" t="s">
        <v>1357</v>
      </c>
      <c r="D147" t="s">
        <v>1358</v>
      </c>
      <c r="E147">
        <v>85</v>
      </c>
      <c r="F147" t="str">
        <f>IF(_xlfn.XLOOKUP(C147,'75'!$C$2:$C$509,'75'!$D$2:$D$509)=D147,'75'!F147)</f>
        <v>ok</v>
      </c>
    </row>
    <row r="148" spans="1:6" x14ac:dyDescent="0.45">
      <c r="A148" t="s">
        <v>1373</v>
      </c>
      <c r="B148" t="s">
        <v>1374</v>
      </c>
      <c r="C148" t="s">
        <v>1375</v>
      </c>
      <c r="D148" t="s">
        <v>1376</v>
      </c>
      <c r="E148">
        <v>89</v>
      </c>
      <c r="F148" t="str">
        <f>IF(_xlfn.XLOOKUP(C148,'75'!$C$2:$C$509,'75'!$D$2:$D$509)=D148,'75'!F148)</f>
        <v>ok</v>
      </c>
    </row>
    <row r="149" spans="1:6" x14ac:dyDescent="0.45">
      <c r="A149" t="s">
        <v>1383</v>
      </c>
      <c r="B149" t="s">
        <v>1380</v>
      </c>
      <c r="C149" t="s">
        <v>1384</v>
      </c>
      <c r="D149" t="s">
        <v>1382</v>
      </c>
      <c r="E149">
        <v>86</v>
      </c>
      <c r="F149" t="str">
        <f>IF(_xlfn.XLOOKUP(C149,'75'!$C$2:$C$509,'75'!$D$2:$D$509)=D149,'75'!F149)</f>
        <v>ok</v>
      </c>
    </row>
    <row r="150" spans="1:6" x14ac:dyDescent="0.45">
      <c r="A150" t="s">
        <v>1385</v>
      </c>
      <c r="B150" t="s">
        <v>1386</v>
      </c>
      <c r="C150" t="s">
        <v>1387</v>
      </c>
      <c r="D150" t="s">
        <v>1388</v>
      </c>
      <c r="E150">
        <v>89</v>
      </c>
      <c r="F150" t="str">
        <f>IF(_xlfn.XLOOKUP(C150,'75'!$C$2:$C$509,'75'!$D$2:$D$509)=D150,'75'!F150)</f>
        <v>no</v>
      </c>
    </row>
    <row r="151" spans="1:6" x14ac:dyDescent="0.45">
      <c r="A151" t="s">
        <v>1391</v>
      </c>
      <c r="B151" t="s">
        <v>1392</v>
      </c>
      <c r="C151" t="s">
        <v>1393</v>
      </c>
      <c r="D151" t="s">
        <v>1394</v>
      </c>
      <c r="E151">
        <v>86</v>
      </c>
      <c r="F151" t="str">
        <f>IF(_xlfn.XLOOKUP(C151,'75'!$C$2:$C$509,'75'!$D$2:$D$509)=D151,'75'!F151)</f>
        <v>ok</v>
      </c>
    </row>
    <row r="152" spans="1:6" x14ac:dyDescent="0.45">
      <c r="A152" t="s">
        <v>1409</v>
      </c>
      <c r="B152" t="s">
        <v>1410</v>
      </c>
      <c r="C152" t="s">
        <v>1411</v>
      </c>
      <c r="D152" t="s">
        <v>1412</v>
      </c>
      <c r="E152">
        <v>96</v>
      </c>
      <c r="F152" t="str">
        <f>IF(_xlfn.XLOOKUP(C152,'75'!$C$2:$C$509,'75'!$D$2:$D$509)=D152,'75'!F152)</f>
        <v>no</v>
      </c>
    </row>
    <row r="153" spans="1:6" x14ac:dyDescent="0.45">
      <c r="A153" t="s">
        <v>1414</v>
      </c>
      <c r="B153" t="s">
        <v>1417</v>
      </c>
      <c r="C153" t="s">
        <v>1416</v>
      </c>
      <c r="D153" t="s">
        <v>1418</v>
      </c>
      <c r="E153">
        <v>88</v>
      </c>
      <c r="F153" t="s">
        <v>1513</v>
      </c>
    </row>
    <row r="154" spans="1:6" x14ac:dyDescent="0.45">
      <c r="A154" t="s">
        <v>1439</v>
      </c>
      <c r="B154" t="s">
        <v>1440</v>
      </c>
      <c r="C154" t="s">
        <v>1441</v>
      </c>
      <c r="D154" t="s">
        <v>1442</v>
      </c>
      <c r="E154">
        <v>91</v>
      </c>
      <c r="F154" t="str">
        <f>IF(_xlfn.XLOOKUP(C154,'75'!$C$2:$C$509,'75'!$D$2:$D$509)=D154,'75'!F154)</f>
        <v>ok</v>
      </c>
    </row>
    <row r="155" spans="1:6" x14ac:dyDescent="0.45">
      <c r="A155" t="s">
        <v>1479</v>
      </c>
      <c r="B155" t="s">
        <v>1480</v>
      </c>
      <c r="C155" t="s">
        <v>1481</v>
      </c>
      <c r="D155" t="s">
        <v>1482</v>
      </c>
      <c r="E155">
        <v>88</v>
      </c>
      <c r="F155" t="str">
        <f>IF(_xlfn.XLOOKUP(C155,'75'!$C$2:$C$509,'75'!$D$2:$D$509)=D155,'75'!F155)</f>
        <v>ok</v>
      </c>
    </row>
    <row r="156" spans="1:6" x14ac:dyDescent="0.45">
      <c r="A156" t="s">
        <v>1455</v>
      </c>
      <c r="B156" t="s">
        <v>1457</v>
      </c>
      <c r="C156" t="s">
        <v>1456</v>
      </c>
      <c r="D156" t="s">
        <v>1458</v>
      </c>
      <c r="E156">
        <v>86</v>
      </c>
      <c r="F156" t="str">
        <f>IF(_xlfn.XLOOKUP(C156,'75'!$C$2:$C$509,'75'!$D$2:$D$509)=D156,'75'!F156)</f>
        <v>ok</v>
      </c>
    </row>
    <row r="157" spans="1:6" x14ac:dyDescent="0.45">
      <c r="A157" t="s">
        <v>1455</v>
      </c>
      <c r="B157" t="s">
        <v>1459</v>
      </c>
      <c r="C157" t="s">
        <v>1456</v>
      </c>
      <c r="D157" t="s">
        <v>1460</v>
      </c>
      <c r="E157">
        <v>86</v>
      </c>
      <c r="F157" t="s">
        <v>1513</v>
      </c>
    </row>
    <row r="158" spans="1:6" x14ac:dyDescent="0.45">
      <c r="A158" t="s">
        <v>1507</v>
      </c>
      <c r="B158" t="s">
        <v>1508</v>
      </c>
      <c r="C158" t="s">
        <v>1509</v>
      </c>
      <c r="D158" t="s">
        <v>1510</v>
      </c>
      <c r="E158">
        <v>92</v>
      </c>
      <c r="F158" t="str">
        <f>IF(_xlfn.XLOOKUP(C158,'75'!$C$2:$C$509,'75'!$D$2:$D$509)=D158,'75'!F158)</f>
        <v>ok</v>
      </c>
    </row>
    <row r="159" spans="1:6" x14ac:dyDescent="0.45">
      <c r="A159" t="s">
        <v>1457</v>
      </c>
      <c r="B159" t="s">
        <v>1459</v>
      </c>
      <c r="C159" t="s">
        <v>1458</v>
      </c>
      <c r="D159" t="s">
        <v>1460</v>
      </c>
      <c r="E159">
        <v>86</v>
      </c>
      <c r="F159" t="str">
        <f>IF(_xlfn.XLOOKUP(C159,'75'!$C$2:$C$509,'75'!$D$2:$D$509)=D159,'75'!F159)</f>
        <v>ok</v>
      </c>
    </row>
  </sheetData>
  <autoFilter ref="A1:F159" xr:uid="{0429794E-1E1C-438D-B836-4A28B95599C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BF46-0110-4F0E-911C-F8FFFAC8A788}">
  <dimension ref="A1:J123"/>
  <sheetViews>
    <sheetView workbookViewId="0">
      <selection activeCell="J4" sqref="J4"/>
    </sheetView>
  </sheetViews>
  <sheetFormatPr defaultRowHeight="14.25" x14ac:dyDescent="0.45"/>
  <cols>
    <col min="1" max="1" width="26.86328125" bestFit="1" customWidth="1"/>
    <col min="2" max="2" width="25.06640625" bestFit="1" customWidth="1"/>
    <col min="3" max="4" width="11.73046875" bestFit="1" customWidth="1"/>
    <col min="5" max="5" width="13.4648437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1516</v>
      </c>
    </row>
    <row r="2" spans="1:10" x14ac:dyDescent="0.45">
      <c r="A2" t="s">
        <v>5</v>
      </c>
      <c r="B2" t="s">
        <v>6</v>
      </c>
      <c r="C2" t="s">
        <v>7</v>
      </c>
      <c r="D2" t="s">
        <v>8</v>
      </c>
      <c r="E2">
        <v>92</v>
      </c>
      <c r="F2" t="str">
        <f>IF(_xlfn.XLOOKUP(C2,'75'!$C$2:$C$509,'75'!$D$2:$D$509)=D2,'75'!F2)</f>
        <v>ok</v>
      </c>
      <c r="H2" t="s">
        <v>1517</v>
      </c>
      <c r="I2">
        <f>COUNTIF(F2:F123, "ok")/122</f>
        <v>0.41803278688524592</v>
      </c>
      <c r="J2">
        <f>COUNTIF(F2:F123,"ok")</f>
        <v>51</v>
      </c>
    </row>
    <row r="3" spans="1:10" x14ac:dyDescent="0.45">
      <c r="A3" t="s">
        <v>19</v>
      </c>
      <c r="B3" t="s">
        <v>20</v>
      </c>
      <c r="C3" t="s">
        <v>21</v>
      </c>
      <c r="D3" t="s">
        <v>22</v>
      </c>
      <c r="E3">
        <v>94</v>
      </c>
      <c r="F3" t="str">
        <f>IF(_xlfn.XLOOKUP(C3,'75'!$C$2:$C$509,'75'!$D$2:$D$509)=D3,'75'!F3)</f>
        <v>no</v>
      </c>
      <c r="H3" t="s">
        <v>1518</v>
      </c>
      <c r="I3">
        <f>COUNTIF(F2:F123, "no")/122</f>
        <v>0.58196721311475408</v>
      </c>
      <c r="J3">
        <f>COUNTIF(F2:F123,"no")</f>
        <v>71</v>
      </c>
    </row>
    <row r="4" spans="1:10" x14ac:dyDescent="0.45">
      <c r="A4" t="s">
        <v>79</v>
      </c>
      <c r="B4" t="s">
        <v>83</v>
      </c>
      <c r="C4" t="s">
        <v>81</v>
      </c>
      <c r="D4" t="s">
        <v>84</v>
      </c>
      <c r="E4">
        <v>90</v>
      </c>
      <c r="F4" t="s">
        <v>1513</v>
      </c>
    </row>
    <row r="5" spans="1:10" x14ac:dyDescent="0.45">
      <c r="A5" t="s">
        <v>85</v>
      </c>
      <c r="B5" t="s">
        <v>86</v>
      </c>
      <c r="C5" t="s">
        <v>87</v>
      </c>
      <c r="D5" t="s">
        <v>88</v>
      </c>
      <c r="E5">
        <v>90</v>
      </c>
      <c r="F5" t="str">
        <f>IF(_xlfn.XLOOKUP(C5,'75'!$C$2:$C$509,'75'!$D$2:$D$509)=D5,'75'!F5)</f>
        <v>no</v>
      </c>
    </row>
    <row r="6" spans="1:10" x14ac:dyDescent="0.45">
      <c r="A6" t="s">
        <v>89</v>
      </c>
      <c r="B6" t="s">
        <v>90</v>
      </c>
      <c r="C6" t="s">
        <v>91</v>
      </c>
      <c r="D6" t="s">
        <v>92</v>
      </c>
      <c r="E6">
        <v>94</v>
      </c>
      <c r="F6" t="str">
        <f>IF(_xlfn.XLOOKUP(C6,'75'!$C$2:$C$509,'75'!$D$2:$D$509)=D6,'75'!F6)</f>
        <v>ok</v>
      </c>
    </row>
    <row r="7" spans="1:10" x14ac:dyDescent="0.45">
      <c r="A7" t="s">
        <v>97</v>
      </c>
      <c r="B7" t="s">
        <v>98</v>
      </c>
      <c r="C7" t="s">
        <v>99</v>
      </c>
      <c r="D7" t="s">
        <v>100</v>
      </c>
      <c r="E7">
        <v>92</v>
      </c>
      <c r="F7" t="str">
        <f>IF(_xlfn.XLOOKUP(C7,'75'!$C$2:$C$509,'75'!$D$2:$D$509)=D7,'75'!F7)</f>
        <v>no</v>
      </c>
    </row>
    <row r="8" spans="1:10" x14ac:dyDescent="0.45">
      <c r="A8" t="s">
        <v>101</v>
      </c>
      <c r="B8" t="s">
        <v>102</v>
      </c>
      <c r="C8" t="s">
        <v>103</v>
      </c>
      <c r="D8" t="s">
        <v>104</v>
      </c>
      <c r="E8">
        <v>88</v>
      </c>
      <c r="F8" t="str">
        <f>IF(_xlfn.XLOOKUP(C8,'75'!$C$2:$C$509,'75'!$D$2:$D$509)=D8,'75'!F8)</f>
        <v>no</v>
      </c>
    </row>
    <row r="9" spans="1:10" x14ac:dyDescent="0.45">
      <c r="A9" t="s">
        <v>121</v>
      </c>
      <c r="B9" t="s">
        <v>122</v>
      </c>
      <c r="C9" t="s">
        <v>123</v>
      </c>
      <c r="D9" t="s">
        <v>124</v>
      </c>
      <c r="E9">
        <v>92</v>
      </c>
      <c r="F9" t="str">
        <f>IF(_xlfn.XLOOKUP(C9,'75'!$C$2:$C$509,'75'!$D$2:$D$509)=D9,'75'!F9)</f>
        <v>no</v>
      </c>
    </row>
    <row r="10" spans="1:10" x14ac:dyDescent="0.45">
      <c r="A10" t="s">
        <v>149</v>
      </c>
      <c r="B10" t="s">
        <v>150</v>
      </c>
      <c r="C10" t="s">
        <v>151</v>
      </c>
      <c r="D10" t="s">
        <v>152</v>
      </c>
      <c r="E10">
        <v>94</v>
      </c>
      <c r="F10" t="str">
        <f>IF(_xlfn.XLOOKUP(C10,'75'!$C$2:$C$509,'75'!$D$2:$D$509)=D10,'75'!F10)</f>
        <v>no</v>
      </c>
    </row>
    <row r="11" spans="1:10" x14ac:dyDescent="0.45">
      <c r="A11" t="s">
        <v>153</v>
      </c>
      <c r="B11" t="s">
        <v>154</v>
      </c>
      <c r="C11" t="s">
        <v>155</v>
      </c>
      <c r="D11" t="s">
        <v>156</v>
      </c>
      <c r="E11">
        <v>92</v>
      </c>
      <c r="F11" t="str">
        <f>IF(_xlfn.XLOOKUP(C11,'75'!$C$2:$C$509,'75'!$D$2:$D$509)=D11,'75'!F11)</f>
        <v>ok</v>
      </c>
    </row>
    <row r="12" spans="1:10" x14ac:dyDescent="0.45">
      <c r="A12" t="s">
        <v>159</v>
      </c>
      <c r="B12" t="s">
        <v>160</v>
      </c>
      <c r="C12" t="s">
        <v>161</v>
      </c>
      <c r="D12" t="s">
        <v>162</v>
      </c>
      <c r="E12">
        <v>98</v>
      </c>
      <c r="F12" t="str">
        <f>IF(_xlfn.XLOOKUP(C12,'75'!$C$2:$C$509,'75'!$D$2:$D$509)=D12,'75'!F12)</f>
        <v>no</v>
      </c>
    </row>
    <row r="13" spans="1:10" x14ac:dyDescent="0.45">
      <c r="A13" t="s">
        <v>163</v>
      </c>
      <c r="B13" t="s">
        <v>164</v>
      </c>
      <c r="C13" t="s">
        <v>165</v>
      </c>
      <c r="D13" t="s">
        <v>166</v>
      </c>
      <c r="E13">
        <v>94</v>
      </c>
      <c r="F13" t="str">
        <f>IF(_xlfn.XLOOKUP(C13,'75'!$C$2:$C$509,'75'!$D$2:$D$509)=D13,'75'!F13)</f>
        <v>no</v>
      </c>
    </row>
    <row r="14" spans="1:10" x14ac:dyDescent="0.45">
      <c r="A14" t="s">
        <v>167</v>
      </c>
      <c r="B14" t="s">
        <v>168</v>
      </c>
      <c r="C14" t="s">
        <v>169</v>
      </c>
      <c r="D14" t="s">
        <v>170</v>
      </c>
      <c r="E14">
        <v>97</v>
      </c>
      <c r="F14" t="str">
        <f>IF(_xlfn.XLOOKUP(C14,'75'!$C$2:$C$509,'75'!$D$2:$D$509)=D14,'75'!F14)</f>
        <v>ok</v>
      </c>
    </row>
    <row r="15" spans="1:10" x14ac:dyDescent="0.45">
      <c r="A15" t="s">
        <v>179</v>
      </c>
      <c r="B15" t="s">
        <v>180</v>
      </c>
      <c r="C15" t="s">
        <v>181</v>
      </c>
      <c r="D15" t="s">
        <v>182</v>
      </c>
      <c r="E15">
        <v>88</v>
      </c>
      <c r="F15" t="str">
        <f>IF(_xlfn.XLOOKUP(C15,'75'!$C$2:$C$509,'75'!$D$2:$D$509)=D15,'75'!F15)</f>
        <v>no</v>
      </c>
    </row>
    <row r="16" spans="1:10" x14ac:dyDescent="0.45">
      <c r="A16" t="s">
        <v>191</v>
      </c>
      <c r="B16" t="s">
        <v>192</v>
      </c>
      <c r="C16" t="s">
        <v>193</v>
      </c>
      <c r="D16" t="s">
        <v>194</v>
      </c>
      <c r="E16">
        <v>93</v>
      </c>
      <c r="F16" t="str">
        <f>IF(_xlfn.XLOOKUP(C16,'75'!$C$2:$C$509,'75'!$D$2:$D$509)=D16,'75'!F16)</f>
        <v>no</v>
      </c>
    </row>
    <row r="17" spans="1:6" x14ac:dyDescent="0.45">
      <c r="A17" t="s">
        <v>191</v>
      </c>
      <c r="B17" t="s">
        <v>195</v>
      </c>
      <c r="C17" t="s">
        <v>193</v>
      </c>
      <c r="D17" t="s">
        <v>196</v>
      </c>
      <c r="E17">
        <v>97</v>
      </c>
      <c r="F17" t="s">
        <v>1512</v>
      </c>
    </row>
    <row r="18" spans="1:6" x14ac:dyDescent="0.45">
      <c r="A18" t="s">
        <v>211</v>
      </c>
      <c r="B18" t="s">
        <v>209</v>
      </c>
      <c r="C18" t="s">
        <v>212</v>
      </c>
      <c r="D18" t="s">
        <v>210</v>
      </c>
      <c r="E18">
        <v>88</v>
      </c>
      <c r="F18" t="s">
        <v>1513</v>
      </c>
    </row>
    <row r="19" spans="1:6" x14ac:dyDescent="0.45">
      <c r="A19" t="s">
        <v>213</v>
      </c>
      <c r="B19" t="s">
        <v>214</v>
      </c>
      <c r="C19" t="s">
        <v>215</v>
      </c>
      <c r="D19" t="s">
        <v>216</v>
      </c>
      <c r="E19">
        <v>92</v>
      </c>
      <c r="F19" t="str">
        <f>IF(_xlfn.XLOOKUP(C19,'75'!$C$2:$C$509,'75'!$D$2:$D$509)=D19,'75'!F19)</f>
        <v>ok</v>
      </c>
    </row>
    <row r="20" spans="1:6" x14ac:dyDescent="0.45">
      <c r="A20" t="s">
        <v>217</v>
      </c>
      <c r="B20" t="s">
        <v>221</v>
      </c>
      <c r="C20" t="s">
        <v>219</v>
      </c>
      <c r="D20" t="s">
        <v>222</v>
      </c>
      <c r="E20">
        <v>89</v>
      </c>
      <c r="F20" t="s">
        <v>1512</v>
      </c>
    </row>
    <row r="21" spans="1:6" x14ac:dyDescent="0.45">
      <c r="A21" t="s">
        <v>231</v>
      </c>
      <c r="B21" t="s">
        <v>235</v>
      </c>
      <c r="C21" t="s">
        <v>233</v>
      </c>
      <c r="D21" t="s">
        <v>236</v>
      </c>
      <c r="E21">
        <v>93</v>
      </c>
      <c r="F21" t="s">
        <v>1512</v>
      </c>
    </row>
    <row r="22" spans="1:6" x14ac:dyDescent="0.45">
      <c r="A22" t="s">
        <v>237</v>
      </c>
      <c r="B22" t="s">
        <v>238</v>
      </c>
      <c r="C22" t="s">
        <v>239</v>
      </c>
      <c r="D22" t="s">
        <v>240</v>
      </c>
      <c r="E22">
        <v>91</v>
      </c>
      <c r="F22" t="str">
        <f>IF(_xlfn.XLOOKUP(C22,'75'!$C$2:$C$509,'75'!$D$2:$D$509)=D22,'75'!F22)</f>
        <v>no</v>
      </c>
    </row>
    <row r="23" spans="1:6" x14ac:dyDescent="0.45">
      <c r="A23" t="s">
        <v>259</v>
      </c>
      <c r="B23" t="s">
        <v>263</v>
      </c>
      <c r="C23" t="s">
        <v>261</v>
      </c>
      <c r="D23" t="s">
        <v>264</v>
      </c>
      <c r="E23">
        <v>96</v>
      </c>
      <c r="F23" t="s">
        <v>1513</v>
      </c>
    </row>
    <row r="24" spans="1:6" x14ac:dyDescent="0.45">
      <c r="A24" t="s">
        <v>279</v>
      </c>
      <c r="B24" t="s">
        <v>189</v>
      </c>
      <c r="C24" t="s">
        <v>280</v>
      </c>
      <c r="D24" t="s">
        <v>190</v>
      </c>
      <c r="E24">
        <v>95</v>
      </c>
      <c r="F24" t="str">
        <f>IF(_xlfn.XLOOKUP(C24,'75'!$C$2:$C$509,'75'!$D$2:$D$509)=D24,'75'!F24)</f>
        <v>no</v>
      </c>
    </row>
    <row r="25" spans="1:6" x14ac:dyDescent="0.45">
      <c r="A25" t="s">
        <v>281</v>
      </c>
      <c r="B25" t="s">
        <v>282</v>
      </c>
      <c r="C25" t="s">
        <v>283</v>
      </c>
      <c r="D25" t="s">
        <v>284</v>
      </c>
      <c r="E25">
        <v>95</v>
      </c>
      <c r="F25" t="str">
        <f>IF(_xlfn.XLOOKUP(C25,'75'!$C$2:$C$509,'75'!$D$2:$D$509)=D25,'75'!F25)</f>
        <v>no</v>
      </c>
    </row>
    <row r="26" spans="1:6" x14ac:dyDescent="0.45">
      <c r="A26" t="s">
        <v>291</v>
      </c>
      <c r="B26" t="s">
        <v>292</v>
      </c>
      <c r="C26" t="s">
        <v>293</v>
      </c>
      <c r="D26" t="s">
        <v>294</v>
      </c>
      <c r="E26">
        <v>94</v>
      </c>
      <c r="F26" t="str">
        <f>IF(_xlfn.XLOOKUP(C26,'75'!$C$2:$C$509,'75'!$D$2:$D$509)=D26,'75'!F26)</f>
        <v>no</v>
      </c>
    </row>
    <row r="27" spans="1:6" x14ac:dyDescent="0.45">
      <c r="A27" t="s">
        <v>218</v>
      </c>
      <c r="B27" t="s">
        <v>221</v>
      </c>
      <c r="C27" t="s">
        <v>220</v>
      </c>
      <c r="D27" t="s">
        <v>222</v>
      </c>
      <c r="E27">
        <v>92</v>
      </c>
      <c r="F27" t="str">
        <f>IF(_xlfn.XLOOKUP(C27,'75'!$C$2:$C$509,'75'!$D$2:$D$509)=D27,'75'!F27)</f>
        <v>ok</v>
      </c>
    </row>
    <row r="28" spans="1:6" x14ac:dyDescent="0.45">
      <c r="A28" t="s">
        <v>192</v>
      </c>
      <c r="B28" t="s">
        <v>195</v>
      </c>
      <c r="C28" t="s">
        <v>194</v>
      </c>
      <c r="D28" t="s">
        <v>196</v>
      </c>
      <c r="E28">
        <v>97</v>
      </c>
      <c r="F28" t="str">
        <f>IF(_xlfn.XLOOKUP(C28,'75'!$C$2:$C$509,'75'!$D$2:$D$509)=D28,'75'!F28)</f>
        <v>ok</v>
      </c>
    </row>
    <row r="29" spans="1:6" x14ac:dyDescent="0.45">
      <c r="A29" t="s">
        <v>307</v>
      </c>
      <c r="B29" t="s">
        <v>308</v>
      </c>
      <c r="C29" t="s">
        <v>309</v>
      </c>
      <c r="D29" t="s">
        <v>310</v>
      </c>
      <c r="E29">
        <v>89</v>
      </c>
      <c r="F29" t="str">
        <f>IF(_xlfn.XLOOKUP(C29,'75'!$C$2:$C$509,'75'!$D$2:$D$509)=D29,'75'!F29)</f>
        <v>no</v>
      </c>
    </row>
    <row r="30" spans="1:6" x14ac:dyDescent="0.45">
      <c r="A30" t="s">
        <v>319</v>
      </c>
      <c r="B30" t="s">
        <v>320</v>
      </c>
      <c r="C30" t="s">
        <v>321</v>
      </c>
      <c r="D30" t="s">
        <v>322</v>
      </c>
      <c r="E30">
        <v>92</v>
      </c>
      <c r="F30" t="str">
        <f>IF(_xlfn.XLOOKUP(C30,'75'!$C$2:$C$509,'75'!$D$2:$D$509)=D30,'75'!F30)</f>
        <v>ok</v>
      </c>
    </row>
    <row r="31" spans="1:6" x14ac:dyDescent="0.45">
      <c r="A31" t="s">
        <v>339</v>
      </c>
      <c r="B31" t="s">
        <v>343</v>
      </c>
      <c r="C31" t="s">
        <v>341</v>
      </c>
      <c r="D31" t="s">
        <v>344</v>
      </c>
      <c r="E31">
        <v>93</v>
      </c>
      <c r="F31" t="s">
        <v>1512</v>
      </c>
    </row>
    <row r="32" spans="1:6" x14ac:dyDescent="0.45">
      <c r="A32" t="s">
        <v>349</v>
      </c>
      <c r="B32" t="s">
        <v>350</v>
      </c>
      <c r="C32" t="s">
        <v>351</v>
      </c>
      <c r="D32" t="s">
        <v>352</v>
      </c>
      <c r="E32">
        <v>90</v>
      </c>
      <c r="F32" t="str">
        <f>IF(_xlfn.XLOOKUP(C32,'75'!$C$2:$C$509,'75'!$D$2:$D$509)=D32,'75'!F32)</f>
        <v>no</v>
      </c>
    </row>
    <row r="33" spans="1:6" x14ac:dyDescent="0.45">
      <c r="A33" t="s">
        <v>369</v>
      </c>
      <c r="B33" t="s">
        <v>370</v>
      </c>
      <c r="C33" t="s">
        <v>371</v>
      </c>
      <c r="D33" t="s">
        <v>372</v>
      </c>
      <c r="E33">
        <v>90</v>
      </c>
      <c r="F33" t="str">
        <f>IF(_xlfn.XLOOKUP(C33,'75'!$C$2:$C$509,'75'!$D$2:$D$509)=D33,'75'!F33)</f>
        <v>no</v>
      </c>
    </row>
    <row r="34" spans="1:6" x14ac:dyDescent="0.45">
      <c r="A34" t="s">
        <v>377</v>
      </c>
      <c r="B34" t="s">
        <v>378</v>
      </c>
      <c r="C34" t="s">
        <v>379</v>
      </c>
      <c r="D34" t="s">
        <v>380</v>
      </c>
      <c r="E34">
        <v>93</v>
      </c>
      <c r="F34" t="str">
        <f>IF(_xlfn.XLOOKUP(C34,'75'!$C$2:$C$509,'75'!$D$2:$D$509)=D34,'75'!F34)</f>
        <v>no</v>
      </c>
    </row>
    <row r="35" spans="1:6" x14ac:dyDescent="0.45">
      <c r="A35" t="s">
        <v>381</v>
      </c>
      <c r="B35" t="s">
        <v>382</v>
      </c>
      <c r="C35" t="s">
        <v>383</v>
      </c>
      <c r="D35" t="s">
        <v>384</v>
      </c>
      <c r="E35">
        <v>96</v>
      </c>
      <c r="F35" t="str">
        <f>IF(_xlfn.XLOOKUP(C35,'75'!$C$2:$C$509,'75'!$D$2:$D$509)=D35,'75'!F35)</f>
        <v>ok</v>
      </c>
    </row>
    <row r="36" spans="1:6" x14ac:dyDescent="0.45">
      <c r="A36" t="s">
        <v>389</v>
      </c>
      <c r="B36" t="s">
        <v>390</v>
      </c>
      <c r="C36" t="s">
        <v>391</v>
      </c>
      <c r="D36" t="s">
        <v>392</v>
      </c>
      <c r="E36">
        <v>91</v>
      </c>
      <c r="F36" t="str">
        <f>IF(_xlfn.XLOOKUP(C36,'75'!$C$2:$C$509,'75'!$D$2:$D$509)=D36,'75'!F36)</f>
        <v>ok</v>
      </c>
    </row>
    <row r="37" spans="1:6" x14ac:dyDescent="0.45">
      <c r="A37" t="s">
        <v>393</v>
      </c>
      <c r="B37" t="s">
        <v>394</v>
      </c>
      <c r="C37" t="s">
        <v>395</v>
      </c>
      <c r="D37" t="s">
        <v>396</v>
      </c>
      <c r="E37">
        <v>91</v>
      </c>
      <c r="F37" t="str">
        <f>IF(_xlfn.XLOOKUP(C37,'75'!$C$2:$C$509,'75'!$D$2:$D$509)=D37,'75'!F37)</f>
        <v>no</v>
      </c>
    </row>
    <row r="38" spans="1:6" x14ac:dyDescent="0.45">
      <c r="A38" t="s">
        <v>401</v>
      </c>
      <c r="B38" t="s">
        <v>402</v>
      </c>
      <c r="C38" t="s">
        <v>403</v>
      </c>
      <c r="D38" t="s">
        <v>404</v>
      </c>
      <c r="E38">
        <v>92</v>
      </c>
      <c r="F38" t="str">
        <f>IF(_xlfn.XLOOKUP(C38,'75'!$C$2:$C$509,'75'!$D$2:$D$509)=D38,'75'!F38)</f>
        <v>no</v>
      </c>
    </row>
    <row r="39" spans="1:6" x14ac:dyDescent="0.45">
      <c r="A39" t="s">
        <v>411</v>
      </c>
      <c r="B39" t="s">
        <v>412</v>
      </c>
      <c r="C39" t="s">
        <v>413</v>
      </c>
      <c r="D39" t="s">
        <v>414</v>
      </c>
      <c r="E39">
        <v>90</v>
      </c>
      <c r="F39" t="str">
        <f>IF(_xlfn.XLOOKUP(C39,'75'!$C$2:$C$509,'75'!$D$2:$D$509)=D39,'75'!F39)</f>
        <v>ok</v>
      </c>
    </row>
    <row r="40" spans="1:6" x14ac:dyDescent="0.45">
      <c r="A40" t="s">
        <v>449</v>
      </c>
      <c r="B40" t="s">
        <v>450</v>
      </c>
      <c r="C40" t="s">
        <v>451</v>
      </c>
      <c r="D40" t="s">
        <v>452</v>
      </c>
      <c r="E40">
        <v>88</v>
      </c>
      <c r="F40" t="str">
        <f>IF(_xlfn.XLOOKUP(C40,'75'!$C$2:$C$509,'75'!$D$2:$D$509)=D40,'75'!F40)</f>
        <v>ok</v>
      </c>
    </row>
    <row r="41" spans="1:6" x14ac:dyDescent="0.45">
      <c r="A41" t="s">
        <v>453</v>
      </c>
      <c r="B41" t="s">
        <v>454</v>
      </c>
      <c r="C41" t="s">
        <v>455</v>
      </c>
      <c r="D41" t="s">
        <v>456</v>
      </c>
      <c r="E41">
        <v>92</v>
      </c>
      <c r="F41" t="str">
        <f>IF(_xlfn.XLOOKUP(C41,'75'!$C$2:$C$509,'75'!$D$2:$D$509)=D41,'75'!F41)</f>
        <v>no</v>
      </c>
    </row>
    <row r="42" spans="1:6" x14ac:dyDescent="0.45">
      <c r="A42" t="s">
        <v>459</v>
      </c>
      <c r="B42" t="s">
        <v>460</v>
      </c>
      <c r="C42" t="s">
        <v>461</v>
      </c>
      <c r="D42" t="s">
        <v>462</v>
      </c>
      <c r="E42">
        <v>96</v>
      </c>
      <c r="F42" t="str">
        <f>IF(_xlfn.XLOOKUP(C42,'75'!$C$2:$C$509,'75'!$D$2:$D$509)=D42,'75'!F42)</f>
        <v>no</v>
      </c>
    </row>
    <row r="43" spans="1:6" x14ac:dyDescent="0.45">
      <c r="A43" t="s">
        <v>467</v>
      </c>
      <c r="B43" t="s">
        <v>468</v>
      </c>
      <c r="C43" t="s">
        <v>469</v>
      </c>
      <c r="D43" t="s">
        <v>470</v>
      </c>
      <c r="E43">
        <v>97</v>
      </c>
      <c r="F43" t="str">
        <f>IF(_xlfn.XLOOKUP(C43,'75'!$C$2:$C$509,'75'!$D$2:$D$509)=D43,'75'!F43)</f>
        <v>ok</v>
      </c>
    </row>
    <row r="44" spans="1:6" x14ac:dyDescent="0.45">
      <c r="A44" t="s">
        <v>471</v>
      </c>
      <c r="B44" t="s">
        <v>472</v>
      </c>
      <c r="C44" t="s">
        <v>473</v>
      </c>
      <c r="D44" t="s">
        <v>474</v>
      </c>
      <c r="E44">
        <v>97</v>
      </c>
      <c r="F44" t="str">
        <f>IF(_xlfn.XLOOKUP(C44,'75'!$C$2:$C$509,'75'!$D$2:$D$509)=D44,'75'!F44)</f>
        <v>ok</v>
      </c>
    </row>
    <row r="45" spans="1:6" x14ac:dyDescent="0.45">
      <c r="A45" t="s">
        <v>479</v>
      </c>
      <c r="B45" t="s">
        <v>480</v>
      </c>
      <c r="C45" t="s">
        <v>481</v>
      </c>
      <c r="D45" t="s">
        <v>482</v>
      </c>
      <c r="E45">
        <v>89</v>
      </c>
      <c r="F45" t="str">
        <f>IF(_xlfn.XLOOKUP(C45,'75'!$C$2:$C$509,'75'!$D$2:$D$509)=D45,'75'!F45)</f>
        <v>no</v>
      </c>
    </row>
    <row r="46" spans="1:6" x14ac:dyDescent="0.45">
      <c r="A46" t="s">
        <v>497</v>
      </c>
      <c r="B46" t="s">
        <v>498</v>
      </c>
      <c r="C46" t="s">
        <v>499</v>
      </c>
      <c r="D46" t="s">
        <v>500</v>
      </c>
      <c r="E46">
        <v>92</v>
      </c>
      <c r="F46" t="str">
        <f>IF(_xlfn.XLOOKUP(C46,'75'!$C$2:$C$509,'75'!$D$2:$D$509)=D46,'75'!F46)</f>
        <v>ok</v>
      </c>
    </row>
    <row r="47" spans="1:6" x14ac:dyDescent="0.45">
      <c r="A47" t="s">
        <v>501</v>
      </c>
      <c r="B47" t="s">
        <v>502</v>
      </c>
      <c r="C47" t="s">
        <v>503</v>
      </c>
      <c r="D47" t="s">
        <v>504</v>
      </c>
      <c r="E47">
        <v>95</v>
      </c>
      <c r="F47" t="str">
        <f>IF(_xlfn.XLOOKUP(C47,'75'!$C$2:$C$509,'75'!$D$2:$D$509)=D47,'75'!F47)</f>
        <v>ok</v>
      </c>
    </row>
    <row r="48" spans="1:6" x14ac:dyDescent="0.45">
      <c r="A48" t="s">
        <v>513</v>
      </c>
      <c r="B48" t="s">
        <v>514</v>
      </c>
      <c r="C48" t="s">
        <v>515</v>
      </c>
      <c r="D48" t="s">
        <v>516</v>
      </c>
      <c r="E48">
        <v>90</v>
      </c>
      <c r="F48" t="str">
        <f>IF(_xlfn.XLOOKUP(C48,'75'!$C$2:$C$509,'75'!$D$2:$D$509)=D48,'75'!F48)</f>
        <v>ok</v>
      </c>
    </row>
    <row r="49" spans="1:6" x14ac:dyDescent="0.45">
      <c r="A49" t="s">
        <v>534</v>
      </c>
      <c r="B49" t="s">
        <v>537</v>
      </c>
      <c r="C49" t="s">
        <v>536</v>
      </c>
      <c r="D49" t="s">
        <v>538</v>
      </c>
      <c r="E49">
        <v>94</v>
      </c>
      <c r="F49" t="str">
        <f>IF(_xlfn.XLOOKUP(C49,'75'!$C$2:$C$509,'75'!$D$2:$D$509)=D49,'75'!F49)</f>
        <v>ok</v>
      </c>
    </row>
    <row r="50" spans="1:6" x14ac:dyDescent="0.45">
      <c r="A50" t="s">
        <v>539</v>
      </c>
      <c r="B50" t="s">
        <v>540</v>
      </c>
      <c r="C50" t="s">
        <v>541</v>
      </c>
      <c r="D50" t="s">
        <v>542</v>
      </c>
      <c r="E50">
        <v>88</v>
      </c>
      <c r="F50" t="str">
        <f>IF(_xlfn.XLOOKUP(C50,'75'!$C$2:$C$509,'75'!$D$2:$D$509)=D50,'75'!F50)</f>
        <v>no</v>
      </c>
    </row>
    <row r="51" spans="1:6" x14ac:dyDescent="0.45">
      <c r="A51" t="s">
        <v>571</v>
      </c>
      <c r="B51" t="s">
        <v>572</v>
      </c>
      <c r="C51" t="s">
        <v>573</v>
      </c>
      <c r="D51" t="s">
        <v>574</v>
      </c>
      <c r="E51">
        <v>96</v>
      </c>
      <c r="F51" t="str">
        <f>IF(_xlfn.XLOOKUP(C51,'75'!$C$2:$C$509,'75'!$D$2:$D$509)=D51,'75'!F51)</f>
        <v>no</v>
      </c>
    </row>
    <row r="52" spans="1:6" x14ac:dyDescent="0.45">
      <c r="A52" t="s">
        <v>580</v>
      </c>
      <c r="B52" t="s">
        <v>583</v>
      </c>
      <c r="C52" t="s">
        <v>582</v>
      </c>
      <c r="D52" t="s">
        <v>584</v>
      </c>
      <c r="E52">
        <v>94</v>
      </c>
      <c r="F52" t="str">
        <f>IF(_xlfn.XLOOKUP(C52,'75'!$C$2:$C$509,'75'!$D$2:$D$509)=D52,'75'!F52)</f>
        <v>no</v>
      </c>
    </row>
    <row r="53" spans="1:6" x14ac:dyDescent="0.45">
      <c r="A53" t="s">
        <v>599</v>
      </c>
      <c r="B53" t="s">
        <v>600</v>
      </c>
      <c r="C53" t="s">
        <v>601</v>
      </c>
      <c r="D53" t="s">
        <v>602</v>
      </c>
      <c r="E53">
        <v>96</v>
      </c>
      <c r="F53" t="str">
        <f>IF(_xlfn.XLOOKUP(C53,'75'!$C$2:$C$509,'75'!$D$2:$D$509)=D53,'75'!F53)</f>
        <v>no</v>
      </c>
    </row>
    <row r="54" spans="1:6" x14ac:dyDescent="0.45">
      <c r="A54" t="s">
        <v>611</v>
      </c>
      <c r="B54" t="s">
        <v>564</v>
      </c>
      <c r="C54" t="s">
        <v>612</v>
      </c>
      <c r="D54" t="s">
        <v>566</v>
      </c>
      <c r="E54">
        <v>89</v>
      </c>
      <c r="F54" t="str">
        <f>IF(_xlfn.XLOOKUP(C54,'75'!$C$2:$C$509,'75'!$D$2:$D$509)=D54,'75'!F54)</f>
        <v>no</v>
      </c>
    </row>
    <row r="55" spans="1:6" x14ac:dyDescent="0.45">
      <c r="A55" t="s">
        <v>615</v>
      </c>
      <c r="B55" t="s">
        <v>616</v>
      </c>
      <c r="C55" t="s">
        <v>617</v>
      </c>
      <c r="D55" t="s">
        <v>618</v>
      </c>
      <c r="E55">
        <v>89</v>
      </c>
      <c r="F55" t="str">
        <f>IF(_xlfn.XLOOKUP(C55,'75'!$C$2:$C$509,'75'!$D$2:$D$509)=D55,'75'!F55)</f>
        <v>ok</v>
      </c>
    </row>
    <row r="56" spans="1:6" x14ac:dyDescent="0.45">
      <c r="A56" t="s">
        <v>627</v>
      </c>
      <c r="B56" t="s">
        <v>628</v>
      </c>
      <c r="C56" t="s">
        <v>629</v>
      </c>
      <c r="D56" t="s">
        <v>630</v>
      </c>
      <c r="E56">
        <v>92</v>
      </c>
      <c r="F56" t="str">
        <f>IF(_xlfn.XLOOKUP(C56,'75'!$C$2:$C$509,'75'!$D$2:$D$509)=D56,'75'!F56)</f>
        <v>ok</v>
      </c>
    </row>
    <row r="57" spans="1:6" x14ac:dyDescent="0.45">
      <c r="A57" t="s">
        <v>635</v>
      </c>
      <c r="B57" t="s">
        <v>636</v>
      </c>
      <c r="C57" t="s">
        <v>637</v>
      </c>
      <c r="D57" t="s">
        <v>638</v>
      </c>
      <c r="E57">
        <v>94</v>
      </c>
      <c r="F57" t="str">
        <f>IF(_xlfn.XLOOKUP(C57,'75'!$C$2:$C$509,'75'!$D$2:$D$509)=D57,'75'!F57)</f>
        <v>ok</v>
      </c>
    </row>
    <row r="58" spans="1:6" x14ac:dyDescent="0.45">
      <c r="A58" t="s">
        <v>641</v>
      </c>
      <c r="B58" t="s">
        <v>642</v>
      </c>
      <c r="C58" t="s">
        <v>643</v>
      </c>
      <c r="D58" t="s">
        <v>644</v>
      </c>
      <c r="E58">
        <v>94</v>
      </c>
      <c r="F58" t="str">
        <f>IF(_xlfn.XLOOKUP(C58,'75'!$C$2:$C$509,'75'!$D$2:$D$509)=D58,'75'!F58)</f>
        <v>no</v>
      </c>
    </row>
    <row r="59" spans="1:6" x14ac:dyDescent="0.45">
      <c r="A59" t="s">
        <v>645</v>
      </c>
      <c r="B59" t="s">
        <v>646</v>
      </c>
      <c r="C59" t="s">
        <v>647</v>
      </c>
      <c r="D59" t="s">
        <v>648</v>
      </c>
      <c r="E59">
        <v>91</v>
      </c>
      <c r="F59" t="str">
        <f>IF(_xlfn.XLOOKUP(C59,'75'!$C$2:$C$509,'75'!$D$2:$D$509)=D59,'75'!F59)</f>
        <v>no</v>
      </c>
    </row>
    <row r="60" spans="1:6" x14ac:dyDescent="0.45">
      <c r="A60" t="s">
        <v>649</v>
      </c>
      <c r="B60" t="s">
        <v>650</v>
      </c>
      <c r="C60" t="s">
        <v>651</v>
      </c>
      <c r="D60" t="s">
        <v>652</v>
      </c>
      <c r="E60">
        <v>98</v>
      </c>
      <c r="F60" t="str">
        <f>IF(_xlfn.XLOOKUP(C60,'75'!$C$2:$C$509,'75'!$D$2:$D$509)=D60,'75'!F60)</f>
        <v>no</v>
      </c>
    </row>
    <row r="61" spans="1:6" x14ac:dyDescent="0.45">
      <c r="A61" t="s">
        <v>677</v>
      </c>
      <c r="B61" t="s">
        <v>678</v>
      </c>
      <c r="C61" t="s">
        <v>679</v>
      </c>
      <c r="D61" t="s">
        <v>680</v>
      </c>
      <c r="E61">
        <v>95</v>
      </c>
      <c r="F61" t="str">
        <f>IF(_xlfn.XLOOKUP(C61,'75'!$C$2:$C$509,'75'!$D$2:$D$509)=D61,'75'!F61)</f>
        <v>ok</v>
      </c>
    </row>
    <row r="62" spans="1:6" x14ac:dyDescent="0.45">
      <c r="A62" t="s">
        <v>685</v>
      </c>
      <c r="B62" t="s">
        <v>686</v>
      </c>
      <c r="C62" t="s">
        <v>687</v>
      </c>
      <c r="D62" t="s">
        <v>688</v>
      </c>
      <c r="E62">
        <v>91</v>
      </c>
      <c r="F62" t="str">
        <f>IF(_xlfn.XLOOKUP(C62,'75'!$C$2:$C$509,'75'!$D$2:$D$509)=D62,'75'!F62)</f>
        <v>no</v>
      </c>
    </row>
    <row r="63" spans="1:6" x14ac:dyDescent="0.45">
      <c r="A63" t="s">
        <v>693</v>
      </c>
      <c r="B63" t="s">
        <v>694</v>
      </c>
      <c r="C63" t="s">
        <v>695</v>
      </c>
      <c r="D63" t="s">
        <v>696</v>
      </c>
      <c r="E63">
        <v>95</v>
      </c>
      <c r="F63" t="str">
        <f>IF(_xlfn.XLOOKUP(C63,'75'!$C$2:$C$509,'75'!$D$2:$D$509)=D63,'75'!F63)</f>
        <v>no</v>
      </c>
    </row>
    <row r="64" spans="1:6" x14ac:dyDescent="0.45">
      <c r="A64" t="s">
        <v>697</v>
      </c>
      <c r="B64" t="s">
        <v>698</v>
      </c>
      <c r="C64" t="s">
        <v>699</v>
      </c>
      <c r="D64" t="s">
        <v>700</v>
      </c>
      <c r="E64">
        <v>90</v>
      </c>
      <c r="F64" t="str">
        <f>IF(_xlfn.XLOOKUP(C64,'75'!$C$2:$C$509,'75'!$D$2:$D$509)=D64,'75'!F64)</f>
        <v>no</v>
      </c>
    </row>
    <row r="65" spans="1:6" x14ac:dyDescent="0.45">
      <c r="A65" t="s">
        <v>709</v>
      </c>
      <c r="B65" t="s">
        <v>710</v>
      </c>
      <c r="C65" t="s">
        <v>711</v>
      </c>
      <c r="D65" t="s">
        <v>712</v>
      </c>
      <c r="E65">
        <v>92</v>
      </c>
      <c r="F65" t="str">
        <f>IF(_xlfn.XLOOKUP(C65,'75'!$C$2:$C$509,'75'!$D$2:$D$509)=D65,'75'!F65)</f>
        <v>no</v>
      </c>
    </row>
    <row r="66" spans="1:6" x14ac:dyDescent="0.45">
      <c r="A66" t="s">
        <v>713</v>
      </c>
      <c r="B66" t="s">
        <v>717</v>
      </c>
      <c r="C66" t="s">
        <v>715</v>
      </c>
      <c r="D66" t="s">
        <v>718</v>
      </c>
      <c r="E66">
        <v>89</v>
      </c>
      <c r="F66" t="s">
        <v>1513</v>
      </c>
    </row>
    <row r="67" spans="1:6" x14ac:dyDescent="0.45">
      <c r="A67" t="s">
        <v>731</v>
      </c>
      <c r="B67" t="s">
        <v>735</v>
      </c>
      <c r="C67" t="s">
        <v>733</v>
      </c>
      <c r="D67" t="s">
        <v>736</v>
      </c>
      <c r="E67">
        <v>94</v>
      </c>
      <c r="F67" t="s">
        <v>1512</v>
      </c>
    </row>
    <row r="68" spans="1:6" x14ac:dyDescent="0.45">
      <c r="A68" t="s">
        <v>737</v>
      </c>
      <c r="B68" t="s">
        <v>741</v>
      </c>
      <c r="C68" t="s">
        <v>739</v>
      </c>
      <c r="D68" t="s">
        <v>742</v>
      </c>
      <c r="E68">
        <v>90</v>
      </c>
      <c r="F68" t="s">
        <v>1513</v>
      </c>
    </row>
    <row r="69" spans="1:6" x14ac:dyDescent="0.45">
      <c r="A69" t="s">
        <v>787</v>
      </c>
      <c r="B69" t="s">
        <v>788</v>
      </c>
      <c r="C69" t="s">
        <v>789</v>
      </c>
      <c r="D69" t="s">
        <v>790</v>
      </c>
      <c r="E69">
        <v>94</v>
      </c>
      <c r="F69" t="str">
        <f>IF(_xlfn.XLOOKUP(C69,'75'!$C$2:$C$509,'75'!$D$2:$D$509)=D69,'75'!F69)</f>
        <v>ok</v>
      </c>
    </row>
    <row r="70" spans="1:6" x14ac:dyDescent="0.45">
      <c r="A70" t="s">
        <v>795</v>
      </c>
      <c r="B70" t="s">
        <v>796</v>
      </c>
      <c r="C70" t="s">
        <v>797</v>
      </c>
      <c r="D70" t="s">
        <v>798</v>
      </c>
      <c r="E70">
        <v>97</v>
      </c>
      <c r="F70" t="str">
        <f>IF(_xlfn.XLOOKUP(C70,'75'!$C$2:$C$509,'75'!$D$2:$D$509)=D70,'75'!F70)</f>
        <v>no</v>
      </c>
    </row>
    <row r="71" spans="1:6" x14ac:dyDescent="0.45">
      <c r="A71" t="s">
        <v>811</v>
      </c>
      <c r="B71" t="s">
        <v>812</v>
      </c>
      <c r="C71" t="s">
        <v>813</v>
      </c>
      <c r="D71" t="s">
        <v>814</v>
      </c>
      <c r="E71">
        <v>89</v>
      </c>
      <c r="F71" t="str">
        <f>IF(_xlfn.XLOOKUP(C71,'75'!$C$2:$C$509,'75'!$D$2:$D$509)=D71,'75'!F71)</f>
        <v>ok</v>
      </c>
    </row>
    <row r="72" spans="1:6" x14ac:dyDescent="0.45">
      <c r="A72" t="s">
        <v>821</v>
      </c>
      <c r="B72" t="s">
        <v>822</v>
      </c>
      <c r="C72" t="s">
        <v>823</v>
      </c>
      <c r="D72" t="s">
        <v>824</v>
      </c>
      <c r="E72">
        <v>89</v>
      </c>
      <c r="F72" t="str">
        <f>IF(_xlfn.XLOOKUP(C72,'75'!$C$2:$C$509,'75'!$D$2:$D$509)=D72,'75'!F72)</f>
        <v>no</v>
      </c>
    </row>
    <row r="73" spans="1:6" x14ac:dyDescent="0.45">
      <c r="A73" t="s">
        <v>835</v>
      </c>
      <c r="B73" t="s">
        <v>836</v>
      </c>
      <c r="C73" t="s">
        <v>837</v>
      </c>
      <c r="D73" t="s">
        <v>838</v>
      </c>
      <c r="E73">
        <v>88</v>
      </c>
      <c r="F73" t="str">
        <f>IF(_xlfn.XLOOKUP(C73,'75'!$C$2:$C$509,'75'!$D$2:$D$509)=D73,'75'!F73)</f>
        <v>no</v>
      </c>
    </row>
    <row r="74" spans="1:6" x14ac:dyDescent="0.45">
      <c r="A74" t="s">
        <v>847</v>
      </c>
      <c r="B74" t="s">
        <v>848</v>
      </c>
      <c r="C74" t="s">
        <v>849</v>
      </c>
      <c r="D74" t="s">
        <v>850</v>
      </c>
      <c r="E74">
        <v>90</v>
      </c>
      <c r="F74" t="str">
        <f>IF(_xlfn.XLOOKUP(C74,'75'!$C$2:$C$509,'75'!$D$2:$D$509)=D74,'75'!F74)</f>
        <v>ok</v>
      </c>
    </row>
    <row r="75" spans="1:6" x14ac:dyDescent="0.45">
      <c r="A75" t="s">
        <v>915</v>
      </c>
      <c r="B75" t="s">
        <v>916</v>
      </c>
      <c r="C75" t="s">
        <v>917</v>
      </c>
      <c r="D75" t="s">
        <v>918</v>
      </c>
      <c r="E75">
        <v>92</v>
      </c>
      <c r="F75" t="str">
        <f>IF(_xlfn.XLOOKUP(C75,'75'!$C$2:$C$509,'75'!$D$2:$D$509)=D75,'75'!F75)</f>
        <v>ok</v>
      </c>
    </row>
    <row r="76" spans="1:6" x14ac:dyDescent="0.45">
      <c r="A76" t="s">
        <v>919</v>
      </c>
      <c r="B76" t="s">
        <v>920</v>
      </c>
      <c r="C76" t="s">
        <v>921</v>
      </c>
      <c r="D76" t="s">
        <v>922</v>
      </c>
      <c r="E76">
        <v>97</v>
      </c>
      <c r="F76" t="str">
        <f>IF(_xlfn.XLOOKUP(C76,'75'!$C$2:$C$509,'75'!$D$2:$D$509)=D76,'75'!F76)</f>
        <v>ok</v>
      </c>
    </row>
    <row r="77" spans="1:6" x14ac:dyDescent="0.45">
      <c r="A77" t="s">
        <v>923</v>
      </c>
      <c r="B77" t="s">
        <v>924</v>
      </c>
      <c r="C77" t="s">
        <v>925</v>
      </c>
      <c r="D77" t="s">
        <v>926</v>
      </c>
      <c r="E77">
        <v>93</v>
      </c>
      <c r="F77" t="str">
        <f>IF(_xlfn.XLOOKUP(C77,'75'!$C$2:$C$509,'75'!$D$2:$D$509)=D77,'75'!F77)</f>
        <v>no</v>
      </c>
    </row>
    <row r="78" spans="1:6" x14ac:dyDescent="0.45">
      <c r="A78" t="s">
        <v>949</v>
      </c>
      <c r="B78" t="s">
        <v>950</v>
      </c>
      <c r="C78" t="s">
        <v>951</v>
      </c>
      <c r="D78" t="s">
        <v>952</v>
      </c>
      <c r="E78">
        <v>94</v>
      </c>
      <c r="F78" t="str">
        <f>IF(_xlfn.XLOOKUP(C78,'75'!$C$2:$C$509,'75'!$D$2:$D$509)=D78,'75'!F78)</f>
        <v>no</v>
      </c>
    </row>
    <row r="79" spans="1:6" x14ac:dyDescent="0.45">
      <c r="A79" t="s">
        <v>949</v>
      </c>
      <c r="B79" t="s">
        <v>953</v>
      </c>
      <c r="C79" t="s">
        <v>951</v>
      </c>
      <c r="D79" t="s">
        <v>954</v>
      </c>
      <c r="E79">
        <v>91</v>
      </c>
      <c r="F79" t="s">
        <v>1512</v>
      </c>
    </row>
    <row r="80" spans="1:6" x14ac:dyDescent="0.45">
      <c r="A80" t="s">
        <v>950</v>
      </c>
      <c r="B80" t="s">
        <v>953</v>
      </c>
      <c r="C80" t="s">
        <v>952</v>
      </c>
      <c r="D80" t="s">
        <v>954</v>
      </c>
      <c r="E80">
        <v>91</v>
      </c>
      <c r="F80" t="str">
        <f>IF(_xlfn.XLOOKUP(C80,'75'!$C$2:$C$509,'75'!$D$2:$D$509)=D80,'75'!F80)</f>
        <v>no</v>
      </c>
    </row>
    <row r="81" spans="1:6" x14ac:dyDescent="0.45">
      <c r="A81" t="s">
        <v>959</v>
      </c>
      <c r="B81" t="s">
        <v>963</v>
      </c>
      <c r="C81" t="s">
        <v>961</v>
      </c>
      <c r="D81" t="s">
        <v>964</v>
      </c>
      <c r="E81">
        <v>91</v>
      </c>
      <c r="F81" t="s">
        <v>1512</v>
      </c>
    </row>
    <row r="82" spans="1:6" x14ac:dyDescent="0.45">
      <c r="A82" t="s">
        <v>965</v>
      </c>
      <c r="B82" t="s">
        <v>966</v>
      </c>
      <c r="C82" t="s">
        <v>967</v>
      </c>
      <c r="D82" t="s">
        <v>968</v>
      </c>
      <c r="E82">
        <v>95</v>
      </c>
      <c r="F82" t="str">
        <f>IF(_xlfn.XLOOKUP(C82,'75'!$C$2:$C$509,'75'!$D$2:$D$509)=D82,'75'!F82)</f>
        <v>no</v>
      </c>
    </row>
    <row r="83" spans="1:6" x14ac:dyDescent="0.45">
      <c r="A83" t="s">
        <v>973</v>
      </c>
      <c r="B83" t="s">
        <v>974</v>
      </c>
      <c r="C83" t="s">
        <v>975</v>
      </c>
      <c r="D83" t="s">
        <v>976</v>
      </c>
      <c r="E83">
        <v>95</v>
      </c>
      <c r="F83" t="str">
        <f>IF(_xlfn.XLOOKUP(C83,'75'!$C$2:$C$509,'75'!$D$2:$D$509)=D83,'75'!F83)</f>
        <v>no</v>
      </c>
    </row>
    <row r="84" spans="1:6" x14ac:dyDescent="0.45">
      <c r="A84" t="s">
        <v>977</v>
      </c>
      <c r="B84" t="s">
        <v>978</v>
      </c>
      <c r="C84" t="s">
        <v>979</v>
      </c>
      <c r="D84" t="s">
        <v>980</v>
      </c>
      <c r="E84">
        <v>89</v>
      </c>
      <c r="F84" t="str">
        <f>IF(_xlfn.XLOOKUP(C84,'75'!$C$2:$C$509,'75'!$D$2:$D$509)=D84,'75'!F84)</f>
        <v>no</v>
      </c>
    </row>
    <row r="85" spans="1:6" x14ac:dyDescent="0.45">
      <c r="A85" t="s">
        <v>981</v>
      </c>
      <c r="B85" t="s">
        <v>982</v>
      </c>
      <c r="C85" t="s">
        <v>983</v>
      </c>
      <c r="D85" t="s">
        <v>984</v>
      </c>
      <c r="E85">
        <v>92</v>
      </c>
      <c r="F85" t="str">
        <f>IF(_xlfn.XLOOKUP(C85,'75'!$C$2:$C$509,'75'!$D$2:$D$509)=D85,'75'!F85)</f>
        <v>no</v>
      </c>
    </row>
    <row r="86" spans="1:6" x14ac:dyDescent="0.45">
      <c r="A86" t="s">
        <v>981</v>
      </c>
      <c r="B86" t="s">
        <v>985</v>
      </c>
      <c r="C86" t="s">
        <v>983</v>
      </c>
      <c r="D86" t="s">
        <v>986</v>
      </c>
      <c r="E86">
        <v>92</v>
      </c>
      <c r="F86" t="s">
        <v>1513</v>
      </c>
    </row>
    <row r="87" spans="1:6" x14ac:dyDescent="0.45">
      <c r="A87" t="s">
        <v>982</v>
      </c>
      <c r="B87" t="s">
        <v>987</v>
      </c>
      <c r="C87" t="s">
        <v>984</v>
      </c>
      <c r="D87" t="s">
        <v>988</v>
      </c>
      <c r="E87">
        <v>91</v>
      </c>
      <c r="F87" t="s">
        <v>1513</v>
      </c>
    </row>
    <row r="88" spans="1:6" x14ac:dyDescent="0.45">
      <c r="A88" t="s">
        <v>1007</v>
      </c>
      <c r="B88" t="s">
        <v>1008</v>
      </c>
      <c r="C88" t="s">
        <v>1009</v>
      </c>
      <c r="D88" t="s">
        <v>1010</v>
      </c>
      <c r="E88">
        <v>92</v>
      </c>
      <c r="F88" t="str">
        <f>IF(_xlfn.XLOOKUP(C88,'75'!$C$2:$C$509,'75'!$D$2:$D$509)=D88,'75'!F88)</f>
        <v>no</v>
      </c>
    </row>
    <row r="89" spans="1:6" x14ac:dyDescent="0.45">
      <c r="A89" t="s">
        <v>985</v>
      </c>
      <c r="B89" t="s">
        <v>987</v>
      </c>
      <c r="C89" t="s">
        <v>986</v>
      </c>
      <c r="D89" t="s">
        <v>988</v>
      </c>
      <c r="E89">
        <v>92</v>
      </c>
      <c r="F89" t="str">
        <f>IF(_xlfn.XLOOKUP(C89,'75'!$C$2:$C$509,'75'!$D$2:$D$509)=D89,'75'!F89)</f>
        <v>no</v>
      </c>
    </row>
    <row r="90" spans="1:6" x14ac:dyDescent="0.45">
      <c r="A90" t="s">
        <v>1021</v>
      </c>
      <c r="B90" t="s">
        <v>1022</v>
      </c>
      <c r="C90" t="s">
        <v>1023</v>
      </c>
      <c r="D90" t="s">
        <v>1024</v>
      </c>
      <c r="E90">
        <v>95</v>
      </c>
      <c r="F90" t="str">
        <f>IF(_xlfn.XLOOKUP(C90,'75'!$C$2:$C$509,'75'!$D$2:$D$509)=D90,'75'!F90)</f>
        <v>no</v>
      </c>
    </row>
    <row r="91" spans="1:6" x14ac:dyDescent="0.45">
      <c r="A91" t="s">
        <v>1027</v>
      </c>
      <c r="B91" t="s">
        <v>1028</v>
      </c>
      <c r="C91" t="s">
        <v>1029</v>
      </c>
      <c r="D91" t="s">
        <v>1030</v>
      </c>
      <c r="E91">
        <v>94</v>
      </c>
      <c r="F91" t="str">
        <f>IF(_xlfn.XLOOKUP(C91,'75'!$C$2:$C$509,'75'!$D$2:$D$509)=D91,'75'!F91)</f>
        <v>ok</v>
      </c>
    </row>
    <row r="92" spans="1:6" x14ac:dyDescent="0.45">
      <c r="A92" t="s">
        <v>1031</v>
      </c>
      <c r="B92" t="s">
        <v>1032</v>
      </c>
      <c r="C92" t="s">
        <v>1033</v>
      </c>
      <c r="D92" t="s">
        <v>1034</v>
      </c>
      <c r="E92">
        <v>90</v>
      </c>
      <c r="F92" t="str">
        <f>IF(_xlfn.XLOOKUP(C92,'75'!$C$2:$C$509,'75'!$D$2:$D$509)=D92,'75'!F92)</f>
        <v>no</v>
      </c>
    </row>
    <row r="93" spans="1:6" x14ac:dyDescent="0.45">
      <c r="A93" t="s">
        <v>1035</v>
      </c>
      <c r="B93" t="s">
        <v>1039</v>
      </c>
      <c r="C93" t="s">
        <v>1037</v>
      </c>
      <c r="D93" t="s">
        <v>1040</v>
      </c>
      <c r="E93">
        <v>98</v>
      </c>
      <c r="F93" t="s">
        <v>1512</v>
      </c>
    </row>
    <row r="94" spans="1:6" x14ac:dyDescent="0.45">
      <c r="A94" t="s">
        <v>1045</v>
      </c>
      <c r="B94" t="s">
        <v>1046</v>
      </c>
      <c r="C94" t="s">
        <v>1047</v>
      </c>
      <c r="D94" t="s">
        <v>1048</v>
      </c>
      <c r="E94">
        <v>97</v>
      </c>
      <c r="F94" t="str">
        <f>IF(_xlfn.XLOOKUP(C94,'75'!$C$2:$C$509,'75'!$D$2:$D$509)=D94,'75'!F94)</f>
        <v>no</v>
      </c>
    </row>
    <row r="95" spans="1:6" x14ac:dyDescent="0.45">
      <c r="A95" t="s">
        <v>1051</v>
      </c>
      <c r="B95" t="s">
        <v>1042</v>
      </c>
      <c r="C95" t="s">
        <v>1052</v>
      </c>
      <c r="D95" t="s">
        <v>1044</v>
      </c>
      <c r="E95">
        <v>93</v>
      </c>
      <c r="F95" t="str">
        <f>IF(_xlfn.XLOOKUP(C95,'75'!$C$2:$C$509,'75'!$D$2:$D$509)=D95,'75'!F95)</f>
        <v>no</v>
      </c>
    </row>
    <row r="96" spans="1:6" x14ac:dyDescent="0.45">
      <c r="A96" t="s">
        <v>1057</v>
      </c>
      <c r="B96" t="s">
        <v>1058</v>
      </c>
      <c r="C96" t="s">
        <v>1059</v>
      </c>
      <c r="D96" t="s">
        <v>1060</v>
      </c>
      <c r="E96">
        <v>93</v>
      </c>
      <c r="F96" t="str">
        <f>IF(_xlfn.XLOOKUP(C96,'75'!$C$2:$C$509,'75'!$D$2:$D$509)=D96,'75'!F96)</f>
        <v>ok</v>
      </c>
    </row>
    <row r="97" spans="1:6" x14ac:dyDescent="0.45">
      <c r="A97" t="s">
        <v>1069</v>
      </c>
      <c r="B97" t="s">
        <v>1070</v>
      </c>
      <c r="C97" t="s">
        <v>1071</v>
      </c>
      <c r="D97" t="s">
        <v>1072</v>
      </c>
      <c r="E97">
        <v>93</v>
      </c>
      <c r="F97" t="str">
        <f>IF(_xlfn.XLOOKUP(C97,'75'!$C$2:$C$509,'75'!$D$2:$D$509)=D97,'75'!F97)</f>
        <v>no</v>
      </c>
    </row>
    <row r="98" spans="1:6" x14ac:dyDescent="0.45">
      <c r="A98" t="s">
        <v>1073</v>
      </c>
      <c r="B98" t="s">
        <v>1074</v>
      </c>
      <c r="C98" t="s">
        <v>1075</v>
      </c>
      <c r="D98" t="s">
        <v>1076</v>
      </c>
      <c r="E98">
        <v>94</v>
      </c>
      <c r="F98" t="str">
        <f>IF(_xlfn.XLOOKUP(C98,'75'!$C$2:$C$509,'75'!$D$2:$D$509)=D98,'75'!F98)</f>
        <v>no</v>
      </c>
    </row>
    <row r="99" spans="1:6" x14ac:dyDescent="0.45">
      <c r="A99" t="s">
        <v>1077</v>
      </c>
      <c r="B99" t="s">
        <v>1078</v>
      </c>
      <c r="C99" t="s">
        <v>1079</v>
      </c>
      <c r="D99" t="s">
        <v>1080</v>
      </c>
      <c r="E99">
        <v>95</v>
      </c>
      <c r="F99" t="str">
        <f>IF(_xlfn.XLOOKUP(C99,'75'!$C$2:$C$509,'75'!$D$2:$D$509)=D99,'75'!F99)</f>
        <v>ok</v>
      </c>
    </row>
    <row r="100" spans="1:6" x14ac:dyDescent="0.45">
      <c r="A100" t="s">
        <v>1097</v>
      </c>
      <c r="B100" t="s">
        <v>1098</v>
      </c>
      <c r="C100" t="s">
        <v>1099</v>
      </c>
      <c r="D100" t="s">
        <v>1100</v>
      </c>
      <c r="E100">
        <v>90</v>
      </c>
      <c r="F100" t="str">
        <f>IF(_xlfn.XLOOKUP(C100,'75'!$C$2:$C$509,'75'!$D$2:$D$509)=D100,'75'!F100)</f>
        <v>no</v>
      </c>
    </row>
    <row r="101" spans="1:6" x14ac:dyDescent="0.45">
      <c r="A101" t="s">
        <v>1109</v>
      </c>
      <c r="B101" t="s">
        <v>1110</v>
      </c>
      <c r="C101" t="s">
        <v>1111</v>
      </c>
      <c r="D101" t="s">
        <v>1112</v>
      </c>
      <c r="E101">
        <v>90</v>
      </c>
      <c r="F101" t="str">
        <f>IF(_xlfn.XLOOKUP(C101,'75'!$C$2:$C$509,'75'!$D$2:$D$509)=D101,'75'!F101)</f>
        <v>ok</v>
      </c>
    </row>
    <row r="102" spans="1:6" x14ac:dyDescent="0.45">
      <c r="A102" t="s">
        <v>1113</v>
      </c>
      <c r="B102" t="s">
        <v>1114</v>
      </c>
      <c r="C102" t="s">
        <v>1115</v>
      </c>
      <c r="D102" t="s">
        <v>1116</v>
      </c>
      <c r="E102">
        <v>93</v>
      </c>
      <c r="F102" t="str">
        <f>IF(_xlfn.XLOOKUP(C102,'75'!$C$2:$C$509,'75'!$D$2:$D$509)=D102,'75'!F102)</f>
        <v>ok</v>
      </c>
    </row>
    <row r="103" spans="1:6" x14ac:dyDescent="0.45">
      <c r="A103" t="s">
        <v>1117</v>
      </c>
      <c r="B103" t="s">
        <v>1118</v>
      </c>
      <c r="C103" t="s">
        <v>1119</v>
      </c>
      <c r="D103" t="s">
        <v>1120</v>
      </c>
      <c r="E103">
        <v>97</v>
      </c>
      <c r="F103" t="str">
        <f>IF(_xlfn.XLOOKUP(C103,'75'!$C$2:$C$509,'75'!$D$2:$D$509)=D103,'75'!F103)</f>
        <v>ok</v>
      </c>
    </row>
    <row r="104" spans="1:6" x14ac:dyDescent="0.45">
      <c r="A104" t="s">
        <v>1137</v>
      </c>
      <c r="B104" t="s">
        <v>1138</v>
      </c>
      <c r="C104" t="s">
        <v>1139</v>
      </c>
      <c r="D104" t="s">
        <v>1140</v>
      </c>
      <c r="E104">
        <v>96</v>
      </c>
      <c r="F104" t="str">
        <f>IF(_xlfn.XLOOKUP(C104,'75'!$C$2:$C$509,'75'!$D$2:$D$509)=D104,'75'!F104)</f>
        <v>no</v>
      </c>
    </row>
    <row r="105" spans="1:6" x14ac:dyDescent="0.45">
      <c r="A105" t="s">
        <v>1161</v>
      </c>
      <c r="B105" t="s">
        <v>1162</v>
      </c>
      <c r="C105" t="s">
        <v>1163</v>
      </c>
      <c r="D105" t="s">
        <v>1164</v>
      </c>
      <c r="E105">
        <v>90</v>
      </c>
      <c r="F105" t="str">
        <f>IF(_xlfn.XLOOKUP(C105,'75'!$C$2:$C$509,'75'!$D$2:$D$509)=D105,'75'!F105)</f>
        <v>no</v>
      </c>
    </row>
    <row r="106" spans="1:6" x14ac:dyDescent="0.45">
      <c r="A106" t="s">
        <v>1165</v>
      </c>
      <c r="B106" t="s">
        <v>1166</v>
      </c>
      <c r="C106" t="s">
        <v>1167</v>
      </c>
      <c r="D106" t="s">
        <v>1168</v>
      </c>
      <c r="E106">
        <v>93</v>
      </c>
      <c r="F106" t="str">
        <f>IF(_xlfn.XLOOKUP(C106,'75'!$C$2:$C$509,'75'!$D$2:$D$509)=D106,'75'!F106)</f>
        <v>no</v>
      </c>
    </row>
    <row r="107" spans="1:6" x14ac:dyDescent="0.45">
      <c r="A107" t="s">
        <v>1189</v>
      </c>
      <c r="B107" t="s">
        <v>1190</v>
      </c>
      <c r="C107" t="s">
        <v>1191</v>
      </c>
      <c r="D107" t="s">
        <v>1192</v>
      </c>
      <c r="E107">
        <v>92</v>
      </c>
      <c r="F107" t="str">
        <f>IF(_xlfn.XLOOKUP(C107,'75'!$C$2:$C$509,'75'!$D$2:$D$509)=D107,'75'!F107)</f>
        <v>no</v>
      </c>
    </row>
    <row r="108" spans="1:6" x14ac:dyDescent="0.45">
      <c r="A108" t="s">
        <v>1205</v>
      </c>
      <c r="B108" t="s">
        <v>1206</v>
      </c>
      <c r="C108" t="s">
        <v>1207</v>
      </c>
      <c r="D108" t="s">
        <v>1208</v>
      </c>
      <c r="E108">
        <v>95</v>
      </c>
      <c r="F108" t="str">
        <f>IF(_xlfn.XLOOKUP(C108,'75'!$C$2:$C$509,'75'!$D$2:$D$509)=D108,'75'!F108)</f>
        <v>ok</v>
      </c>
    </row>
    <row r="109" spans="1:6" x14ac:dyDescent="0.45">
      <c r="A109" t="s">
        <v>1209</v>
      </c>
      <c r="B109" t="s">
        <v>1210</v>
      </c>
      <c r="C109" t="s">
        <v>1211</v>
      </c>
      <c r="D109" t="s">
        <v>1212</v>
      </c>
      <c r="E109">
        <v>88</v>
      </c>
      <c r="F109" t="str">
        <f>IF(_xlfn.XLOOKUP(C109,'75'!$C$2:$C$509,'75'!$D$2:$D$509)=D109,'75'!F109)</f>
        <v>ok</v>
      </c>
    </row>
    <row r="110" spans="1:6" x14ac:dyDescent="0.45">
      <c r="A110" t="s">
        <v>1223</v>
      </c>
      <c r="B110" t="s">
        <v>1224</v>
      </c>
      <c r="C110" t="s">
        <v>1225</v>
      </c>
      <c r="D110" t="s">
        <v>1226</v>
      </c>
      <c r="E110">
        <v>98</v>
      </c>
      <c r="F110" t="str">
        <f>IF(_xlfn.XLOOKUP(C110,'75'!$C$2:$C$509,'75'!$D$2:$D$509)=D110,'75'!F110)</f>
        <v>ok</v>
      </c>
    </row>
    <row r="111" spans="1:6" x14ac:dyDescent="0.45">
      <c r="A111" t="s">
        <v>1231</v>
      </c>
      <c r="B111" t="s">
        <v>1228</v>
      </c>
      <c r="C111" t="s">
        <v>1232</v>
      </c>
      <c r="D111" t="s">
        <v>1230</v>
      </c>
      <c r="E111">
        <v>94</v>
      </c>
      <c r="F111" t="str">
        <f>IF(_xlfn.XLOOKUP(C111,'75'!$C$2:$C$509,'75'!$D$2:$D$509)=D111,'75'!F111)</f>
        <v>no</v>
      </c>
    </row>
    <row r="112" spans="1:6" x14ac:dyDescent="0.45">
      <c r="A112" t="s">
        <v>1233</v>
      </c>
      <c r="B112" t="s">
        <v>1186</v>
      </c>
      <c r="C112" t="s">
        <v>1234</v>
      </c>
      <c r="D112" t="s">
        <v>1188</v>
      </c>
      <c r="E112">
        <v>90</v>
      </c>
      <c r="F112" t="str">
        <f>IF(_xlfn.XLOOKUP(C112,'75'!$C$2:$C$509,'75'!$D$2:$D$509)=D112,'75'!F112)</f>
        <v>no</v>
      </c>
    </row>
    <row r="113" spans="1:6" x14ac:dyDescent="0.45">
      <c r="A113" t="s">
        <v>1251</v>
      </c>
      <c r="B113" t="s">
        <v>1252</v>
      </c>
      <c r="C113" t="s">
        <v>1253</v>
      </c>
      <c r="D113" t="s">
        <v>1254</v>
      </c>
      <c r="E113">
        <v>94</v>
      </c>
      <c r="F113" t="str">
        <f>IF(_xlfn.XLOOKUP(C113,'75'!$C$2:$C$509,'75'!$D$2:$D$509)=D113,'75'!F113)</f>
        <v>ok</v>
      </c>
    </row>
    <row r="114" spans="1:6" x14ac:dyDescent="0.45">
      <c r="A114" t="s">
        <v>1273</v>
      </c>
      <c r="B114" t="s">
        <v>1274</v>
      </c>
      <c r="C114" t="s">
        <v>1275</v>
      </c>
      <c r="D114" t="s">
        <v>1276</v>
      </c>
      <c r="E114">
        <v>91</v>
      </c>
      <c r="F114" t="str">
        <f>IF(_xlfn.XLOOKUP(C114,'75'!$C$2:$C$509,'75'!$D$2:$D$509)=D114,'75'!F114)</f>
        <v>ok</v>
      </c>
    </row>
    <row r="115" spans="1:6" x14ac:dyDescent="0.45">
      <c r="A115" t="s">
        <v>1329</v>
      </c>
      <c r="B115" t="s">
        <v>1330</v>
      </c>
      <c r="C115" t="s">
        <v>1331</v>
      </c>
      <c r="D115" t="s">
        <v>1332</v>
      </c>
      <c r="E115">
        <v>92</v>
      </c>
      <c r="F115" t="str">
        <f>IF(_xlfn.XLOOKUP(C115,'75'!$C$2:$C$509,'75'!$D$2:$D$509)=D115,'75'!F115)</f>
        <v>no</v>
      </c>
    </row>
    <row r="116" spans="1:6" x14ac:dyDescent="0.45">
      <c r="A116" t="s">
        <v>1339</v>
      </c>
      <c r="B116" t="s">
        <v>1341</v>
      </c>
      <c r="C116" t="s">
        <v>1340</v>
      </c>
      <c r="D116" t="s">
        <v>1342</v>
      </c>
      <c r="E116">
        <v>95</v>
      </c>
      <c r="F116" t="s">
        <v>1512</v>
      </c>
    </row>
    <row r="117" spans="1:6" x14ac:dyDescent="0.45">
      <c r="A117" t="s">
        <v>1373</v>
      </c>
      <c r="B117" t="s">
        <v>1374</v>
      </c>
      <c r="C117" t="s">
        <v>1375</v>
      </c>
      <c r="D117" t="s">
        <v>1376</v>
      </c>
      <c r="E117">
        <v>89</v>
      </c>
      <c r="F117" t="str">
        <f>IF(_xlfn.XLOOKUP(C117,'75'!$C$2:$C$509,'75'!$D$2:$D$509)=D117,'75'!F117)</f>
        <v>ok</v>
      </c>
    </row>
    <row r="118" spans="1:6" x14ac:dyDescent="0.45">
      <c r="A118" t="s">
        <v>1385</v>
      </c>
      <c r="B118" t="s">
        <v>1386</v>
      </c>
      <c r="C118" t="s">
        <v>1387</v>
      </c>
      <c r="D118" t="s">
        <v>1388</v>
      </c>
      <c r="E118">
        <v>89</v>
      </c>
      <c r="F118" t="str">
        <f>IF(_xlfn.XLOOKUP(C118,'75'!$C$2:$C$509,'75'!$D$2:$D$509)=D118,'75'!F118)</f>
        <v>no</v>
      </c>
    </row>
    <row r="119" spans="1:6" x14ac:dyDescent="0.45">
      <c r="A119" t="s">
        <v>1409</v>
      </c>
      <c r="B119" t="s">
        <v>1410</v>
      </c>
      <c r="C119" t="s">
        <v>1411</v>
      </c>
      <c r="D119" t="s">
        <v>1412</v>
      </c>
      <c r="E119">
        <v>96</v>
      </c>
      <c r="F119" t="str">
        <f>IF(_xlfn.XLOOKUP(C119,'75'!$C$2:$C$509,'75'!$D$2:$D$509)=D119,'75'!F119)</f>
        <v>ok</v>
      </c>
    </row>
    <row r="120" spans="1:6" x14ac:dyDescent="0.45">
      <c r="A120" t="s">
        <v>1414</v>
      </c>
      <c r="B120" t="s">
        <v>1417</v>
      </c>
      <c r="C120" t="s">
        <v>1416</v>
      </c>
      <c r="D120" t="s">
        <v>1418</v>
      </c>
      <c r="E120">
        <v>88</v>
      </c>
      <c r="F120" t="s">
        <v>1513</v>
      </c>
    </row>
    <row r="121" spans="1:6" x14ac:dyDescent="0.45">
      <c r="A121" t="s">
        <v>1439</v>
      </c>
      <c r="B121" t="s">
        <v>1440</v>
      </c>
      <c r="C121" t="s">
        <v>1441</v>
      </c>
      <c r="D121" t="s">
        <v>1442</v>
      </c>
      <c r="E121">
        <v>91</v>
      </c>
      <c r="F121" t="str">
        <f>IF(_xlfn.XLOOKUP(C121,'75'!$C$2:$C$509,'75'!$D$2:$D$509)=D121,'75'!F121)</f>
        <v>ok</v>
      </c>
    </row>
    <row r="122" spans="1:6" x14ac:dyDescent="0.45">
      <c r="A122" t="s">
        <v>1479</v>
      </c>
      <c r="B122" t="s">
        <v>1480</v>
      </c>
      <c r="C122" t="s">
        <v>1481</v>
      </c>
      <c r="D122" t="s">
        <v>1482</v>
      </c>
      <c r="E122">
        <v>88</v>
      </c>
      <c r="F122" t="str">
        <f>IF(_xlfn.XLOOKUP(C122,'75'!$C$2:$C$509,'75'!$D$2:$D$509)=D122,'75'!F122)</f>
        <v>ok</v>
      </c>
    </row>
    <row r="123" spans="1:6" x14ac:dyDescent="0.45">
      <c r="A123" t="s">
        <v>1507</v>
      </c>
      <c r="B123" t="s">
        <v>1508</v>
      </c>
      <c r="C123" t="s">
        <v>1509</v>
      </c>
      <c r="D123" t="s">
        <v>1510</v>
      </c>
      <c r="E123">
        <v>92</v>
      </c>
      <c r="F123" t="str">
        <f>IF(_xlfn.XLOOKUP(C123,'75'!$C$2:$C$509,'75'!$D$2:$D$509)=D123,'75'!F123)</f>
        <v>no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1A7F-F346-44C3-AA0E-C474E2F4CCCA}">
  <dimension ref="A1:J103"/>
  <sheetViews>
    <sheetView workbookViewId="0">
      <selection activeCell="J4" sqref="J4"/>
    </sheetView>
  </sheetViews>
  <sheetFormatPr defaultRowHeight="14.25" x14ac:dyDescent="0.45"/>
  <cols>
    <col min="1" max="1" width="26.86328125" bestFit="1" customWidth="1"/>
    <col min="2" max="2" width="25.06640625" bestFit="1" customWidth="1"/>
    <col min="3" max="4" width="11.73046875" bestFit="1" customWidth="1"/>
    <col min="5" max="5" width="13.4648437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1516</v>
      </c>
    </row>
    <row r="2" spans="1:10" x14ac:dyDescent="0.45">
      <c r="A2" t="s">
        <v>5</v>
      </c>
      <c r="B2" t="s">
        <v>6</v>
      </c>
      <c r="C2" t="s">
        <v>7</v>
      </c>
      <c r="D2" t="s">
        <v>8</v>
      </c>
      <c r="E2">
        <v>92</v>
      </c>
      <c r="F2" t="str">
        <f>IF(_xlfn.XLOOKUP(C2,'75'!$C$2:$C$509,'75'!$D$2:$D$509)=D2,'75'!F2)</f>
        <v>ok</v>
      </c>
      <c r="H2" t="s">
        <v>1517</v>
      </c>
      <c r="I2">
        <f>COUNTIF(F2:F103, "ok")/102</f>
        <v>0.40196078431372551</v>
      </c>
      <c r="J2">
        <f>COUNTIF(F2:F103,"ok")</f>
        <v>41</v>
      </c>
    </row>
    <row r="3" spans="1:10" x14ac:dyDescent="0.45">
      <c r="A3" t="s">
        <v>19</v>
      </c>
      <c r="B3" t="s">
        <v>20</v>
      </c>
      <c r="C3" t="s">
        <v>21</v>
      </c>
      <c r="D3" t="s">
        <v>22</v>
      </c>
      <c r="E3">
        <v>94</v>
      </c>
      <c r="F3" t="str">
        <f>IF(_xlfn.XLOOKUP(C3,'75'!$C$2:$C$509,'75'!$D$2:$D$509)=D3,'75'!F3)</f>
        <v>no</v>
      </c>
      <c r="H3" t="s">
        <v>1518</v>
      </c>
      <c r="I3">
        <f>COUNTIF(F2:F103,"no")/102</f>
        <v>0.59803921568627449</v>
      </c>
      <c r="J3">
        <f>COUNTIF(F2:F103, "no")</f>
        <v>61</v>
      </c>
    </row>
    <row r="4" spans="1:10" x14ac:dyDescent="0.45">
      <c r="A4" t="s">
        <v>79</v>
      </c>
      <c r="B4" t="s">
        <v>83</v>
      </c>
      <c r="C4" t="s">
        <v>81</v>
      </c>
      <c r="D4" t="s">
        <v>84</v>
      </c>
      <c r="E4">
        <v>90</v>
      </c>
      <c r="F4" t="s">
        <v>1513</v>
      </c>
    </row>
    <row r="5" spans="1:10" x14ac:dyDescent="0.45">
      <c r="A5" t="s">
        <v>85</v>
      </c>
      <c r="B5" t="s">
        <v>86</v>
      </c>
      <c r="C5" t="s">
        <v>87</v>
      </c>
      <c r="D5" t="s">
        <v>88</v>
      </c>
      <c r="E5">
        <v>90</v>
      </c>
      <c r="F5" t="str">
        <f>IF(_xlfn.XLOOKUP(C5,'75'!$C$2:$C$509,'75'!$D$2:$D$509)=D5,'75'!F5)</f>
        <v>no</v>
      </c>
    </row>
    <row r="6" spans="1:10" x14ac:dyDescent="0.45">
      <c r="A6" t="s">
        <v>89</v>
      </c>
      <c r="B6" t="s">
        <v>90</v>
      </c>
      <c r="C6" t="s">
        <v>91</v>
      </c>
      <c r="D6" t="s">
        <v>92</v>
      </c>
      <c r="E6">
        <v>94</v>
      </c>
      <c r="F6" t="str">
        <f>IF(_xlfn.XLOOKUP(C6,'75'!$C$2:$C$509,'75'!$D$2:$D$509)=D6,'75'!F6)</f>
        <v>ok</v>
      </c>
    </row>
    <row r="7" spans="1:10" x14ac:dyDescent="0.45">
      <c r="A7" t="s">
        <v>97</v>
      </c>
      <c r="B7" t="s">
        <v>98</v>
      </c>
      <c r="C7" t="s">
        <v>99</v>
      </c>
      <c r="D7" t="s">
        <v>100</v>
      </c>
      <c r="E7">
        <v>92</v>
      </c>
      <c r="F7" t="str">
        <f>IF(_xlfn.XLOOKUP(C7,'75'!$C$2:$C$509,'75'!$D$2:$D$509)=D7,'75'!F7)</f>
        <v>no</v>
      </c>
    </row>
    <row r="8" spans="1:10" x14ac:dyDescent="0.45">
      <c r="A8" t="s">
        <v>121</v>
      </c>
      <c r="B8" t="s">
        <v>122</v>
      </c>
      <c r="C8" t="s">
        <v>123</v>
      </c>
      <c r="D8" t="s">
        <v>124</v>
      </c>
      <c r="E8">
        <v>92</v>
      </c>
      <c r="F8" t="str">
        <f>IF(_xlfn.XLOOKUP(C8,'75'!$C$2:$C$509,'75'!$D$2:$D$509)=D8,'75'!F8)</f>
        <v>no</v>
      </c>
    </row>
    <row r="9" spans="1:10" x14ac:dyDescent="0.45">
      <c r="A9" t="s">
        <v>1519</v>
      </c>
      <c r="B9" t="s">
        <v>150</v>
      </c>
      <c r="C9" t="s">
        <v>151</v>
      </c>
      <c r="D9" t="s">
        <v>152</v>
      </c>
      <c r="E9">
        <v>94</v>
      </c>
      <c r="F9" t="str">
        <f>IF(_xlfn.XLOOKUP(C9,'75'!$C$2:$C$509,'75'!$D$2:$D$509)=D9,'75'!F9)</f>
        <v>no</v>
      </c>
    </row>
    <row r="10" spans="1:10" x14ac:dyDescent="0.45">
      <c r="A10" t="s">
        <v>153</v>
      </c>
      <c r="B10" t="s">
        <v>154</v>
      </c>
      <c r="C10" t="s">
        <v>155</v>
      </c>
      <c r="D10" t="s">
        <v>156</v>
      </c>
      <c r="E10">
        <v>92</v>
      </c>
      <c r="F10" t="str">
        <f>IF(_xlfn.XLOOKUP(C10,'75'!$C$2:$C$509,'75'!$D$2:$D$509)=D10,'75'!F10)</f>
        <v>no</v>
      </c>
    </row>
    <row r="11" spans="1:10" x14ac:dyDescent="0.45">
      <c r="A11" t="s">
        <v>159</v>
      </c>
      <c r="B11" t="s">
        <v>160</v>
      </c>
      <c r="C11" t="s">
        <v>161</v>
      </c>
      <c r="D11" t="s">
        <v>162</v>
      </c>
      <c r="E11">
        <v>98</v>
      </c>
      <c r="F11" t="str">
        <f>IF(_xlfn.XLOOKUP(C11,'75'!$C$2:$C$509,'75'!$D$2:$D$509)=D11,'75'!F11)</f>
        <v>ok</v>
      </c>
    </row>
    <row r="12" spans="1:10" x14ac:dyDescent="0.45">
      <c r="A12" t="s">
        <v>163</v>
      </c>
      <c r="B12" t="s">
        <v>164</v>
      </c>
      <c r="C12" t="s">
        <v>165</v>
      </c>
      <c r="D12" t="s">
        <v>166</v>
      </c>
      <c r="E12">
        <v>94</v>
      </c>
      <c r="F12" t="str">
        <f>IF(_xlfn.XLOOKUP(C12,'75'!$C$2:$C$509,'75'!$D$2:$D$509)=D12,'75'!F12)</f>
        <v>no</v>
      </c>
    </row>
    <row r="13" spans="1:10" x14ac:dyDescent="0.45">
      <c r="A13" t="s">
        <v>167</v>
      </c>
      <c r="B13" t="s">
        <v>168</v>
      </c>
      <c r="C13" t="s">
        <v>169</v>
      </c>
      <c r="D13" t="s">
        <v>170</v>
      </c>
      <c r="E13">
        <v>97</v>
      </c>
      <c r="F13" t="str">
        <f>IF(_xlfn.XLOOKUP(C13,'75'!$C$2:$C$509,'75'!$D$2:$D$509)=D13,'75'!F13)</f>
        <v>no</v>
      </c>
    </row>
    <row r="14" spans="1:10" x14ac:dyDescent="0.45">
      <c r="A14" t="s">
        <v>191</v>
      </c>
      <c r="B14" t="s">
        <v>192</v>
      </c>
      <c r="C14" t="s">
        <v>193</v>
      </c>
      <c r="D14" t="s">
        <v>194</v>
      </c>
      <c r="E14">
        <v>93</v>
      </c>
      <c r="F14" t="str">
        <f>IF(_xlfn.XLOOKUP(C14,'75'!$C$2:$C$509,'75'!$D$2:$D$509)=D14,'75'!F14)</f>
        <v>ok</v>
      </c>
    </row>
    <row r="15" spans="1:10" x14ac:dyDescent="0.45">
      <c r="A15" t="s">
        <v>191</v>
      </c>
      <c r="B15" t="s">
        <v>195</v>
      </c>
      <c r="C15" t="s">
        <v>193</v>
      </c>
      <c r="D15" t="s">
        <v>196</v>
      </c>
      <c r="E15">
        <v>97</v>
      </c>
      <c r="F15" t="s">
        <v>1512</v>
      </c>
    </row>
    <row r="16" spans="1:10" x14ac:dyDescent="0.45">
      <c r="A16" t="s">
        <v>213</v>
      </c>
      <c r="B16" t="s">
        <v>214</v>
      </c>
      <c r="C16" t="s">
        <v>215</v>
      </c>
      <c r="D16" t="s">
        <v>216</v>
      </c>
      <c r="E16">
        <v>92</v>
      </c>
      <c r="F16" t="str">
        <f>IF(_xlfn.XLOOKUP(C16,'75'!$C$2:$C$509,'75'!$D$2:$D$509)=D16,'75'!F16)</f>
        <v>no</v>
      </c>
    </row>
    <row r="17" spans="1:6" x14ac:dyDescent="0.45">
      <c r="A17" t="s">
        <v>231</v>
      </c>
      <c r="B17" t="s">
        <v>235</v>
      </c>
      <c r="C17" t="s">
        <v>233</v>
      </c>
      <c r="D17" t="s">
        <v>236</v>
      </c>
      <c r="E17">
        <v>93</v>
      </c>
      <c r="F17" t="s">
        <v>1512</v>
      </c>
    </row>
    <row r="18" spans="1:6" x14ac:dyDescent="0.45">
      <c r="A18" t="s">
        <v>237</v>
      </c>
      <c r="B18" t="s">
        <v>238</v>
      </c>
      <c r="C18" t="s">
        <v>239</v>
      </c>
      <c r="D18" t="s">
        <v>240</v>
      </c>
      <c r="E18">
        <v>91</v>
      </c>
      <c r="F18" t="str">
        <f>IF(_xlfn.XLOOKUP(C18,'75'!$C$2:$C$509,'75'!$D$2:$D$509)=D18,'75'!F18)</f>
        <v>no</v>
      </c>
    </row>
    <row r="19" spans="1:6" x14ac:dyDescent="0.45">
      <c r="A19" t="s">
        <v>259</v>
      </c>
      <c r="B19" t="s">
        <v>263</v>
      </c>
      <c r="C19" t="s">
        <v>261</v>
      </c>
      <c r="D19" t="s">
        <v>264</v>
      </c>
      <c r="E19">
        <v>96</v>
      </c>
      <c r="F19" t="s">
        <v>1513</v>
      </c>
    </row>
    <row r="20" spans="1:6" x14ac:dyDescent="0.45">
      <c r="A20" t="s">
        <v>279</v>
      </c>
      <c r="B20" t="s">
        <v>189</v>
      </c>
      <c r="C20" t="s">
        <v>280</v>
      </c>
      <c r="D20" t="s">
        <v>190</v>
      </c>
      <c r="E20">
        <v>95</v>
      </c>
      <c r="F20" t="str">
        <f>IF(_xlfn.XLOOKUP(C20,'75'!$C$2:$C$509,'75'!$D$2:$D$509)=D20,'75'!F20)</f>
        <v>no</v>
      </c>
    </row>
    <row r="21" spans="1:6" x14ac:dyDescent="0.45">
      <c r="A21" t="s">
        <v>281</v>
      </c>
      <c r="B21" t="s">
        <v>282</v>
      </c>
      <c r="C21" t="s">
        <v>283</v>
      </c>
      <c r="D21" t="s">
        <v>284</v>
      </c>
      <c r="E21">
        <v>95</v>
      </c>
      <c r="F21" t="str">
        <f>IF(_xlfn.XLOOKUP(C21,'75'!$C$2:$C$509,'75'!$D$2:$D$509)=D21,'75'!F21)</f>
        <v>no</v>
      </c>
    </row>
    <row r="22" spans="1:6" x14ac:dyDescent="0.45">
      <c r="A22" t="s">
        <v>291</v>
      </c>
      <c r="B22" t="s">
        <v>292</v>
      </c>
      <c r="C22" t="s">
        <v>293</v>
      </c>
      <c r="D22" t="s">
        <v>294</v>
      </c>
      <c r="E22">
        <v>94</v>
      </c>
      <c r="F22" t="str">
        <f>IF(_xlfn.XLOOKUP(C22,'75'!$C$2:$C$509,'75'!$D$2:$D$509)=D22,'75'!F22)</f>
        <v>no</v>
      </c>
    </row>
    <row r="23" spans="1:6" x14ac:dyDescent="0.45">
      <c r="A23" t="s">
        <v>218</v>
      </c>
      <c r="B23" t="s">
        <v>221</v>
      </c>
      <c r="C23" t="s">
        <v>220</v>
      </c>
      <c r="D23" t="s">
        <v>222</v>
      </c>
      <c r="E23">
        <v>92</v>
      </c>
      <c r="F23" t="str">
        <f>IF(_xlfn.XLOOKUP(C23,'75'!$C$2:$C$509,'75'!$D$2:$D$509)=D23,'75'!F23)</f>
        <v>ok</v>
      </c>
    </row>
    <row r="24" spans="1:6" x14ac:dyDescent="0.45">
      <c r="A24" t="s">
        <v>192</v>
      </c>
      <c r="B24" t="s">
        <v>195</v>
      </c>
      <c r="C24" t="s">
        <v>194</v>
      </c>
      <c r="D24" t="s">
        <v>196</v>
      </c>
      <c r="E24">
        <v>97</v>
      </c>
      <c r="F24" t="str">
        <f>IF(_xlfn.XLOOKUP(C24,'75'!$C$2:$C$509,'75'!$D$2:$D$509)=D24,'75'!F24)</f>
        <v>no</v>
      </c>
    </row>
    <row r="25" spans="1:6" x14ac:dyDescent="0.45">
      <c r="A25" t="s">
        <v>319</v>
      </c>
      <c r="B25" t="s">
        <v>320</v>
      </c>
      <c r="C25" t="s">
        <v>321</v>
      </c>
      <c r="D25" t="s">
        <v>322</v>
      </c>
      <c r="E25">
        <v>92</v>
      </c>
      <c r="F25" t="str">
        <f>IF(_xlfn.XLOOKUP(C25,'75'!$C$2:$C$509,'75'!$D$2:$D$509)=D25,'75'!F25)</f>
        <v>no</v>
      </c>
    </row>
    <row r="26" spans="1:6" x14ac:dyDescent="0.45">
      <c r="A26" t="s">
        <v>339</v>
      </c>
      <c r="B26" t="s">
        <v>343</v>
      </c>
      <c r="C26" t="s">
        <v>341</v>
      </c>
      <c r="D26" t="s">
        <v>344</v>
      </c>
      <c r="E26">
        <v>93</v>
      </c>
      <c r="F26" t="s">
        <v>1512</v>
      </c>
    </row>
    <row r="27" spans="1:6" x14ac:dyDescent="0.45">
      <c r="A27" t="s">
        <v>349</v>
      </c>
      <c r="B27" t="s">
        <v>350</v>
      </c>
      <c r="C27" t="s">
        <v>351</v>
      </c>
      <c r="D27" t="s">
        <v>352</v>
      </c>
      <c r="E27">
        <v>90</v>
      </c>
      <c r="F27" t="str">
        <f>IF(_xlfn.XLOOKUP(C27,'75'!$C$2:$C$509,'75'!$D$2:$D$509)=D27,'75'!F27)</f>
        <v>ok</v>
      </c>
    </row>
    <row r="28" spans="1:6" x14ac:dyDescent="0.45">
      <c r="A28" t="s">
        <v>369</v>
      </c>
      <c r="B28" t="s">
        <v>370</v>
      </c>
      <c r="C28" t="s">
        <v>371</v>
      </c>
      <c r="D28" t="s">
        <v>372</v>
      </c>
      <c r="E28">
        <v>90</v>
      </c>
      <c r="F28" t="str">
        <f>IF(_xlfn.XLOOKUP(C28,'75'!$C$2:$C$509,'75'!$D$2:$D$509)=D28,'75'!F28)</f>
        <v>ok</v>
      </c>
    </row>
    <row r="29" spans="1:6" x14ac:dyDescent="0.45">
      <c r="A29" t="s">
        <v>377</v>
      </c>
      <c r="B29" t="s">
        <v>378</v>
      </c>
      <c r="C29" t="s">
        <v>379</v>
      </c>
      <c r="D29" t="s">
        <v>380</v>
      </c>
      <c r="E29">
        <v>93</v>
      </c>
      <c r="F29" t="str">
        <f>IF(_xlfn.XLOOKUP(C29,'75'!$C$2:$C$509,'75'!$D$2:$D$509)=D29,'75'!F29)</f>
        <v>no</v>
      </c>
    </row>
    <row r="30" spans="1:6" x14ac:dyDescent="0.45">
      <c r="A30" t="s">
        <v>381</v>
      </c>
      <c r="B30" t="s">
        <v>382</v>
      </c>
      <c r="C30" t="s">
        <v>383</v>
      </c>
      <c r="D30" t="s">
        <v>384</v>
      </c>
      <c r="E30">
        <v>96</v>
      </c>
      <c r="F30" t="str">
        <f>IF(_xlfn.XLOOKUP(C30,'75'!$C$2:$C$509,'75'!$D$2:$D$509)=D30,'75'!F30)</f>
        <v>ok</v>
      </c>
    </row>
    <row r="31" spans="1:6" x14ac:dyDescent="0.45">
      <c r="A31" t="s">
        <v>389</v>
      </c>
      <c r="B31" t="s">
        <v>390</v>
      </c>
      <c r="C31" t="s">
        <v>391</v>
      </c>
      <c r="D31" t="s">
        <v>392</v>
      </c>
      <c r="E31">
        <v>91</v>
      </c>
      <c r="F31" t="str">
        <f>IF(_xlfn.XLOOKUP(C31,'75'!$C$2:$C$509,'75'!$D$2:$D$509)=D31,'75'!F31)</f>
        <v>ok</v>
      </c>
    </row>
    <row r="32" spans="1:6" x14ac:dyDescent="0.45">
      <c r="A32" t="s">
        <v>393</v>
      </c>
      <c r="B32" t="s">
        <v>394</v>
      </c>
      <c r="C32" t="s">
        <v>395</v>
      </c>
      <c r="D32" t="s">
        <v>396</v>
      </c>
      <c r="E32">
        <v>91</v>
      </c>
      <c r="F32" t="str">
        <f>IF(_xlfn.XLOOKUP(C32,'75'!$C$2:$C$509,'75'!$D$2:$D$509)=D32,'75'!F32)</f>
        <v>no</v>
      </c>
    </row>
    <row r="33" spans="1:6" x14ac:dyDescent="0.45">
      <c r="A33" t="s">
        <v>401</v>
      </c>
      <c r="B33" t="s">
        <v>402</v>
      </c>
      <c r="C33" t="s">
        <v>403</v>
      </c>
      <c r="D33" t="s">
        <v>404</v>
      </c>
      <c r="E33">
        <v>92</v>
      </c>
      <c r="F33" t="str">
        <f>IF(_xlfn.XLOOKUP(C33,'75'!$C$2:$C$509,'75'!$D$2:$D$509)=D33,'75'!F33)</f>
        <v>no</v>
      </c>
    </row>
    <row r="34" spans="1:6" x14ac:dyDescent="0.45">
      <c r="A34" t="s">
        <v>411</v>
      </c>
      <c r="B34" t="s">
        <v>412</v>
      </c>
      <c r="C34" t="s">
        <v>413</v>
      </c>
      <c r="D34" t="s">
        <v>414</v>
      </c>
      <c r="E34">
        <v>90</v>
      </c>
      <c r="F34" t="str">
        <f>IF(_xlfn.XLOOKUP(C34,'75'!$C$2:$C$509,'75'!$D$2:$D$509)=D34,'75'!F34)</f>
        <v>no</v>
      </c>
    </row>
    <row r="35" spans="1:6" x14ac:dyDescent="0.45">
      <c r="A35" t="s">
        <v>453</v>
      </c>
      <c r="B35" t="s">
        <v>454</v>
      </c>
      <c r="C35" t="s">
        <v>455</v>
      </c>
      <c r="D35" t="s">
        <v>456</v>
      </c>
      <c r="E35">
        <v>92</v>
      </c>
      <c r="F35" t="str">
        <f>IF(_xlfn.XLOOKUP(C35,'75'!$C$2:$C$509,'75'!$D$2:$D$509)=D35,'75'!F35)</f>
        <v>ok</v>
      </c>
    </row>
    <row r="36" spans="1:6" x14ac:dyDescent="0.45">
      <c r="A36" t="s">
        <v>459</v>
      </c>
      <c r="B36" t="s">
        <v>460</v>
      </c>
      <c r="C36" t="s">
        <v>461</v>
      </c>
      <c r="D36" t="s">
        <v>462</v>
      </c>
      <c r="E36">
        <v>96</v>
      </c>
      <c r="F36" t="str">
        <f>IF(_xlfn.XLOOKUP(C36,'75'!$C$2:$C$509,'75'!$D$2:$D$509)=D36,'75'!F36)</f>
        <v>ok</v>
      </c>
    </row>
    <row r="37" spans="1:6" x14ac:dyDescent="0.45">
      <c r="A37" t="s">
        <v>467</v>
      </c>
      <c r="B37" t="s">
        <v>468</v>
      </c>
      <c r="C37" t="s">
        <v>469</v>
      </c>
      <c r="D37" t="s">
        <v>470</v>
      </c>
      <c r="E37">
        <v>97</v>
      </c>
      <c r="F37" t="str">
        <f>IF(_xlfn.XLOOKUP(C37,'75'!$C$2:$C$509,'75'!$D$2:$D$509)=D37,'75'!F37)</f>
        <v>no</v>
      </c>
    </row>
    <row r="38" spans="1:6" x14ac:dyDescent="0.45">
      <c r="A38" t="s">
        <v>471</v>
      </c>
      <c r="B38" t="s">
        <v>472</v>
      </c>
      <c r="C38" t="s">
        <v>473</v>
      </c>
      <c r="D38" t="s">
        <v>474</v>
      </c>
      <c r="E38">
        <v>97</v>
      </c>
      <c r="F38" t="str">
        <f>IF(_xlfn.XLOOKUP(C38,'75'!$C$2:$C$509,'75'!$D$2:$D$509)=D38,'75'!F38)</f>
        <v>no</v>
      </c>
    </row>
    <row r="39" spans="1:6" x14ac:dyDescent="0.45">
      <c r="A39" t="s">
        <v>497</v>
      </c>
      <c r="B39" t="s">
        <v>498</v>
      </c>
      <c r="C39" t="s">
        <v>499</v>
      </c>
      <c r="D39" t="s">
        <v>500</v>
      </c>
      <c r="E39">
        <v>92</v>
      </c>
      <c r="F39" t="str">
        <f>IF(_xlfn.XLOOKUP(C39,'75'!$C$2:$C$509,'75'!$D$2:$D$509)=D39,'75'!F39)</f>
        <v>ok</v>
      </c>
    </row>
    <row r="40" spans="1:6" x14ac:dyDescent="0.45">
      <c r="A40" t="s">
        <v>501</v>
      </c>
      <c r="B40" t="s">
        <v>502</v>
      </c>
      <c r="C40" t="s">
        <v>503</v>
      </c>
      <c r="D40" t="s">
        <v>504</v>
      </c>
      <c r="E40">
        <v>95</v>
      </c>
      <c r="F40" t="str">
        <f>IF(_xlfn.XLOOKUP(C40,'75'!$C$2:$C$509,'75'!$D$2:$D$509)=D40,'75'!F40)</f>
        <v>ok</v>
      </c>
    </row>
    <row r="41" spans="1:6" x14ac:dyDescent="0.45">
      <c r="A41" t="s">
        <v>513</v>
      </c>
      <c r="B41" t="s">
        <v>514</v>
      </c>
      <c r="C41" t="s">
        <v>515</v>
      </c>
      <c r="D41" t="s">
        <v>516</v>
      </c>
      <c r="E41">
        <v>90</v>
      </c>
      <c r="F41" t="str">
        <f>IF(_xlfn.XLOOKUP(C41,'75'!$C$2:$C$509,'75'!$D$2:$D$509)=D41,'75'!F41)</f>
        <v>no</v>
      </c>
    </row>
    <row r="42" spans="1:6" x14ac:dyDescent="0.45">
      <c r="A42" t="s">
        <v>534</v>
      </c>
      <c r="B42" t="s">
        <v>537</v>
      </c>
      <c r="C42" t="s">
        <v>536</v>
      </c>
      <c r="D42" t="s">
        <v>538</v>
      </c>
      <c r="E42">
        <v>94</v>
      </c>
      <c r="F42" t="str">
        <f>IF(_xlfn.XLOOKUP(C42,'75'!$C$2:$C$509,'75'!$D$2:$D$509)=D42,'75'!F42)</f>
        <v>no</v>
      </c>
    </row>
    <row r="43" spans="1:6" x14ac:dyDescent="0.45">
      <c r="A43" t="s">
        <v>571</v>
      </c>
      <c r="B43" t="s">
        <v>572</v>
      </c>
      <c r="C43" t="s">
        <v>573</v>
      </c>
      <c r="D43" t="s">
        <v>574</v>
      </c>
      <c r="E43">
        <v>96</v>
      </c>
      <c r="F43" t="str">
        <f>IF(_xlfn.XLOOKUP(C43,'75'!$C$2:$C$509,'75'!$D$2:$D$509)=D43,'75'!F43)</f>
        <v>ok</v>
      </c>
    </row>
    <row r="44" spans="1:6" x14ac:dyDescent="0.45">
      <c r="A44" t="s">
        <v>580</v>
      </c>
      <c r="B44" t="s">
        <v>583</v>
      </c>
      <c r="C44" t="s">
        <v>582</v>
      </c>
      <c r="D44" t="s">
        <v>584</v>
      </c>
      <c r="E44">
        <v>94</v>
      </c>
      <c r="F44" t="str">
        <f>IF(_xlfn.XLOOKUP(C44,'75'!$C$2:$C$509,'75'!$D$2:$D$509)=D44,'75'!F44)</f>
        <v>ok</v>
      </c>
    </row>
    <row r="45" spans="1:6" x14ac:dyDescent="0.45">
      <c r="A45" t="s">
        <v>599</v>
      </c>
      <c r="B45" t="s">
        <v>600</v>
      </c>
      <c r="C45" t="s">
        <v>601</v>
      </c>
      <c r="D45" t="s">
        <v>602</v>
      </c>
      <c r="E45">
        <v>96</v>
      </c>
      <c r="F45" t="str">
        <f>IF(_xlfn.XLOOKUP(C45,'75'!$C$2:$C$509,'75'!$D$2:$D$509)=D45,'75'!F45)</f>
        <v>no</v>
      </c>
    </row>
    <row r="46" spans="1:6" x14ac:dyDescent="0.45">
      <c r="A46" t="s">
        <v>627</v>
      </c>
      <c r="B46" t="s">
        <v>628</v>
      </c>
      <c r="C46" t="s">
        <v>629</v>
      </c>
      <c r="D46" t="s">
        <v>630</v>
      </c>
      <c r="E46">
        <v>92</v>
      </c>
      <c r="F46" t="str">
        <f>IF(_xlfn.XLOOKUP(C46,'75'!$C$2:$C$509,'75'!$D$2:$D$509)=D46,'75'!F46)</f>
        <v>ok</v>
      </c>
    </row>
    <row r="47" spans="1:6" x14ac:dyDescent="0.45">
      <c r="A47" t="s">
        <v>635</v>
      </c>
      <c r="B47" t="s">
        <v>636</v>
      </c>
      <c r="C47" t="s">
        <v>637</v>
      </c>
      <c r="D47" t="s">
        <v>638</v>
      </c>
      <c r="E47">
        <v>94</v>
      </c>
      <c r="F47" t="str">
        <f>IF(_xlfn.XLOOKUP(C47,'75'!$C$2:$C$509,'75'!$D$2:$D$509)=D47,'75'!F47)</f>
        <v>ok</v>
      </c>
    </row>
    <row r="48" spans="1:6" x14ac:dyDescent="0.45">
      <c r="A48" t="s">
        <v>641</v>
      </c>
      <c r="B48" t="s">
        <v>642</v>
      </c>
      <c r="C48" t="s">
        <v>643</v>
      </c>
      <c r="D48" t="s">
        <v>644</v>
      </c>
      <c r="E48">
        <v>94</v>
      </c>
      <c r="F48" t="str">
        <f>IF(_xlfn.XLOOKUP(C48,'75'!$C$2:$C$509,'75'!$D$2:$D$509)=D48,'75'!F48)</f>
        <v>ok</v>
      </c>
    </row>
    <row r="49" spans="1:6" x14ac:dyDescent="0.45">
      <c r="A49" t="s">
        <v>645</v>
      </c>
      <c r="B49" t="s">
        <v>646</v>
      </c>
      <c r="C49" t="s">
        <v>647</v>
      </c>
      <c r="D49" t="s">
        <v>648</v>
      </c>
      <c r="E49">
        <v>91</v>
      </c>
      <c r="F49" t="str">
        <f>IF(_xlfn.XLOOKUP(C49,'75'!$C$2:$C$509,'75'!$D$2:$D$509)=D49,'75'!F49)</f>
        <v>ok</v>
      </c>
    </row>
    <row r="50" spans="1:6" x14ac:dyDescent="0.45">
      <c r="A50" t="s">
        <v>649</v>
      </c>
      <c r="B50" t="s">
        <v>650</v>
      </c>
      <c r="C50" t="s">
        <v>651</v>
      </c>
      <c r="D50" t="s">
        <v>652</v>
      </c>
      <c r="E50">
        <v>98</v>
      </c>
      <c r="F50" t="str">
        <f>IF(_xlfn.XLOOKUP(C50,'75'!$C$2:$C$509,'75'!$D$2:$D$509)=D50,'75'!F50)</f>
        <v>no</v>
      </c>
    </row>
    <row r="51" spans="1:6" x14ac:dyDescent="0.45">
      <c r="A51" t="s">
        <v>677</v>
      </c>
      <c r="B51" t="s">
        <v>678</v>
      </c>
      <c r="C51" t="s">
        <v>679</v>
      </c>
      <c r="D51" t="s">
        <v>680</v>
      </c>
      <c r="E51">
        <v>95</v>
      </c>
      <c r="F51" t="str">
        <f>IF(_xlfn.XLOOKUP(C51,'75'!$C$2:$C$509,'75'!$D$2:$D$509)=D51,'75'!F51)</f>
        <v>no</v>
      </c>
    </row>
    <row r="52" spans="1:6" x14ac:dyDescent="0.45">
      <c r="A52" t="s">
        <v>685</v>
      </c>
      <c r="B52" t="s">
        <v>686</v>
      </c>
      <c r="C52" t="s">
        <v>687</v>
      </c>
      <c r="D52" t="s">
        <v>688</v>
      </c>
      <c r="E52">
        <v>91</v>
      </c>
      <c r="F52" t="str">
        <f>IF(_xlfn.XLOOKUP(C52,'75'!$C$2:$C$509,'75'!$D$2:$D$509)=D52,'75'!F52)</f>
        <v>no</v>
      </c>
    </row>
    <row r="53" spans="1:6" x14ac:dyDescent="0.45">
      <c r="A53" t="s">
        <v>693</v>
      </c>
      <c r="B53" t="s">
        <v>694</v>
      </c>
      <c r="C53" t="s">
        <v>695</v>
      </c>
      <c r="D53" t="s">
        <v>696</v>
      </c>
      <c r="E53">
        <v>95</v>
      </c>
      <c r="F53" t="str">
        <f>IF(_xlfn.XLOOKUP(C53,'75'!$C$2:$C$509,'75'!$D$2:$D$509)=D53,'75'!F53)</f>
        <v>no</v>
      </c>
    </row>
    <row r="54" spans="1:6" x14ac:dyDescent="0.45">
      <c r="A54" t="s">
        <v>697</v>
      </c>
      <c r="B54" t="s">
        <v>698</v>
      </c>
      <c r="C54" t="s">
        <v>699</v>
      </c>
      <c r="D54" t="s">
        <v>700</v>
      </c>
      <c r="E54">
        <v>90</v>
      </c>
      <c r="F54" t="str">
        <f>IF(_xlfn.XLOOKUP(C54,'75'!$C$2:$C$509,'75'!$D$2:$D$509)=D54,'75'!F54)</f>
        <v>no</v>
      </c>
    </row>
    <row r="55" spans="1:6" x14ac:dyDescent="0.45">
      <c r="A55" t="s">
        <v>709</v>
      </c>
      <c r="B55" t="s">
        <v>710</v>
      </c>
      <c r="C55" t="s">
        <v>711</v>
      </c>
      <c r="D55" t="s">
        <v>712</v>
      </c>
      <c r="E55">
        <v>92</v>
      </c>
      <c r="F55" t="str">
        <f>IF(_xlfn.XLOOKUP(C55,'75'!$C$2:$C$509,'75'!$D$2:$D$509)=D55,'75'!F55)</f>
        <v>ok</v>
      </c>
    </row>
    <row r="56" spans="1:6" x14ac:dyDescent="0.45">
      <c r="A56" t="s">
        <v>731</v>
      </c>
      <c r="B56" t="s">
        <v>735</v>
      </c>
      <c r="C56" t="s">
        <v>733</v>
      </c>
      <c r="D56" t="s">
        <v>736</v>
      </c>
      <c r="E56">
        <v>94</v>
      </c>
      <c r="F56" t="s">
        <v>1512</v>
      </c>
    </row>
    <row r="57" spans="1:6" x14ac:dyDescent="0.45">
      <c r="A57" t="s">
        <v>737</v>
      </c>
      <c r="B57" t="s">
        <v>741</v>
      </c>
      <c r="C57" t="s">
        <v>739</v>
      </c>
      <c r="D57" t="s">
        <v>742</v>
      </c>
      <c r="E57">
        <v>90</v>
      </c>
      <c r="F57" t="s">
        <v>1513</v>
      </c>
    </row>
    <row r="58" spans="1:6" x14ac:dyDescent="0.45">
      <c r="A58" t="s">
        <v>787</v>
      </c>
      <c r="B58" t="s">
        <v>788</v>
      </c>
      <c r="C58" t="s">
        <v>789</v>
      </c>
      <c r="D58" t="s">
        <v>790</v>
      </c>
      <c r="E58">
        <v>94</v>
      </c>
      <c r="F58" t="str">
        <f>IF(_xlfn.XLOOKUP(C58,'75'!$C$2:$C$509,'75'!$D$2:$D$509)=D58,'75'!F58)</f>
        <v>no</v>
      </c>
    </row>
    <row r="59" spans="1:6" x14ac:dyDescent="0.45">
      <c r="A59" t="s">
        <v>795</v>
      </c>
      <c r="B59" t="s">
        <v>796</v>
      </c>
      <c r="C59" t="s">
        <v>797</v>
      </c>
      <c r="D59" t="s">
        <v>798</v>
      </c>
      <c r="E59">
        <v>97</v>
      </c>
      <c r="F59" t="str">
        <f>IF(_xlfn.XLOOKUP(C59,'75'!$C$2:$C$509,'75'!$D$2:$D$509)=D59,'75'!F59)</f>
        <v>no</v>
      </c>
    </row>
    <row r="60" spans="1:6" x14ac:dyDescent="0.45">
      <c r="A60" t="s">
        <v>847</v>
      </c>
      <c r="B60" t="s">
        <v>848</v>
      </c>
      <c r="C60" t="s">
        <v>849</v>
      </c>
      <c r="D60" t="s">
        <v>850</v>
      </c>
      <c r="E60">
        <v>90</v>
      </c>
      <c r="F60" t="str">
        <f>IF(_xlfn.XLOOKUP(C60,'75'!$C$2:$C$509,'75'!$D$2:$D$509)=D60,'75'!F60)</f>
        <v>no</v>
      </c>
    </row>
    <row r="61" spans="1:6" x14ac:dyDescent="0.45">
      <c r="A61" t="s">
        <v>915</v>
      </c>
      <c r="B61" t="s">
        <v>916</v>
      </c>
      <c r="C61" t="s">
        <v>917</v>
      </c>
      <c r="D61" t="s">
        <v>918</v>
      </c>
      <c r="E61">
        <v>92</v>
      </c>
      <c r="F61" t="str">
        <f>IF(_xlfn.XLOOKUP(C61,'75'!$C$2:$C$509,'75'!$D$2:$D$509)=D61,'75'!F61)</f>
        <v>ok</v>
      </c>
    </row>
    <row r="62" spans="1:6" x14ac:dyDescent="0.45">
      <c r="A62" t="s">
        <v>919</v>
      </c>
      <c r="B62" t="s">
        <v>920</v>
      </c>
      <c r="C62" t="s">
        <v>921</v>
      </c>
      <c r="D62" t="s">
        <v>922</v>
      </c>
      <c r="E62">
        <v>97</v>
      </c>
      <c r="F62" t="str">
        <f>IF(_xlfn.XLOOKUP(C62,'75'!$C$2:$C$509,'75'!$D$2:$D$509)=D62,'75'!F62)</f>
        <v>no</v>
      </c>
    </row>
    <row r="63" spans="1:6" x14ac:dyDescent="0.45">
      <c r="A63" t="s">
        <v>923</v>
      </c>
      <c r="B63" t="s">
        <v>924</v>
      </c>
      <c r="C63" t="s">
        <v>925</v>
      </c>
      <c r="D63" t="s">
        <v>926</v>
      </c>
      <c r="E63">
        <v>93</v>
      </c>
      <c r="F63" t="str">
        <f>IF(_xlfn.XLOOKUP(C63,'75'!$C$2:$C$509,'75'!$D$2:$D$509)=D63,'75'!F63)</f>
        <v>no</v>
      </c>
    </row>
    <row r="64" spans="1:6" x14ac:dyDescent="0.45">
      <c r="A64" t="s">
        <v>949</v>
      </c>
      <c r="B64" t="s">
        <v>950</v>
      </c>
      <c r="C64" t="s">
        <v>951</v>
      </c>
      <c r="D64" t="s">
        <v>952</v>
      </c>
      <c r="E64">
        <v>94</v>
      </c>
      <c r="F64" t="str">
        <f>IF(_xlfn.XLOOKUP(C64,'75'!$C$2:$C$509,'75'!$D$2:$D$509)=D64,'75'!F64)</f>
        <v>no</v>
      </c>
    </row>
    <row r="65" spans="1:6" x14ac:dyDescent="0.45">
      <c r="A65" t="s">
        <v>949</v>
      </c>
      <c r="B65" t="s">
        <v>953</v>
      </c>
      <c r="C65" t="s">
        <v>951</v>
      </c>
      <c r="D65" t="s">
        <v>954</v>
      </c>
      <c r="E65">
        <v>91</v>
      </c>
      <c r="F65" t="s">
        <v>1512</v>
      </c>
    </row>
    <row r="66" spans="1:6" x14ac:dyDescent="0.45">
      <c r="A66" t="s">
        <v>950</v>
      </c>
      <c r="B66" t="s">
        <v>953</v>
      </c>
      <c r="C66" t="s">
        <v>952</v>
      </c>
      <c r="D66" t="s">
        <v>954</v>
      </c>
      <c r="E66">
        <v>91</v>
      </c>
      <c r="F66" t="str">
        <f>IF(_xlfn.XLOOKUP(C66,'75'!$C$2:$C$509,'75'!$D$2:$D$509)=D66,'75'!F66)</f>
        <v>no</v>
      </c>
    </row>
    <row r="67" spans="1:6" x14ac:dyDescent="0.45">
      <c r="A67" t="s">
        <v>959</v>
      </c>
      <c r="B67" t="s">
        <v>963</v>
      </c>
      <c r="C67" t="s">
        <v>961</v>
      </c>
      <c r="D67" t="s">
        <v>964</v>
      </c>
      <c r="E67">
        <v>91</v>
      </c>
      <c r="F67" t="s">
        <v>1512</v>
      </c>
    </row>
    <row r="68" spans="1:6" x14ac:dyDescent="0.45">
      <c r="A68" t="s">
        <v>965</v>
      </c>
      <c r="B68" t="s">
        <v>966</v>
      </c>
      <c r="C68" t="s">
        <v>967</v>
      </c>
      <c r="D68" t="s">
        <v>968</v>
      </c>
      <c r="E68">
        <v>95</v>
      </c>
      <c r="F68" t="str">
        <f>IF(_xlfn.XLOOKUP(C68,'75'!$C$2:$C$509,'75'!$D$2:$D$509)=D68,'75'!F68)</f>
        <v>ok</v>
      </c>
    </row>
    <row r="69" spans="1:6" x14ac:dyDescent="0.45">
      <c r="A69" t="s">
        <v>973</v>
      </c>
      <c r="B69" t="s">
        <v>974</v>
      </c>
      <c r="C69" t="s">
        <v>975</v>
      </c>
      <c r="D69" t="s">
        <v>976</v>
      </c>
      <c r="E69">
        <v>95</v>
      </c>
      <c r="F69" t="str">
        <f>IF(_xlfn.XLOOKUP(C69,'75'!$C$2:$C$509,'75'!$D$2:$D$509)=D69,'75'!F69)</f>
        <v>ok</v>
      </c>
    </row>
    <row r="70" spans="1:6" x14ac:dyDescent="0.45">
      <c r="A70" t="s">
        <v>981</v>
      </c>
      <c r="B70" t="s">
        <v>982</v>
      </c>
      <c r="C70" t="s">
        <v>983</v>
      </c>
      <c r="D70" t="s">
        <v>984</v>
      </c>
      <c r="E70">
        <v>92</v>
      </c>
      <c r="F70" t="str">
        <f>IF(_xlfn.XLOOKUP(C70,'75'!$C$2:$C$509,'75'!$D$2:$D$509)=D70,'75'!F70)</f>
        <v>no</v>
      </c>
    </row>
    <row r="71" spans="1:6" x14ac:dyDescent="0.45">
      <c r="A71" t="s">
        <v>981</v>
      </c>
      <c r="B71" t="s">
        <v>985</v>
      </c>
      <c r="C71" t="s">
        <v>983</v>
      </c>
      <c r="D71" t="s">
        <v>986</v>
      </c>
      <c r="E71">
        <v>92</v>
      </c>
      <c r="F71" t="s">
        <v>1513</v>
      </c>
    </row>
    <row r="72" spans="1:6" x14ac:dyDescent="0.45">
      <c r="A72" t="s">
        <v>982</v>
      </c>
      <c r="B72" t="s">
        <v>987</v>
      </c>
      <c r="C72" t="s">
        <v>984</v>
      </c>
      <c r="D72" t="s">
        <v>988</v>
      </c>
      <c r="E72">
        <v>91</v>
      </c>
      <c r="F72" t="s">
        <v>1513</v>
      </c>
    </row>
    <row r="73" spans="1:6" x14ac:dyDescent="0.45">
      <c r="A73" t="s">
        <v>1007</v>
      </c>
      <c r="B73" t="s">
        <v>1008</v>
      </c>
      <c r="C73" t="s">
        <v>1009</v>
      </c>
      <c r="D73" t="s">
        <v>1010</v>
      </c>
      <c r="E73">
        <v>92</v>
      </c>
      <c r="F73" t="str">
        <f>IF(_xlfn.XLOOKUP(C73,'75'!$C$2:$C$509,'75'!$D$2:$D$509)=D73,'75'!F73)</f>
        <v>no</v>
      </c>
    </row>
    <row r="74" spans="1:6" x14ac:dyDescent="0.45">
      <c r="A74" t="s">
        <v>985</v>
      </c>
      <c r="B74" t="s">
        <v>987</v>
      </c>
      <c r="C74" t="s">
        <v>986</v>
      </c>
      <c r="D74" t="s">
        <v>988</v>
      </c>
      <c r="E74">
        <v>92</v>
      </c>
      <c r="F74" t="str">
        <f>IF(_xlfn.XLOOKUP(C74,'75'!$C$2:$C$509,'75'!$D$2:$D$509)=D74,'75'!F74)</f>
        <v>ok</v>
      </c>
    </row>
    <row r="75" spans="1:6" x14ac:dyDescent="0.45">
      <c r="A75" t="s">
        <v>1021</v>
      </c>
      <c r="B75" t="s">
        <v>1022</v>
      </c>
      <c r="C75" t="s">
        <v>1023</v>
      </c>
      <c r="D75" t="s">
        <v>1024</v>
      </c>
      <c r="E75">
        <v>95</v>
      </c>
      <c r="F75" t="str">
        <f>IF(_xlfn.XLOOKUP(C75,'75'!$C$2:$C$509,'75'!$D$2:$D$509)=D75,'75'!F75)</f>
        <v>ok</v>
      </c>
    </row>
    <row r="76" spans="1:6" x14ac:dyDescent="0.45">
      <c r="A76" t="s">
        <v>1027</v>
      </c>
      <c r="B76" t="s">
        <v>1028</v>
      </c>
      <c r="C76" t="s">
        <v>1029</v>
      </c>
      <c r="D76" t="s">
        <v>1030</v>
      </c>
      <c r="E76">
        <v>94</v>
      </c>
      <c r="F76" t="str">
        <f>IF(_xlfn.XLOOKUP(C76,'75'!$C$2:$C$509,'75'!$D$2:$D$509)=D76,'75'!F76)</f>
        <v>ok</v>
      </c>
    </row>
    <row r="77" spans="1:6" x14ac:dyDescent="0.45">
      <c r="A77" t="s">
        <v>1031</v>
      </c>
      <c r="B77" t="s">
        <v>1032</v>
      </c>
      <c r="C77" t="s">
        <v>1033</v>
      </c>
      <c r="D77" t="s">
        <v>1034</v>
      </c>
      <c r="E77">
        <v>90</v>
      </c>
      <c r="F77" t="str">
        <f>IF(_xlfn.XLOOKUP(C77,'75'!$C$2:$C$509,'75'!$D$2:$D$509)=D77,'75'!F77)</f>
        <v>no</v>
      </c>
    </row>
    <row r="78" spans="1:6" x14ac:dyDescent="0.45">
      <c r="A78" t="s">
        <v>1035</v>
      </c>
      <c r="B78" t="s">
        <v>1039</v>
      </c>
      <c r="C78" t="s">
        <v>1037</v>
      </c>
      <c r="D78" t="s">
        <v>1040</v>
      </c>
      <c r="E78">
        <v>98</v>
      </c>
      <c r="F78" t="s">
        <v>1512</v>
      </c>
    </row>
    <row r="79" spans="1:6" x14ac:dyDescent="0.45">
      <c r="A79" t="s">
        <v>1045</v>
      </c>
      <c r="B79" t="s">
        <v>1046</v>
      </c>
      <c r="C79" t="s">
        <v>1047</v>
      </c>
      <c r="D79" t="s">
        <v>1048</v>
      </c>
      <c r="E79">
        <v>97</v>
      </c>
      <c r="F79" t="str">
        <f>IF(_xlfn.XLOOKUP(C79,'75'!$C$2:$C$509,'75'!$D$2:$D$509)=D79,'75'!F79)</f>
        <v>no</v>
      </c>
    </row>
    <row r="80" spans="1:6" x14ac:dyDescent="0.45">
      <c r="A80" t="s">
        <v>1051</v>
      </c>
      <c r="B80" t="s">
        <v>1042</v>
      </c>
      <c r="C80" t="s">
        <v>1052</v>
      </c>
      <c r="D80" t="s">
        <v>1044</v>
      </c>
      <c r="E80">
        <v>93</v>
      </c>
      <c r="F80" t="str">
        <f>IF(_xlfn.XLOOKUP(C80,'75'!$C$2:$C$509,'75'!$D$2:$D$509)=D80,'75'!F80)</f>
        <v>no</v>
      </c>
    </row>
    <row r="81" spans="1:6" x14ac:dyDescent="0.45">
      <c r="A81" t="s">
        <v>1057</v>
      </c>
      <c r="B81" t="s">
        <v>1058</v>
      </c>
      <c r="C81" t="s">
        <v>1059</v>
      </c>
      <c r="D81" t="s">
        <v>1060</v>
      </c>
      <c r="E81">
        <v>93</v>
      </c>
      <c r="F81" t="str">
        <f>IF(_xlfn.XLOOKUP(C81,'75'!$C$2:$C$509,'75'!$D$2:$D$509)=D81,'75'!F81)</f>
        <v>no</v>
      </c>
    </row>
    <row r="82" spans="1:6" x14ac:dyDescent="0.45">
      <c r="A82" t="s">
        <v>1069</v>
      </c>
      <c r="B82" t="s">
        <v>1070</v>
      </c>
      <c r="C82" t="s">
        <v>1071</v>
      </c>
      <c r="D82" t="s">
        <v>1072</v>
      </c>
      <c r="E82">
        <v>93</v>
      </c>
      <c r="F82" t="str">
        <f>IF(_xlfn.XLOOKUP(C82,'75'!$C$2:$C$509,'75'!$D$2:$D$509)=D82,'75'!F82)</f>
        <v>no</v>
      </c>
    </row>
    <row r="83" spans="1:6" x14ac:dyDescent="0.45">
      <c r="A83" t="s">
        <v>1073</v>
      </c>
      <c r="B83" t="s">
        <v>1074</v>
      </c>
      <c r="C83" t="s">
        <v>1075</v>
      </c>
      <c r="D83" t="s">
        <v>1076</v>
      </c>
      <c r="E83">
        <v>94</v>
      </c>
      <c r="F83" t="str">
        <f>IF(_xlfn.XLOOKUP(C83,'75'!$C$2:$C$509,'75'!$D$2:$D$509)=D83,'75'!F83)</f>
        <v>no</v>
      </c>
    </row>
    <row r="84" spans="1:6" x14ac:dyDescent="0.45">
      <c r="A84" t="s">
        <v>1077</v>
      </c>
      <c r="B84" t="s">
        <v>1078</v>
      </c>
      <c r="C84" t="s">
        <v>1079</v>
      </c>
      <c r="D84" t="s">
        <v>1080</v>
      </c>
      <c r="E84">
        <v>95</v>
      </c>
      <c r="F84" t="str">
        <f>IF(_xlfn.XLOOKUP(C84,'75'!$C$2:$C$509,'75'!$D$2:$D$509)=D84,'75'!F84)</f>
        <v>no</v>
      </c>
    </row>
    <row r="85" spans="1:6" x14ac:dyDescent="0.45">
      <c r="A85" t="s">
        <v>1097</v>
      </c>
      <c r="B85" t="s">
        <v>1098</v>
      </c>
      <c r="C85" t="s">
        <v>1099</v>
      </c>
      <c r="D85" t="s">
        <v>1100</v>
      </c>
      <c r="E85">
        <v>90</v>
      </c>
      <c r="F85" t="str">
        <f>IF(_xlfn.XLOOKUP(C85,'75'!$C$2:$C$509,'75'!$D$2:$D$509)=D85,'75'!F85)</f>
        <v>no</v>
      </c>
    </row>
    <row r="86" spans="1:6" x14ac:dyDescent="0.45">
      <c r="A86" t="s">
        <v>1109</v>
      </c>
      <c r="B86" t="s">
        <v>1110</v>
      </c>
      <c r="C86" t="s">
        <v>1111</v>
      </c>
      <c r="D86" t="s">
        <v>1112</v>
      </c>
      <c r="E86">
        <v>90</v>
      </c>
      <c r="F86" t="str">
        <f>IF(_xlfn.XLOOKUP(C86,'75'!$C$2:$C$509,'75'!$D$2:$D$509)=D86,'75'!F86)</f>
        <v>no</v>
      </c>
    </row>
    <row r="87" spans="1:6" x14ac:dyDescent="0.45">
      <c r="A87" t="s">
        <v>1113</v>
      </c>
      <c r="B87" t="s">
        <v>1114</v>
      </c>
      <c r="C87" t="s">
        <v>1115</v>
      </c>
      <c r="D87" t="s">
        <v>1116</v>
      </c>
      <c r="E87">
        <v>93</v>
      </c>
      <c r="F87" t="str">
        <f>IF(_xlfn.XLOOKUP(C87,'75'!$C$2:$C$509,'75'!$D$2:$D$509)=D87,'75'!F87)</f>
        <v>no</v>
      </c>
    </row>
    <row r="88" spans="1:6" x14ac:dyDescent="0.45">
      <c r="A88" t="s">
        <v>1117</v>
      </c>
      <c r="B88" t="s">
        <v>1118</v>
      </c>
      <c r="C88" t="s">
        <v>1119</v>
      </c>
      <c r="D88" t="s">
        <v>1120</v>
      </c>
      <c r="E88">
        <v>97</v>
      </c>
      <c r="F88" t="str">
        <f>IF(_xlfn.XLOOKUP(C88,'75'!$C$2:$C$509,'75'!$D$2:$D$509)=D88,'75'!F88)</f>
        <v>no</v>
      </c>
    </row>
    <row r="89" spans="1:6" x14ac:dyDescent="0.45">
      <c r="A89" t="s">
        <v>1137</v>
      </c>
      <c r="B89" t="s">
        <v>1138</v>
      </c>
      <c r="C89" t="s">
        <v>1139</v>
      </c>
      <c r="D89" t="s">
        <v>1140</v>
      </c>
      <c r="E89">
        <v>96</v>
      </c>
      <c r="F89" t="str">
        <f>IF(_xlfn.XLOOKUP(C89,'75'!$C$2:$C$509,'75'!$D$2:$D$509)=D89,'75'!F89)</f>
        <v>no</v>
      </c>
    </row>
    <row r="90" spans="1:6" x14ac:dyDescent="0.45">
      <c r="A90" t="s">
        <v>1161</v>
      </c>
      <c r="B90" t="s">
        <v>1162</v>
      </c>
      <c r="C90" t="s">
        <v>1163</v>
      </c>
      <c r="D90" t="s">
        <v>1164</v>
      </c>
      <c r="E90">
        <v>90</v>
      </c>
      <c r="F90" t="str">
        <f>IF(_xlfn.XLOOKUP(C90,'75'!$C$2:$C$509,'75'!$D$2:$D$509)=D90,'75'!F90)</f>
        <v>no</v>
      </c>
    </row>
    <row r="91" spans="1:6" x14ac:dyDescent="0.45">
      <c r="A91" t="s">
        <v>1165</v>
      </c>
      <c r="B91" t="s">
        <v>1166</v>
      </c>
      <c r="C91" t="s">
        <v>1167</v>
      </c>
      <c r="D91" t="s">
        <v>1168</v>
      </c>
      <c r="E91">
        <v>93</v>
      </c>
      <c r="F91" t="str">
        <f>IF(_xlfn.XLOOKUP(C91,'75'!$C$2:$C$509,'75'!$D$2:$D$509)=D91,'75'!F91)</f>
        <v>ok</v>
      </c>
    </row>
    <row r="92" spans="1:6" x14ac:dyDescent="0.45">
      <c r="A92" t="s">
        <v>1189</v>
      </c>
      <c r="B92" t="s">
        <v>1190</v>
      </c>
      <c r="C92" t="s">
        <v>1191</v>
      </c>
      <c r="D92" t="s">
        <v>1192</v>
      </c>
      <c r="E92">
        <v>92</v>
      </c>
      <c r="F92" t="str">
        <f>IF(_xlfn.XLOOKUP(C92,'75'!$C$2:$C$509,'75'!$D$2:$D$509)=D92,'75'!F92)</f>
        <v>no</v>
      </c>
    </row>
    <row r="93" spans="1:6" x14ac:dyDescent="0.45">
      <c r="A93" t="s">
        <v>1205</v>
      </c>
      <c r="B93" t="s">
        <v>1206</v>
      </c>
      <c r="C93" t="s">
        <v>1207</v>
      </c>
      <c r="D93" t="s">
        <v>1208</v>
      </c>
      <c r="E93">
        <v>95</v>
      </c>
      <c r="F93" t="str">
        <f>IF(_xlfn.XLOOKUP(C93,'75'!$C$2:$C$509,'75'!$D$2:$D$509)=D93,'75'!F93)</f>
        <v>ok</v>
      </c>
    </row>
    <row r="94" spans="1:6" x14ac:dyDescent="0.45">
      <c r="A94" t="s">
        <v>1223</v>
      </c>
      <c r="B94" t="s">
        <v>1224</v>
      </c>
      <c r="C94" t="s">
        <v>1225</v>
      </c>
      <c r="D94" t="s">
        <v>1226</v>
      </c>
      <c r="E94">
        <v>98</v>
      </c>
      <c r="F94" t="str">
        <f>IF(_xlfn.XLOOKUP(C94,'75'!$C$2:$C$509,'75'!$D$2:$D$509)=D94,'75'!F94)</f>
        <v>no</v>
      </c>
    </row>
    <row r="95" spans="1:6" x14ac:dyDescent="0.45">
      <c r="A95" t="s">
        <v>1231</v>
      </c>
      <c r="B95" t="s">
        <v>1228</v>
      </c>
      <c r="C95" t="s">
        <v>1232</v>
      </c>
      <c r="D95" t="s">
        <v>1230</v>
      </c>
      <c r="E95">
        <v>94</v>
      </c>
      <c r="F95" t="str">
        <f>IF(_xlfn.XLOOKUP(C95,'75'!$C$2:$C$509,'75'!$D$2:$D$509)=D95,'75'!F95)</f>
        <v>no</v>
      </c>
    </row>
    <row r="96" spans="1:6" x14ac:dyDescent="0.45">
      <c r="A96" t="s">
        <v>1233</v>
      </c>
      <c r="B96" t="s">
        <v>1186</v>
      </c>
      <c r="C96" t="s">
        <v>1234</v>
      </c>
      <c r="D96" t="s">
        <v>1188</v>
      </c>
      <c r="E96">
        <v>90</v>
      </c>
      <c r="F96" t="str">
        <f>IF(_xlfn.XLOOKUP(C96,'75'!$C$2:$C$509,'75'!$D$2:$D$509)=D96,'75'!F96)</f>
        <v>ok</v>
      </c>
    </row>
    <row r="97" spans="1:6" x14ac:dyDescent="0.45">
      <c r="A97" t="s">
        <v>1251</v>
      </c>
      <c r="B97" t="s">
        <v>1252</v>
      </c>
      <c r="C97" t="s">
        <v>1253</v>
      </c>
      <c r="D97" t="s">
        <v>1254</v>
      </c>
      <c r="E97">
        <v>94</v>
      </c>
      <c r="F97" t="str">
        <f>IF(_xlfn.XLOOKUP(C97,'75'!$C$2:$C$509,'75'!$D$2:$D$509)=D97,'75'!F97)</f>
        <v>no</v>
      </c>
    </row>
    <row r="98" spans="1:6" x14ac:dyDescent="0.45">
      <c r="A98" t="s">
        <v>1273</v>
      </c>
      <c r="B98" t="s">
        <v>1274</v>
      </c>
      <c r="C98" t="s">
        <v>1275</v>
      </c>
      <c r="D98" t="s">
        <v>1276</v>
      </c>
      <c r="E98">
        <v>91</v>
      </c>
      <c r="F98" t="str">
        <f>IF(_xlfn.XLOOKUP(C98,'75'!$C$2:$C$509,'75'!$D$2:$D$509)=D98,'75'!F98)</f>
        <v>no</v>
      </c>
    </row>
    <row r="99" spans="1:6" x14ac:dyDescent="0.45">
      <c r="A99" t="s">
        <v>1329</v>
      </c>
      <c r="B99" t="s">
        <v>1330</v>
      </c>
      <c r="C99" t="s">
        <v>1331</v>
      </c>
      <c r="D99" t="s">
        <v>1332</v>
      </c>
      <c r="E99">
        <v>92</v>
      </c>
      <c r="F99" t="str">
        <f>IF(_xlfn.XLOOKUP(C99,'75'!$C$2:$C$509,'75'!$D$2:$D$509)=D99,'75'!F99)</f>
        <v>ok</v>
      </c>
    </row>
    <row r="100" spans="1:6" x14ac:dyDescent="0.45">
      <c r="A100" t="s">
        <v>1339</v>
      </c>
      <c r="B100" t="s">
        <v>1341</v>
      </c>
      <c r="C100" t="s">
        <v>1340</v>
      </c>
      <c r="D100" t="s">
        <v>1342</v>
      </c>
      <c r="E100">
        <v>95</v>
      </c>
      <c r="F100" t="s">
        <v>1512</v>
      </c>
    </row>
    <row r="101" spans="1:6" x14ac:dyDescent="0.45">
      <c r="A101" t="s">
        <v>1409</v>
      </c>
      <c r="B101" t="s">
        <v>1410</v>
      </c>
      <c r="C101" t="s">
        <v>1411</v>
      </c>
      <c r="D101" t="s">
        <v>1412</v>
      </c>
      <c r="E101">
        <v>96</v>
      </c>
      <c r="F101" t="str">
        <f>IF(_xlfn.XLOOKUP(C101,'75'!$C$2:$C$509,'75'!$D$2:$D$509)=D101,'75'!F101)</f>
        <v>ok</v>
      </c>
    </row>
    <row r="102" spans="1:6" x14ac:dyDescent="0.45">
      <c r="A102" t="s">
        <v>1439</v>
      </c>
      <c r="B102" t="s">
        <v>1440</v>
      </c>
      <c r="C102" t="s">
        <v>1441</v>
      </c>
      <c r="D102" t="s">
        <v>1442</v>
      </c>
      <c r="E102">
        <v>91</v>
      </c>
      <c r="F102" t="str">
        <f>IF(_xlfn.XLOOKUP(C102,'75'!$C$2:$C$509,'75'!$D$2:$D$509)=D102,'75'!F102)</f>
        <v>ok</v>
      </c>
    </row>
    <row r="103" spans="1:6" x14ac:dyDescent="0.45">
      <c r="A103" t="s">
        <v>1507</v>
      </c>
      <c r="B103" t="s">
        <v>1508</v>
      </c>
      <c r="C103" t="s">
        <v>1509</v>
      </c>
      <c r="D103" t="s">
        <v>1510</v>
      </c>
      <c r="E103">
        <v>92</v>
      </c>
      <c r="F103" t="str">
        <f>IF(_xlfn.XLOOKUP(C103,'75'!$C$2:$C$509,'75'!$D$2:$D$509)=D103,'75'!F103)</f>
        <v>ok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720E-BF95-474D-A56C-D26CF93E40A6}">
  <dimension ref="A1:H7"/>
  <sheetViews>
    <sheetView zoomScale="150" zoomScaleNormal="150" workbookViewId="0">
      <selection activeCell="B6" sqref="B6"/>
    </sheetView>
  </sheetViews>
  <sheetFormatPr defaultRowHeight="14.25" x14ac:dyDescent="0.45"/>
  <cols>
    <col min="1" max="1" width="15.265625" bestFit="1" customWidth="1"/>
  </cols>
  <sheetData>
    <row r="1" spans="1:8" x14ac:dyDescent="0.45">
      <c r="B1">
        <v>75</v>
      </c>
      <c r="C1">
        <v>78</v>
      </c>
      <c r="D1">
        <v>80</v>
      </c>
      <c r="E1">
        <v>82</v>
      </c>
      <c r="F1">
        <v>85</v>
      </c>
      <c r="G1">
        <v>88</v>
      </c>
      <c r="H1">
        <v>90</v>
      </c>
    </row>
    <row r="2" spans="1:8" x14ac:dyDescent="0.45">
      <c r="A2" t="s">
        <v>1520</v>
      </c>
      <c r="B2" cm="1">
        <f t="array" ref="B2:B3">'75'!I2:I3</f>
        <v>0.37401574803149606</v>
      </c>
      <c r="C2" cm="1">
        <f t="array" ref="C2:C3">'78'!I2:I3</f>
        <v>0.40532544378698226</v>
      </c>
      <c r="D2" cm="1">
        <f t="array" ref="D2:D3">'80'!I2:I3</f>
        <v>0.38487972508591067</v>
      </c>
      <c r="E2" cm="1">
        <f t="array" ref="E2:E3">'82'!I2:I3</f>
        <v>0.40454545454545454</v>
      </c>
      <c r="F2" cm="1">
        <f t="array" ref="F2:F3">'85'!I2:I3</f>
        <v>0.44936708860759494</v>
      </c>
      <c r="G2" cm="1">
        <f t="array" ref="G2:G3">'88'!I2:I3</f>
        <v>0.41803278688524592</v>
      </c>
      <c r="H2" cm="1">
        <f t="array" ref="H2:H3">'90'!I2:I3</f>
        <v>0.40196078431372551</v>
      </c>
    </row>
    <row r="3" spans="1:8" x14ac:dyDescent="0.45">
      <c r="A3" t="s">
        <v>1521</v>
      </c>
      <c r="B3">
        <v>0.62598425196850394</v>
      </c>
      <c r="C3">
        <v>0.59467455621301779</v>
      </c>
      <c r="D3">
        <v>0.61512027491408938</v>
      </c>
      <c r="E3">
        <v>0.59545454545454546</v>
      </c>
      <c r="F3">
        <v>0.55063291139240511</v>
      </c>
      <c r="G3">
        <v>0.58196721311475408</v>
      </c>
      <c r="H3">
        <v>0.59803921568627449</v>
      </c>
    </row>
    <row r="5" spans="1:8" x14ac:dyDescent="0.45">
      <c r="B5">
        <v>75</v>
      </c>
      <c r="C5">
        <v>78</v>
      </c>
      <c r="D5">
        <v>80</v>
      </c>
      <c r="E5">
        <v>82</v>
      </c>
      <c r="F5">
        <v>85</v>
      </c>
      <c r="G5">
        <v>88</v>
      </c>
      <c r="H5">
        <v>90</v>
      </c>
    </row>
    <row r="6" spans="1:8" x14ac:dyDescent="0.45">
      <c r="A6" t="s">
        <v>1522</v>
      </c>
      <c r="B6" cm="1">
        <f t="array" ref="B6:B7">'75'!J2:J3</f>
        <v>190</v>
      </c>
      <c r="C6" cm="1">
        <f t="array" ref="C6:C7">'78'!J2:J3</f>
        <v>137</v>
      </c>
      <c r="D6" cm="1">
        <f t="array" ref="D6:D7">'80'!J2:J3</f>
        <v>112</v>
      </c>
      <c r="E6" cm="1">
        <f t="array" ref="E6:E7">'82'!J2:J3</f>
        <v>89</v>
      </c>
      <c r="F6" cm="1">
        <f t="array" ref="F6:F7">'85'!J2:J3</f>
        <v>71</v>
      </c>
      <c r="G6" cm="1">
        <f t="array" ref="G6:G7">'88'!J2:J3</f>
        <v>51</v>
      </c>
      <c r="H6" cm="1">
        <f t="array" ref="H6:H7">'90'!J2:J3</f>
        <v>41</v>
      </c>
    </row>
    <row r="7" spans="1:8" x14ac:dyDescent="0.45">
      <c r="A7" t="s">
        <v>1523</v>
      </c>
      <c r="B7">
        <v>318</v>
      </c>
      <c r="C7">
        <v>201</v>
      </c>
      <c r="D7">
        <v>179</v>
      </c>
      <c r="E7">
        <v>131</v>
      </c>
      <c r="F7">
        <v>87</v>
      </c>
      <c r="G7">
        <v>71</v>
      </c>
      <c r="H7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75</vt:lpstr>
      <vt:lpstr>78</vt:lpstr>
      <vt:lpstr>80</vt:lpstr>
      <vt:lpstr>82</vt:lpstr>
      <vt:lpstr>85</vt:lpstr>
      <vt:lpstr>88</vt:lpstr>
      <vt:lpstr>90</vt:lpstr>
      <vt:lpstr>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Pocrnjic</dc:creator>
  <cp:lastModifiedBy>Tania Pocrnjic</cp:lastModifiedBy>
  <dcterms:created xsi:type="dcterms:W3CDTF">2026-03-02T07:26:25Z</dcterms:created>
  <dcterms:modified xsi:type="dcterms:W3CDTF">2026-03-07T03:45:17Z</dcterms:modified>
</cp:coreProperties>
</file>