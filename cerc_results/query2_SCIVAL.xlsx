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tmitconsultinginc-my.sharepoint.com/personal/tania_tmit_ca/Documents/Documents/juan/cerc_results/"/>
    </mc:Choice>
  </mc:AlternateContent>
  <xr:revisionPtr revIDLastSave="55" documentId="8_{F21BFF30-DA72-4679-BB83-DEB6F6CC4730}" xr6:coauthVersionLast="47" xr6:coauthVersionMax="47" xr10:uidLastSave="{0C6C6A55-EB2A-4CAE-BDFE-3F823D63C213}"/>
  <bookViews>
    <workbookView xWindow="28690" yWindow="-110" windowWidth="38620" windowHeight="21100" activeTab="2" xr2:uid="{336A4F5B-F553-4243-A36E-B44F80C1FF6C}"/>
  </bookViews>
  <sheets>
    <sheet name="query2" sheetId="1" r:id="rId1"/>
    <sheet name="rio results" sheetId="2" r:id="rId2"/>
    <sheet name="comparison" sheetId="3" r:id="rId3"/>
  </sheets>
  <definedNames>
    <definedName name="_xlnm._FilterDatabase" localSheetId="0" hidden="1">query2!$A$1:$LX$1</definedName>
    <definedName name="_xlnm._FilterDatabase" localSheetId="1" hidden="1">'rio results'!$A$1:$AD$1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 i="3" l="1" a="1"/>
  <c r="I5" i="3" s="1"/>
  <c r="I4" i="3" a="1"/>
  <c r="I4" i="3" s="1"/>
  <c r="I2" i="3" a="1"/>
  <c r="I2" i="3"/>
  <c r="I3" i="3" a="1"/>
  <c r="I3" i="3" s="1"/>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2"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<sst xmlns="http://schemas.openxmlformats.org/spreadsheetml/2006/main" count="8600" uniqueCount="5191">
  <si>
    <t>id</t>
  </si>
  <si>
    <t>doi</t>
  </si>
  <si>
    <t>title</t>
  </si>
  <si>
    <t>publication_year</t>
  </si>
  <si>
    <t>publication_date</t>
  </si>
  <si>
    <t>ids</t>
  </si>
  <si>
    <t>language</t>
  </si>
  <si>
    <t>type</t>
  </si>
  <si>
    <t>countries_distinct_count</t>
  </si>
  <si>
    <t>institutions_distinct_count</t>
  </si>
  <si>
    <t>fwci</t>
  </si>
  <si>
    <t>has_fulltext</t>
  </si>
  <si>
    <t>cited_by_count</t>
  </si>
  <si>
    <t>citation_normalized_percentile</t>
  </si>
  <si>
    <t>cited_by_percentile_year</t>
  </si>
  <si>
    <t>biblio</t>
  </si>
  <si>
    <t>sustainable_development_goals</t>
  </si>
  <si>
    <t>counts_by_year</t>
  </si>
  <si>
    <t>https://openalex.org/W3197182136</t>
  </si>
  <si>
    <t>https://doi.org/10.1088/2631-8695/ac2353</t>
  </si>
  <si>
    <t>A review of primary technologies of thin-film solar cells</t>
  </si>
  <si>
    <t>{'openalex': 'https://openalex.org/W3197182136', 'doi': 'https://doi.org/10.1088/2631-8695/ac2353', 'mag': '3197182136'}</t>
  </si>
  <si>
    <t>en</t>
  </si>
  <si>
    <t>review</t>
  </si>
  <si>
    <t>[]</t>
  </si>
  <si>
    <t>{'value': 0.98505979, 'is_in_top_1_percent': False, 'is_in_top_10_percent': True}</t>
  </si>
  <si>
    <t>{'min': 93, 'max': 100}</t>
  </si>
  <si>
    <t>{'volume': '3', 'issue': '3', 'first_page': '032001', 'last_page': '032001'}</t>
  </si>
  <si>
    <t>[{'score': 0.5099999904632568, 'display_name': 'Industry, innovation and infrastructure', 'id': 'https://metadata.un.org/sdg/9'}]</t>
  </si>
  <si>
    <t>[{'year': 2026, 'cited_by_count': 4}, {'year': 2025, 'cited_by_count': 32}, {'year': 2024, 'cited_by_count': 44}, {'year': 2023, 'cited_by_count': 24}, {'year': 2022, 'cited_by_count': 18}, {'year': 2021, 'cited_by_count': 2}]</t>
  </si>
  <si>
    <t>https://openalex.org/W3097814634</t>
  </si>
  <si>
    <t>https://doi.org/10.1038/s41598-020-75393-y</t>
  </si>
  <si>
    <t>Material properties and structure of natural graphite sheet</t>
  </si>
  <si>
    <t>{'openalex': 'https://openalex.org/W3097814634', 'doi': 'https://doi.org/10.1038/s41598-020-75393-y', 'mag': '3097814634', 'pmid': 'https://pubmed.ncbi.nlm.nih.gov/33122759'}</t>
  </si>
  <si>
    <t>article</t>
  </si>
  <si>
    <t>{'value': 0.90500596, 'is_in_top_1_percent': False, 'is_in_top_10_percent': True}</t>
  </si>
  <si>
    <t>{'min': 94, 'max': 100}</t>
  </si>
  <si>
    <t>{'volume': '10', 'issue': '1', 'first_page': '18672', 'last_page': '18672'}</t>
  </si>
  <si>
    <t>[{'score': 0.5199999809265137, 'display_name': 'Affordable and clean energy', 'id': 'https://metadata.un.org/sdg/7'}]</t>
  </si>
  <si>
    <t>[{'year': 2026, 'cited_by_count': 2}, {'year': 2025, 'cited_by_count': 27}, {'year': 2024, 'cited_by_count': 21}, {'year': 2023, 'cited_by_count': 18}, {'year': 2022, 'cited_by_count': 8}, {'year': 2021, 'cited_by_count': 4}, {'year': 2020, 'cited_by_count': 2}]</t>
  </si>
  <si>
    <t>https://openalex.org/W4311425960</t>
  </si>
  <si>
    <t>https://doi.org/10.1016/j.addma.2022.103357</t>
  </si>
  <si>
    <t>Review of transfer learning in modeling additive manufacturing processes</t>
  </si>
  <si>
    <t>{'openalex': 'https://openalex.org/W4311425960', 'doi': 'https://doi.org/10.1016/j.addma.2022.103357'}</t>
  </si>
  <si>
    <t>{'value': 0.98037312, 'is_in_top_1_percent': False, 'is_in_top_10_percent': True}</t>
  </si>
  <si>
    <t>{'min': 98, 'max': 100}</t>
  </si>
  <si>
    <t>{'volume': '61', 'issue': None, 'first_page': '103357', 'last_page': '103357'}</t>
  </si>
  <si>
    <t>[{'score': 0.550000011920929, 'display_name': 'Industry, innovation and infrastructure', 'id': 'https://metadata.un.org/sdg/9'}]</t>
  </si>
  <si>
    <t>[{'year': 2026, 'cited_by_count': 4}, {'year': 2025, 'cited_by_count': 24}, {'year': 2024, 'cited_by_count': 33}, {'year': 2023, 'cited_by_count': 6}]</t>
  </si>
  <si>
    <t>https://openalex.org/W4220703584</t>
  </si>
  <si>
    <t>https://doi.org/10.1016/j.isci.2022.104119</t>
  </si>
  <si>
    <t>A 3D-printed neuromorphic humanoid hand for grasping unknown objects</t>
  </si>
  <si>
    <t>{'openalex': 'https://openalex.org/W4220703584', 'doi': 'https://doi.org/10.1016/j.isci.2022.104119', 'pmid': 'https://pubmed.ncbi.nlm.nih.gov/35391826'}</t>
  </si>
  <si>
    <t>{'value': 0.90120706, 'is_in_top_1_percent': False, 'is_in_top_10_percent': True}</t>
  </si>
  <si>
    <t>{'min': 96, 'max': 100}</t>
  </si>
  <si>
    <t>{'volume': '25', 'issue': '4', 'first_page': '104119', 'last_page': '104119'}</t>
  </si>
  <si>
    <t>[{'score': 0.8999999761581421, 'display_name': 'Affordable and clean energy', 'id': 'https://metadata.un.org/sdg/7'}]</t>
  </si>
  <si>
    <t>[{'year': 2026, 'cited_by_count': 3}, {'year': 2025, 'cited_by_count': 6}, {'year': 2024, 'cited_by_count': 11}, {'year': 2023, 'cited_by_count': 9}, {'year': 2022, 'cited_by_count': 3}]</t>
  </si>
  <si>
    <t>https://openalex.org/W4210529131</t>
  </si>
  <si>
    <t>https://doi.org/10.1038/s41528-022-00139-x</t>
  </si>
  <si>
    <t>3D printed leech-inspired origami dry electrodes for electrophysiology sensing robots</t>
  </si>
  <si>
    <t>{'openalex': 'https://openalex.org/W4210529131', 'doi': 'https://doi.org/10.1038/s41528-022-00139-x'}</t>
  </si>
  <si>
    <t>{'value': 0.93488237, 'is_in_top_1_percent': False, 'is_in_top_10_percent': True}</t>
  </si>
  <si>
    <t>{'volume': '6', 'issue': '1', 'first_page': None, 'last_page': None}</t>
  </si>
  <si>
    <t>[{'score': 0.44999998807907104, 'display_name': 'Good health and well-being', 'id': 'https://metadata.un.org/sdg/3'}]</t>
  </si>
  <si>
    <t>[{'year': 2025, 'cited_by_count': 17}, {'year': 2024, 'cited_by_count': 11}, {'year': 2023, 'cited_by_count': 10}, {'year': 2022, 'cited_by_count': 6}]</t>
  </si>
  <si>
    <t>https://openalex.org/W3160146843</t>
  </si>
  <si>
    <t>https://doi.org/10.1016/j.ensm.2021.05.011</t>
  </si>
  <si>
    <t>Materials design and fundamental understanding of tellurium-based electrochemistry for rechargeable batteries</t>
  </si>
  <si>
    <t>{'openalex': 'https://openalex.org/W3160146843', 'doi': 'https://doi.org/10.1016/j.ensm.2021.05.011', 'mag': '3160146843'}</t>
  </si>
  <si>
    <t>{'value': 0.96650302, 'is_in_top_1_percent': False, 'is_in_top_10_percent': True}</t>
  </si>
  <si>
    <t>{'min': 95, 'max': 100}</t>
  </si>
  <si>
    <t>{'volume': '40', 'issue': None, 'first_page': '166', 'last_page': '188'}</t>
  </si>
  <si>
    <t>[{'score': 0.7900000214576721, 'display_name': 'Affordable and clean energy', 'id': 'https://metadata.un.org/sdg/7'}]</t>
  </si>
  <si>
    <t>[{'year': 2026, 'cited_by_count': 2}, {'year': 2025, 'cited_by_count': 13}, {'year': 2024, 'cited_by_count': 23}, {'year': 2023, 'cited_by_count': 19}, {'year': 2022, 'cited_by_count': 11}, {'year': 2021, 'cited_by_count': 3}]</t>
  </si>
  <si>
    <t>https://openalex.org/W3169143473</t>
  </si>
  <si>
    <t>https://doi.org/10.1016/j.optmat.2021.111258</t>
  </si>
  <si>
    <t>Performance analysis of several electron/hole transport layers in thin film MAPbI3-based perovskite solar cells: A simulation study</t>
  </si>
  <si>
    <t>{'openalex': 'https://openalex.org/W3169143473', 'doi': 'https://doi.org/10.1016/j.optmat.2021.111258', 'mag': '3169143473'}</t>
  </si>
  <si>
    <t>{'value': 0.93766708, 'is_in_top_1_percent': False, 'is_in_top_10_percent': True}</t>
  </si>
  <si>
    <t>{'min': 89, 'max': 100}</t>
  </si>
  <si>
    <t>{'volume': '118', 'issue': None, 'first_page': '111258', 'last_page': '111258'}</t>
  </si>
  <si>
    <t>[{'score': 0.7099999785423279, 'display_name': 'Affordable and clean energy', 'id': 'https://metadata.un.org/sdg/7'}]</t>
  </si>
  <si>
    <t>[{'year': 2025, 'cited_by_count': 27}, {'year': 2024, 'cited_by_count': 20}, {'year': 2023, 'cited_by_count': 10}, {'year': 2022, 'cited_by_count': 6}, {'year': 2021, 'cited_by_count': 1}]</t>
  </si>
  <si>
    <t>https://openalex.org/W3060407329</t>
  </si>
  <si>
    <t>https://doi.org/10.1016/j.jpowsour.2020.228714</t>
  </si>
  <si>
    <t>Residual fatigue life modeling of fuel cell membranes</t>
  </si>
  <si>
    <t>{'openalex': 'https://openalex.org/W3060407329', 'doi': 'https://doi.org/10.1016/j.jpowsour.2020.228714', 'mag': '3060407329'}</t>
  </si>
  <si>
    <t>{'value': 0.79469678, 'is_in_top_1_percent': False, 'is_in_top_10_percent': False}</t>
  </si>
  <si>
    <t>{'min': 89, 'max': 99}</t>
  </si>
  <si>
    <t>{'volume': '477', 'issue': None, 'first_page': '228714', 'last_page': '228714'}</t>
  </si>
  <si>
    <t>[{'score': 0.5600000023841858, 'display_name': 'Responsible consumption and production', 'id': 'https://metadata.un.org/sdg/12'}]</t>
  </si>
  <si>
    <t>[{'year': 2025, 'cited_by_count': 8}, {'year': 2024, 'cited_by_count': 3}, {'year': 2023, 'cited_by_count': 5}, {'year': 2022, 'cited_by_count': 1}, {'year': 2021, 'cited_by_count': 6}]</t>
  </si>
  <si>
    <t>https://openalex.org/W4391295127</t>
  </si>
  <si>
    <t>https://doi.org/10.1016/j.jmapro.2024.01.029</t>
  </si>
  <si>
    <t>System identification and closed-loop control of laser hot-wire directed energy deposition using the parameter-signature-quality modeling scheme</t>
  </si>
  <si>
    <t>{'openalex': 'https://openalex.org/W4391295127', 'doi': 'https://doi.org/10.1016/j.jmapro.2024.01.029'}</t>
  </si>
  <si>
    <t>{'value': 0.96173519, 'is_in_top_1_percent': False, 'is_in_top_10_percent': True}</t>
  </si>
  <si>
    <t>{'volume': '112', 'issue': None, 'first_page': '1', 'last_page': '13'}</t>
  </si>
  <si>
    <t>[{'score': 0.8199999928474426, 'display_name': 'Affordable and clean energy', 'id': 'https://metadata.un.org/sdg/7'}]</t>
  </si>
  <si>
    <t>[{'year': 2026, 'cited_by_count': 4}, {'year': 2025, 'cited_by_count': 11}, {'year': 2024, 'cited_by_count': 7}]</t>
  </si>
  <si>
    <t>https://openalex.org/W4366826511</t>
  </si>
  <si>
    <t>https://doi.org/10.1002/adsr.202300003</t>
  </si>
  <si>
    <t>3D Printed Electromyography Sensing Systems</t>
  </si>
  <si>
    <t>{'openalex': 'https://openalex.org/W4366826511', 'doi': 'https://doi.org/10.1002/adsr.202300003'}</t>
  </si>
  <si>
    <t>{'value': 0.78442376, 'is_in_top_1_percent': False, 'is_in_top_10_percent': False}</t>
  </si>
  <si>
    <t>{'min': 94, 'max': 99}</t>
  </si>
  <si>
    <t>{'volume': '2', 'issue': '9', 'first_page': None, 'last_page': None}</t>
  </si>
  <si>
    <t>[{'year': 2025, 'cited_by_count': 8}, {'year': 2024, 'cited_by_count': 2}, {'year': 2023, 'cited_by_count': 2}]</t>
  </si>
  <si>
    <t>https://openalex.org/W4307676274</t>
  </si>
  <si>
    <t>https://doi.org/10.1002/aisy.202200189</t>
  </si>
  <si>
    <t>Novel Grasping Mechanisms of 3Dâ€Printed Prosthetic Hands</t>
  </si>
  <si>
    <t>{'openalex': 'https://openalex.org/W4307676274', 'doi': 'https://doi.org/10.1002/aisy.202200189'}</t>
  </si>
  <si>
    <t>{'value': 0.76027954, 'is_in_top_1_percent': False, 'is_in_top_10_percent': False}</t>
  </si>
  <si>
    <t>{'min': 96, 'max': 99}</t>
  </si>
  <si>
    <t>{'volume': '4', 'issue': '11', 'first_page': None, 'last_page': None}</t>
  </si>
  <si>
    <t>[{'year': 2026, 'cited_by_count': 1}, {'year': 2025, 'cited_by_count': 3}, {'year': 2024, 'cited_by_count': 8}, {'year': 2023, 'cited_by_count': 4}]</t>
  </si>
  <si>
    <t>https://openalex.org/W4393902811</t>
  </si>
  <si>
    <t>https://doi.org/10.1038/s41528-024-00309-z</t>
  </si>
  <si>
    <t>Wireless pressure monitoring system utilizing a 3D-printed Origami pressure sensor array</t>
  </si>
  <si>
    <t>{'openalex': 'https://openalex.org/W4393902811', 'doi': 'https://doi.org/10.1038/s41528-024-00309-z'}</t>
  </si>
  <si>
    <t>{'value': 0.95760559, 'is_in_top_1_percent': False, 'is_in_top_10_percent': True}</t>
  </si>
  <si>
    <t>{'min': 97, 'max': 100}</t>
  </si>
  <si>
    <t>{'volume': '8', 'issue': '1', 'first_page': None, 'last_page': None}</t>
  </si>
  <si>
    <t>[{'year': 2026, 'cited_by_count': 3}, {'year': 2025, 'cited_by_count': 17}, {'year': 2024, 'cited_by_count': 4}]</t>
  </si>
  <si>
    <t>https://openalex.org/W4385652613</t>
  </si>
  <si>
    <t>https://doi.org/10.1016/j.trac.2023.117223</t>
  </si>
  <si>
    <t>Recent advances in nanomaterials based biosensors</t>
  </si>
  <si>
    <t>{'openalex': 'https://openalex.org/W4385652613', 'doi': 'https://doi.org/10.1016/j.trac.2023.117223'}</t>
  </si>
  <si>
    <t>{'value': 0.97318055, 'is_in_top_1_percent': False, 'is_in_top_10_percent': True}</t>
  </si>
  <si>
    <t>{'volume': '167', 'issue': None, 'first_page': '117223', 'last_page': '117223'}</t>
  </si>
  <si>
    <t>[{'year': 2026, 'cited_by_count': 3}, {'year': 2025, 'cited_by_count': 17}, {'year': 2024, 'cited_by_count': 17}, {'year': 2023, 'cited_by_count': 4}]</t>
  </si>
  <si>
    <t>https://openalex.org/W4400904995</t>
  </si>
  <si>
    <t>https://doi.org/10.1039/d4ey00104d</t>
  </si>
  <si>
    <t>Revolutionizing ORR catalyst design through computational methodologies and materials informatics</t>
  </si>
  <si>
    <t>{'openalex': 'https://openalex.org/W4400904995', 'doi': 'https://doi.org/10.1039/d4ey00104d'}</t>
  </si>
  <si>
    <t>{'value': 0.87607416, 'is_in_top_1_percent': False, 'is_in_top_10_percent': False}</t>
  </si>
  <si>
    <t>{'min': 90, 'max': 100}</t>
  </si>
  <si>
    <t>{'volume': '2', 'issue': '5', 'first_page': '1037', 'last_page': '1058'}</t>
  </si>
  <si>
    <t>[{'year': 2026, 'cited_by_count': 5}, {'year': 2025, 'cited_by_count': 13}, {'year': 2024, 'cited_by_count': 1}]</t>
  </si>
  <si>
    <t>https://openalex.org/W3080989562</t>
  </si>
  <si>
    <t>https://doi.org/10.1039/d0mh00785d</t>
  </si>
  <si>
    <t>Acid dyeing for green solvent processing of solvent resistant semiconducting organic thin films</t>
  </si>
  <si>
    <t>{'openalex': 'https://openalex.org/W3080989562', 'doi': 'https://doi.org/10.1039/d0mh00785d', 'mag': '3080989562'}</t>
  </si>
  <si>
    <t>{'value': 0.88808442, 'is_in_top_1_percent': False, 'is_in_top_10_percent': False}</t>
  </si>
  <si>
    <t>{'volume': '7', 'issue': '11', 'first_page': '2959', 'last_page': '2969'}</t>
  </si>
  <si>
    <t>[{'year': 2026, 'cited_by_count': 1}, {'year': 2025, 'cited_by_count': 4}, {'year': 2024, 'cited_by_count': 4}, {'year': 2023, 'cited_by_count': 4}, {'year': 2022, 'cited_by_count': 8}, {'year': 2021, 'cited_by_count': 10}, {'year': 2020, 'cited_by_count': 3}]</t>
  </si>
  <si>
    <t>https://openalex.org/W4396847419</t>
  </si>
  <si>
    <t>https://doi.org/10.1016/j.jallcom.2024.174816</t>
  </si>
  <si>
    <t>Fabrication of high-entropy alloy superconducting wires by powder-in-tube method</t>
  </si>
  <si>
    <t>{'openalex': 'https://openalex.org/W4396847419', 'doi': 'https://doi.org/10.1016/j.jallcom.2024.174816'}</t>
  </si>
  <si>
    <t>{'value': 0.80348818, 'is_in_top_1_percent': False, 'is_in_top_10_percent': False}</t>
  </si>
  <si>
    <t>{'min': 90, 'max': 99}</t>
  </si>
  <si>
    <t>{'volume': '995', 'issue': None, 'first_page': '174816', 'last_page': '174816'}</t>
  </si>
  <si>
    <t>[{'year': 2026, 'cited_by_count': 1}, {'year': 2025, 'cited_by_count': 5}, {'year': 2024, 'cited_by_count': 1}]</t>
  </si>
  <si>
    <t>https://openalex.org/W4224213659</t>
  </si>
  <si>
    <t>https://doi.org/10.1021/acs.chemmater.1c03450</t>
  </si>
  <si>
    <t>Repeatable Photoinduced Insulator-to-Metal Transition in Yttrium Oxyhydride Epitaxial Thin Films</t>
  </si>
  <si>
    <t>{'openalex': 'https://openalex.org/W4224213659', 'doi': 'https://doi.org/10.1021/acs.chemmater.1c03450'}</t>
  </si>
  <si>
    <t>{'value': 0.81568422, 'is_in_top_1_percent': False, 'is_in_top_10_percent': False}</t>
  </si>
  <si>
    <t>{'volume': '34', 'issue': '8', 'first_page': '3616', 'last_page': '3623'}</t>
  </si>
  <si>
    <t>[{'year': 2025, 'cited_by_count': 4}, {'year': 2024, 'cited_by_count': 10}, {'year': 2023, 'cited_by_count': 4}, {'year': 2022, 'cited_by_count': 3}]</t>
  </si>
  <si>
    <t>https://openalex.org/W4386800282</t>
  </si>
  <si>
    <t>https://doi.org/10.1016/j.matdes.2023.112332</t>
  </si>
  <si>
    <t>3D printed vorticella-kirigami inspired sensors for structural health monitoring in Internet-of-Things</t>
  </si>
  <si>
    <t>{'openalex': 'https://openalex.org/W4386800282', 'doi': 'https://doi.org/10.1016/j.matdes.2023.112332'}</t>
  </si>
  <si>
    <t>{'value': 0.85260022, 'is_in_top_1_percent': False, 'is_in_top_10_percent': False}</t>
  </si>
  <si>
    <t>{'min': 97, 'max': 99}</t>
  </si>
  <si>
    <t>{'volume': '234', 'issue': None, 'first_page': '112332', 'last_page': '112332'}</t>
  </si>
  <si>
    <t>[{'score': 0.6600000262260437, 'display_name': 'Industry, innovation and infrastructure', 'id': 'https://metadata.un.org/sdg/9'}]</t>
  </si>
  <si>
    <t>[{'year': 2026, 'cited_by_count': 1}, {'year': 2025, 'cited_by_count': 10}, {'year': 2024, 'cited_by_count': 6}]</t>
  </si>
  <si>
    <t>https://openalex.org/W4387380561</t>
  </si>
  <si>
    <t>https://doi.org/10.1557/s43579-023-00480-w</t>
  </si>
  <si>
    <t>Toward artificial intelligence and machine learning-enabled frameworks for improved predictions ofÂ lifecycle environmental impacts of functional materials and devices</t>
  </si>
  <si>
    <t>{'openalex': 'https://openalex.org/W4387380561', 'doi': 'https://doi.org/10.1557/s43579-023-00480-w'}</t>
  </si>
  <si>
    <t>{'value': 0.96043858, 'is_in_top_1_percent': False, 'is_in_top_10_percent': True}</t>
  </si>
  <si>
    <t>{'volume': '13', 'issue': '5', 'first_page': '795', 'last_page': '811'}</t>
  </si>
  <si>
    <t>[{'score': 0.6000000238418579, 'display_name': 'Responsible consumption and production', 'id': 'https://metadata.un.org/sdg/12'}]</t>
  </si>
  <si>
    <t>[{'year': 2026, 'cited_by_count': 3}, {'year': 2025, 'cited_by_count': 19}, {'year': 2024, 'cited_by_count': 14}, {'year': 2023, 'cited_by_count': 1}]</t>
  </si>
  <si>
    <t>https://openalex.org/W4367367779</t>
  </si>
  <si>
    <t>https://doi.org/10.1002/aisy.202300015</t>
  </si>
  <si>
    <t>A 3Dâ€Printed Computer</t>
  </si>
  <si>
    <t>{'openalex': 'https://openalex.org/W4367367779', 'doi': 'https://doi.org/10.1002/aisy.202300015'}</t>
  </si>
  <si>
    <t>{'value': 0.74358744, 'is_in_top_1_percent': False, 'is_in_top_10_percent': False}</t>
  </si>
  <si>
    <t>{'min': 89, 'max': 96}</t>
  </si>
  <si>
    <t>{'volume': '5', 'issue': '8', 'first_page': None, 'last_page': None}</t>
  </si>
  <si>
    <t>[{'year': 2025, 'cited_by_count': 1}, {'year': 2024, 'cited_by_count': 2}, {'year': 2023, 'cited_by_count': 1}]</t>
  </si>
  <si>
    <t>https://openalex.org/W3023846881</t>
  </si>
  <si>
    <t>https://doi.org/10.1021/acsaem.0c00069</t>
  </si>
  <si>
    <t>OER Performances of Cationic Substituted (100)-Oriented IrO&lt;sub&gt;2&lt;/sub&gt; Thin Films: A Joint Experimental and Theoretical Study</t>
  </si>
  <si>
    <t>{'openalex': 'https://openalex.org/W3023846881', 'doi': 'https://doi.org/10.1021/acsaem.0c00069', 'mag': '3023846881'}</t>
  </si>
  <si>
    <t>{'value': 0.63593068, 'is_in_top_1_percent': False, 'is_in_top_10_percent': False}</t>
  </si>
  <si>
    <t>{'min': 94, 'max': 98}</t>
  </si>
  <si>
    <t>{'volume': '3', 'issue': '6', 'first_page': '5229', 'last_page': '5237'}</t>
  </si>
  <si>
    <t>[{'score': 0.5799999833106995, 'display_name': 'Clean water and sanitation', 'id': 'https://metadata.un.org/sdg/6'}]</t>
  </si>
  <si>
    <t>[{'year': 2025, 'cited_by_count': 3}, {'year': 2024, 'cited_by_count': 2}, {'year': 2023, 'cited_by_count': 4}, {'year': 2022, 'cited_by_count': 5}, {'year': 2021, 'cited_by_count': 4}]</t>
  </si>
  <si>
    <t>https://openalex.org/W4401527307</t>
  </si>
  <si>
    <t>https://doi.org/10.1021/acs.accounts.4c00308</t>
  </si>
  <si>
    <t>Materials Design and Mechanistic Understanding of Tellurium and Telluriumâ€“Sulfur Cathodes for Rechargeable Batteries</t>
  </si>
  <si>
    <t>{'openalex': 'https://openalex.org/W4401527307', 'doi': 'https://doi.org/10.1021/acs.accounts.4c00308', 'pmid': 'https://pubmed.ncbi.nlm.nih.gov/39137405'}</t>
  </si>
  <si>
    <t>{'value': 0.950355, 'is_in_top_1_percent': False, 'is_in_top_10_percent': True}</t>
  </si>
  <si>
    <t>{'volume': '57', 'issue': '17', 'first_page': '2500', 'last_page': '2511'}</t>
  </si>
  <si>
    <t>[{'year': 2026, 'cited_by_count': 2}, {'year': 2025, 'cited_by_count': 14}, {'year': 2024, 'cited_by_count': 3}]</t>
  </si>
  <si>
    <t>https://openalex.org/W4405284576</t>
  </si>
  <si>
    <t>https://doi.org/10.1016/j.matdes.2024.113535</t>
  </si>
  <si>
    <t>Enhancing helmet pressure sensing with advanced 3D printed gyroid architectures</t>
  </si>
  <si>
    <t>{'openalex': 'https://openalex.org/W4405284576', 'doi': 'https://doi.org/10.1016/j.matdes.2024.113535'}</t>
  </si>
  <si>
    <t>{'value': 0.95118452, 'is_in_top_1_percent': False, 'is_in_top_10_percent': True}</t>
  </si>
  <si>
    <t>{'volume': '249', 'issue': None, 'first_page': '113535', 'last_page': '113535'}</t>
  </si>
  <si>
    <t>[{'score': 0.6499999761581421, 'display_name': 'Affordable and clean energy', 'id': 'https://metadata.un.org/sdg/7'}]</t>
  </si>
  <si>
    <t>[{'year': 2026, 'cited_by_count': 2}, {'year': 2025, 'cited_by_count': 5}]</t>
  </si>
  <si>
    <t>https://openalex.org/W3011399726</t>
  </si>
  <si>
    <t>https://doi.org/10.1039/c9mh01782h</t>
  </si>
  <si>
    <t>Low-damping flexible Y&lt;sub&gt;3&lt;/sub&gt;Fe&lt;sub&gt;5&lt;/sub&gt;O&lt;sub&gt;12&lt;/sub&gt; thin films for tunable RF/microwave processors</t>
  </si>
  <si>
    <t>{'openalex': 'https://openalex.org/W3011399726', 'doi': 'https://doi.org/10.1039/c9mh01782h', 'mag': '3011399726'}</t>
  </si>
  <si>
    <t>{'value': 0.81433161, 'is_in_top_1_percent': False, 'is_in_top_10_percent': False}</t>
  </si>
  <si>
    <t>{'volume': '7', 'issue': '6', 'first_page': '1558', 'last_page': '1565'}</t>
  </si>
  <si>
    <t>[{'year': 2025, 'cited_by_count': 3}, {'year': 2024, 'cited_by_count': 4}, {'year': 2023, 'cited_by_count': 2}, {'year': 2022, 'cited_by_count': 2}, {'year': 2021, 'cited_by_count': 9}, {'year': 2020, 'cited_by_count': 1}]</t>
  </si>
  <si>
    <t>https://openalex.org/W4393064730</t>
  </si>
  <si>
    <t>https://doi.org/10.1139/cjc-2023-0232</t>
  </si>
  <si>
    <t>The success of computational material design for sustainable energy catalysis</t>
  </si>
  <si>
    <t>{'openalex': 'https://openalex.org/W4393064730', 'doi': 'https://doi.org/10.1139/cjc-2023-0232'}</t>
  </si>
  <si>
    <t>{'value': 0.3662099, 'is_in_top_1_percent': False, 'is_in_top_10_percent': False}</t>
  </si>
  <si>
    <t>{'min': 90, 'max': 94}</t>
  </si>
  <si>
    <t>{'volume': '102', 'issue': '5', 'first_page': '298', 'last_page': '309'}</t>
  </si>
  <si>
    <t>[{'year': 2024, 'cited_by_count': 1}]</t>
  </si>
  <si>
    <t>https://openalex.org/W4384340581</t>
  </si>
  <si>
    <t>https://doi.org/10.1002/adfm.202305733</t>
  </si>
  <si>
    <t>3D HfO&lt;sub&gt;2&lt;/sub&gt; Thin Film MEMS Capacitor with Superior Energy Storage Properties</t>
  </si>
  <si>
    <t>{'openalex': 'https://openalex.org/W4384340581', 'doi': 'https://doi.org/10.1002/adfm.202305733'}</t>
  </si>
  <si>
    <t>{'value': 0.73522056, 'is_in_top_1_percent': False, 'is_in_top_10_percent': False}</t>
  </si>
  <si>
    <t>{'volume': '33', 'issue': '48', 'first_page': None, 'last_page': None}</t>
  </si>
  <si>
    <t>[{'display_name': 'Affordable and clean energy', 'score': 0.8999999761581421, 'id': 'https://metadata.un.org/sdg/7'}]</t>
  </si>
  <si>
    <t>[{'year': 2025, 'cited_by_count': 8}, {'year': 2024, 'cited_by_count': 3}]</t>
  </si>
  <si>
    <t>https://openalex.org/W4200423026</t>
  </si>
  <si>
    <t>https://doi.org/10.1109/wifs53200.2021.9648379</t>
  </si>
  <si>
    <t>3D Print-Scan Resilient Localized Mesh Watermarking</t>
  </si>
  <si>
    <t>{'openalex': 'https://openalex.org/W4200423026', 'doi': 'https://doi.org/10.1109/wifs53200.2021.9648379'}</t>
  </si>
  <si>
    <t>{'value': 0.57455882, 'is_in_top_1_percent': False, 'is_in_top_10_percent': False}</t>
  </si>
  <si>
    <t>{'volume': None, 'issue': None, 'first_page': '1', 'last_page': '6'}</t>
  </si>
  <si>
    <t>[{'year': 2023, 'cited_by_count': 1}, {'year': 2022, 'cited_by_count': 2}, {'year': 2012, 'cited_by_count': 1}]</t>
  </si>
  <si>
    <t>https://openalex.org/W4318241910</t>
  </si>
  <si>
    <t>https://doi.org/10.1145/3544548.3581024</t>
  </si>
  <si>
    <t>AnisoTag: 3D Printed Tag on 2D Surface via Reflection Anisotropy</t>
  </si>
  <si>
    <t>{'openalex': 'https://openalex.org/W4318241910', 'doi': 'https://doi.org/10.1145/3544548.3581024'}</t>
  </si>
  <si>
    <t>preprint</t>
  </si>
  <si>
    <t>{'value': 0.74916126, 'is_in_top_1_percent': False, 'is_in_top_10_percent': False}</t>
  </si>
  <si>
    <t>{'min': 95, 'max': 97}</t>
  </si>
  <si>
    <t>{'volume': None, 'issue': None, 'first_page': '1', 'last_page': '15'}</t>
  </si>
  <si>
    <t>[{'display_name': 'Decent work and economic growth', 'score': 0.5, 'id': 'https://metadata.un.org/sdg/8'}]</t>
  </si>
  <si>
    <t>[{'year': 2025, 'cited_by_count': 2}, {'year': 2023, 'cited_by_count': 3}]</t>
  </si>
  <si>
    <t>https://openalex.org/W4318573557</t>
  </si>
  <si>
    <t>https://doi.org/10.1088/2058-8585/acb722</t>
  </si>
  <si>
    <t>Enhanced RF response of 3D-printed wireless LC sensors using dielectrics with high permittivity</t>
  </si>
  <si>
    <t>{'openalex': 'https://openalex.org/W4318573557', 'doi': 'https://doi.org/10.1088/2058-8585/acb722'}</t>
  </si>
  <si>
    <t>{'value': 0.71812778, 'is_in_top_1_percent': False, 'is_in_top_10_percent': False}</t>
  </si>
  <si>
    <t>{'min': 95, 'max': 98}</t>
  </si>
  <si>
    <t>{'volume': '8', 'issue': '1', 'first_page': '015013', 'last_page': '015013'}</t>
  </si>
  <si>
    <t>[{'display_name': 'Affordable and clean energy', 'score': 0.699999988079071, 'id': 'https://metadata.un.org/sdg/7'}]</t>
  </si>
  <si>
    <t>[{'year': 2025, 'cited_by_count': 2}, {'year': 2024, 'cited_by_count': 4}, {'year': 2023, 'cited_by_count': 3}]</t>
  </si>
  <si>
    <t>https://openalex.org/W3037325640</t>
  </si>
  <si>
    <t>https://doi.org/10.1016/j.tsf.2020.138206</t>
  </si>
  <si>
    <t>Atomic layer deposition of void-free ZnFe2O4 thin films and their magnetic properties</t>
  </si>
  <si>
    <t>{'openalex': 'https://openalex.org/W3037325640', 'doi': 'https://doi.org/10.1016/j.tsf.2020.138206', 'mag': '3037325640'}</t>
  </si>
  <si>
    <t>{'value': 0.52737152, 'is_in_top_1_percent': False, 'is_in_top_10_percent': False}</t>
  </si>
  <si>
    <t>{'volume': '709', 'issue': None, 'first_page': '138206', 'last_page': '138206'}</t>
  </si>
  <si>
    <t>[{'year': 2025, 'cited_by_count': 1}, {'year': 2023, 'cited_by_count': 2}, {'year': 2022, 'cited_by_count': 2}, {'year': 2021, 'cited_by_count': 1}]</t>
  </si>
  <si>
    <t>https://openalex.org/W4297541280</t>
  </si>
  <si>
    <t>https://doi.org/10.1063/5.0106934</t>
  </si>
  <si>
    <t>Lead free 0.9Na1/2Bi1/2TiO3â€“0.1BaZr0.2Ti0.8O3 thin film with large piezoelectric electrostrain</t>
  </si>
  <si>
    <t>{'openalex': 'https://openalex.org/W4297541280', 'doi': 'https://doi.org/10.1063/5.0106934'}</t>
  </si>
  <si>
    <t>{'value': 0.49772499, 'is_in_top_1_percent': False, 'is_in_top_10_percent': False}</t>
  </si>
  <si>
    <t>{'volume': '121', 'issue': '13', 'first_page': None, 'last_page': None}</t>
  </si>
  <si>
    <t>[{'year': 2026, 'cited_by_count': 1}, {'year': 2025, 'cited_by_count': 1}, {'year': 2024, 'cited_by_count': 3}, {'year': 2023, 'cited_by_count': 1}]</t>
  </si>
  <si>
    <t>https://openalex.org/W3196110724</t>
  </si>
  <si>
    <t>https://doi.org/10.1098/rsos.210141</t>
  </si>
  <si>
    <t>Contact transfer of engineered nanomaterials in the workplace</t>
  </si>
  <si>
    <t>{'openalex': 'https://openalex.org/W3196110724', 'doi': 'https://doi.org/10.1098/rsos.210141', 'mag': '3196110724', 'pmid': 'https://pubmed.ncbi.nlm.nih.gov/34457334'}</t>
  </si>
  <si>
    <t>{'value': 0.56404223, 'is_in_top_1_percent': False, 'is_in_top_10_percent': False}</t>
  </si>
  <si>
    <t>{'min': 89, 'max': 97}</t>
  </si>
  <si>
    <t>{'volume': '8', 'issue': '8', 'first_page': '210141', 'last_page': '210141'}</t>
  </si>
  <si>
    <t>[{'year': 2024, 'cited_by_count': 2}, {'year': 2023, 'cited_by_count': 3}, {'year': 2021, 'cited_by_count': 1}]</t>
  </si>
  <si>
    <t>https://openalex.org/W4210934583</t>
  </si>
  <si>
    <t>https://doi.org/10.1039/d1ma00847a</t>
  </si>
  <si>
    <t>Self-assembly of PBTTTâ€“C&lt;sub&gt;14&lt;/sub&gt; thin films in supercritical fluids</t>
  </si>
  <si>
    <t>{'openalex': 'https://openalex.org/W4210934583', 'doi': 'https://doi.org/10.1039/d1ma00847a'}</t>
  </si>
  <si>
    <t>{'value': 0.58930823, 'is_in_top_1_percent': False, 'is_in_top_10_percent': False}</t>
  </si>
  <si>
    <t>{'volume': '3', 'issue': '5', 'first_page': '2515', 'last_page': '2523'}</t>
  </si>
  <si>
    <t>[{'year': 2025, 'cited_by_count': 3}, {'year': 2024, 'cited_by_count': 1}, {'year': 2023, 'cited_by_count': 1}]</t>
  </si>
  <si>
    <t>https://openalex.org/W4386214571</t>
  </si>
  <si>
    <t>https://doi.org/10.1109/fleps57599.2023.10220223</t>
  </si>
  <si>
    <t>A 3D Printed Wearable Electromyography Wristband</t>
  </si>
  <si>
    <t>{'openalex': 'https://openalex.org/W4386214571', 'doi': 'https://doi.org/10.1109/fleps57599.2023.10220223'}</t>
  </si>
  <si>
    <t>{'value': 0.47881622, 'is_in_top_1_percent': False, 'is_in_top_10_percent': False}</t>
  </si>
  <si>
    <t>{'min': 90, 'max': 95}</t>
  </si>
  <si>
    <t>{'volume': None, 'issue': None, 'first_page': '1', 'last_page': '4'}</t>
  </si>
  <si>
    <t>[{'year': 2025, 'cited_by_count': 1}, {'year': 2024, 'cited_by_count': 1}]</t>
  </si>
  <si>
    <t>https://openalex.org/W4404316322</t>
  </si>
  <si>
    <t>https://doi.org/10.1115/detc2024-142944</t>
  </si>
  <si>
    <t>Low-Cost Melt Pool Temperature Prediction Using Visible Light Camera and Machine Learning in Laser Hot-Wire Directed Energy Deposition</t>
  </si>
  <si>
    <t>{'openalex': 'https://openalex.org/W4404316322', 'doi': 'https://doi.org/10.1115/detc2024-142944'}</t>
  </si>
  <si>
    <t>{'value': 0.60384992, 'is_in_top_1_percent': False, 'is_in_top_10_percent': False}</t>
  </si>
  <si>
    <t>{'min': 91, 'max': 99}</t>
  </si>
  <si>
    <t>{'volume': None, 'issue': None, 'first_page': None, 'last_page': None}</t>
  </si>
  <si>
    <t>[{'display_name': 'Affordable and clean energy', 'score': 0.8399999737739563, 'id': 'https://metadata.un.org/sdg/7'}]</t>
  </si>
  <si>
    <t>[{'year': 2026, 'cited_by_count': 1}, {'year': 2025, 'cited_by_count': 1}]</t>
  </si>
  <si>
    <t>https://openalex.org/W4289731380</t>
  </si>
  <si>
    <t>https://doi.org/10.1115/1.4055149</t>
  </si>
  <si>
    <t>Iterative Uncertainty Calibration for Modeling Metal Additive Manufacturing Processes Using Statistical Moment-Based Metric</t>
  </si>
  <si>
    <t>{'openalex': 'https://openalex.org/W4289731380', 'doi': 'https://doi.org/10.1115/1.4055149'}</t>
  </si>
  <si>
    <t>{'value': 0.74586835, 'is_in_top_1_percent': False, 'is_in_top_10_percent': False}</t>
  </si>
  <si>
    <t>{'volume': '145', 'issue': '1', 'first_page': None, 'last_page': None}</t>
  </si>
  <si>
    <t>[{'year': 2026, 'cited_by_count': 2}, {'year': 2025, 'cited_by_count': 1}, {'year': 2024, 'cited_by_count': 1}, {'year': 2023, 'cited_by_count': 2}]</t>
  </si>
  <si>
    <t>https://openalex.org/W4400528642</t>
  </si>
  <si>
    <t>https://doi.org/10.1021/acsami.4c01045</t>
  </si>
  <si>
    <t>Electrostatic Correlations Lead to High Capacitance in Zwitterion-Containing Thin Films</t>
  </si>
  <si>
    <t>{'openalex': 'https://openalex.org/W4400528642', 'doi': 'https://doi.org/10.1021/acsami.4c01045', 'pmid': 'https://pubmed.ncbi.nlm.nih.gov/38990772'}</t>
  </si>
  <si>
    <t>{'value': 0.47464376, 'is_in_top_1_percent': False, 'is_in_top_10_percent': False}</t>
  </si>
  <si>
    <t>{'min': 96, 'max': 97}</t>
  </si>
  <si>
    <t>{'volume': '16', 'issue': '29', 'first_page': '38290', 'last_page': '38299'}</t>
  </si>
  <si>
    <t>[{'display_name': 'Affordable and clean energy', 'score': 0.5699999928474426, 'id': 'https://metadata.un.org/sdg/7'}]</t>
  </si>
  <si>
    <t>[{'year': 2025, 'cited_by_count': 3}]</t>
  </si>
  <si>
    <t>https://openalex.org/W4387975938</t>
  </si>
  <si>
    <t>https://doi.org/10.1063/5.0175532</t>
  </si>
  <si>
    <t>Depth-resolved measurement of the Meissner screening profile in a niobium thin film from spin-lattice relaxation of the implanted &lt;i&gt;Î²&lt;/i&gt;-emitter 8Li</t>
  </si>
  <si>
    <t>{'openalex': 'https://openalex.org/W4387975938', 'doi': 'https://doi.org/10.1063/5.0175532'}</t>
  </si>
  <si>
    <t>{'value': 0.87238549, 'is_in_top_1_percent': False, 'is_in_top_10_percent': False}</t>
  </si>
  <si>
    <t>{'volume': '134', 'issue': '16', 'first_page': None, 'last_page': None}</t>
  </si>
  <si>
    <t>[{'year': 2026, 'cited_by_count': 1}, {'year': 2025, 'cited_by_count': 1}, {'year': 2024, 'cited_by_count': 4}]</t>
  </si>
  <si>
    <t>https://openalex.org/W4385251277</t>
  </si>
  <si>
    <t>https://doi.org/10.1103/physrevlett.131.049701</t>
  </si>
  <si>
    <t>Comment on â€œAnisotropic Scattering Caused by Apical Oxygen Vacancies in Thin Films of Overdoped High-Temperature Cuprate Superconductorsâ€</t>
  </si>
  <si>
    <t>{'openalex': 'https://openalex.org/W4385251277', 'doi': 'https://doi.org/10.1103/physrevlett.131.049701', 'pmid': 'https://pubmed.ncbi.nlm.nih.gov/37566842'}</t>
  </si>
  <si>
    <t>{'value': 0.68151869, 'is_in_top_1_percent': False, 'is_in_top_10_percent': False}</t>
  </si>
  <si>
    <t>{'min': 90, 'max': 96}</t>
  </si>
  <si>
    <t>{'volume': '131', 'issue': '4', 'first_page': '049701', 'last_page': '049701'}</t>
  </si>
  <si>
    <t>[{'year': 2025, 'cited_by_count': 1}, {'year': 2024, 'cited_by_count': 1}, {'year': 2023, 'cited_by_count': 2}]</t>
  </si>
  <si>
    <t>https://openalex.org/W4400601698</t>
  </si>
  <si>
    <t>https://doi.org/10.1016/j.enconman.2024.118780</t>
  </si>
  <si>
    <t>Stationary thin film microgroove-based sorber reactor for sorption heat transformers: Surface modification, sorption dynamics, and crystallization</t>
  </si>
  <si>
    <t>{'openalex': 'https://openalex.org/W4400601698', 'doi': 'https://doi.org/10.1016/j.enconman.2024.118780'}</t>
  </si>
  <si>
    <t>{'value': 0.64717391, 'is_in_top_1_percent': False, 'is_in_top_10_percent': False}</t>
  </si>
  <si>
    <t>{'volume': '315', 'issue': None, 'first_page': '118780', 'last_page': '118780'}</t>
  </si>
  <si>
    <t>[{'year': 2025, 'cited_by_count': 2}, {'year': 2024, 'cited_by_count': 1}]</t>
  </si>
  <si>
    <t>https://openalex.org/W4313892843</t>
  </si>
  <si>
    <t>https://doi.org/10.1016/j.jasrep.2022.103800</t>
  </si>
  <si>
    <t>Raw material characterization and lithic provenance from Shishan Marsh 1, a Middle Pleistocene site in the central Azraq Basin, Jordan</t>
  </si>
  <si>
    <t>{'openalex': 'https://openalex.org/W4313892843', 'doi': 'https://doi.org/10.1016/j.jasrep.2022.103800'}</t>
  </si>
  <si>
    <t>{'value': 0.97888676, 'is_in_top_1_percent': False, 'is_in_top_10_percent': True}</t>
  </si>
  <si>
    <t>{'min': 91, 'max': 97}</t>
  </si>
  <si>
    <t>{'volume': '47', 'issue': None, 'first_page': '103800', 'last_page': '103800'}</t>
  </si>
  <si>
    <t>[{'display_name': 'Life below water', 'score': 0.550000011920929, 'id': 'https://metadata.un.org/sdg/14'}]</t>
  </si>
  <si>
    <t>[{'year': 2025, 'cited_by_count': 1}, {'year': 2024, 'cited_by_count': 3}, {'year': 2023, 'cited_by_count': 2}]</t>
  </si>
  <si>
    <t>https://openalex.org/W4396993971</t>
  </si>
  <si>
    <t>https://doi.org/10.1007/s10924-024-03300-x</t>
  </si>
  <si>
    <t>Enhanced Nanofiltration Performance of the PVC/PVA Thin Film Membranes for Treatment of Petroleum Refinery Wastewater through Incorporation of Amino-functionalized SBA-15 Nanoparticles</t>
  </si>
  <si>
    <t>{'openalex': 'https://openalex.org/W4396993971', 'doi': 'https://doi.org/10.1007/s10924-024-03300-x'}</t>
  </si>
  <si>
    <t>{'value': 0.65459379, 'is_in_top_1_percent': False, 'is_in_top_10_percent': False}</t>
  </si>
  <si>
    <t>{'volume': '32', 'issue': '10', 'first_page': '5195', 'last_page': '5211'}</t>
  </si>
  <si>
    <t>[{'display_name': 'Clean water and sanitation', 'score': 0.8700000047683716, 'id': 'https://metadata.un.org/sdg/6'}]</t>
  </si>
  <si>
    <t>https://openalex.org/W4387698028</t>
  </si>
  <si>
    <t>https://doi.org/10.1088/1361-6528/ad0410</t>
  </si>
  <si>
    <t>Editorial: Focus on green nanomaterials for a sustainable internet of things</t>
  </si>
  <si>
    <t>{'openalex': 'https://openalex.org/W4387698028', 'doi': 'https://doi.org/10.1088/1361-6528/ad0410', 'pmid': 'https://pubmed.ncbi.nlm.nih.gov/37848022'}</t>
  </si>
  <si>
    <t>editorial</t>
  </si>
  <si>
    <t>{'value': 0.43692553, 'is_in_top_1_percent': False, 'is_in_top_10_percent': False}</t>
  </si>
  <si>
    <t>{'volume': '35', 'issue': '4', 'first_page': '040201', 'last_page': '040201'}</t>
  </si>
  <si>
    <t>[{'display_name': 'Responsible consumption and production', 'score': 0.4399999976158142, 'id': 'https://metadata.un.org/sdg/12'}]</t>
  </si>
  <si>
    <t>https://openalex.org/W3122655795</t>
  </si>
  <si>
    <t>https://doi.org/10.1039/d0nr08652e</t>
  </si>
  <si>
    <t>Elucidating the role of precursors in synthesizing single crystalline lithium niobate nanomaterials: a study of effects of lithium precursors on nanoparticle quality</t>
  </si>
  <si>
    <t>{'openalex': 'https://openalex.org/W3122655795', 'doi': 'https://doi.org/10.1039/d0nr08652e', 'mag': '3122655795', 'pmid': 'https://pubmed.ncbi.nlm.nih.gov/33528486'}</t>
  </si>
  <si>
    <t>{'value': 0.69455353, 'is_in_top_1_percent': False, 'is_in_top_10_percent': False}</t>
  </si>
  <si>
    <t>{'volume': '13', 'issue': '5', 'first_page': '3214', 'last_page': '3226'}</t>
  </si>
  <si>
    <t>[{'year': 2025, 'cited_by_count': 2}, {'year': 2024, 'cited_by_count': 1}, {'year': 2023, 'cited_by_count': 3}, {'year': 2022, 'cited_by_count': 1}]</t>
  </si>
  <si>
    <t>https://openalex.org/W4389118116</t>
  </si>
  <si>
    <t>https://doi.org/10.1021/acs.chas.3c00072</t>
  </si>
  <si>
    <t>Signage to Indicate the Presence of Engineered Nanomaterials in the Workplace: Lessons from a Trial Study That Led to Implementation in a Worksite</t>
  </si>
  <si>
    <t>{'openalex': 'https://openalex.org/W4389118116', 'doi': 'https://doi.org/10.1021/acs.chas.3c00072'}</t>
  </si>
  <si>
    <t>{'value': 0.8986711, 'is_in_top_1_percent': False, 'is_in_top_10_percent': False}</t>
  </si>
  <si>
    <t>{'volume': '31', 'issue': '1', 'first_page': '77', 'last_page': '84'}</t>
  </si>
  <si>
    <t>https://openalex.org/W3080210839</t>
  </si>
  <si>
    <t>https://doi.org/10.1126/sciadv.aba5847</t>
  </si>
  <si>
    <t>Phase transition enhanced superior elasticity in freestanding single-crystalline multiferroic BiFeO &lt;sub&gt;3&lt;/sub&gt; membranes</t>
  </si>
  <si>
    <t>{'openalex': 'https://openalex.org/W3080210839', 'doi': 'https://doi.org/10.1126/sciadv.aba5847', 'mag': '3080210839', 'pmid': 'https://pubmed.ncbi.nlm.nih.gov/32937363'}</t>
  </si>
  <si>
    <t>{'value': 0.9578073, 'is_in_top_1_percent': False, 'is_in_top_10_percent': True}</t>
  </si>
  <si>
    <t>{'min': 99, 'max': 100}</t>
  </si>
  <si>
    <t>{'volume': '6', 'issue': '34', 'first_page': None, 'last_page': None}</t>
  </si>
  <si>
    <t>[{'year': 2026, 'cited_by_count': 4}, {'year': 2025, 'cited_by_count': 24}, {'year': 2024, 'cited_by_count': 29}, {'year': 2023, 'cited_by_count': 23}, {'year': 2022, 'cited_by_count': 31}, {'year': 2021, 'cited_by_count': 12}]</t>
  </si>
  <si>
    <t>https://openalex.org/W3128206428</t>
  </si>
  <si>
    <t>https://doi.org/10.1038/s41467-021-21219-y</t>
  </si>
  <si>
    <t>Functional and versatile superhydrophobic coatings via stoichiometric silanization</t>
  </si>
  <si>
    <t>{'openalex': 'https://openalex.org/W3128206428', 'doi': 'https://doi.org/10.1038/s41467-021-21219-y', 'mag': '3128206428', 'pmid': 'https://pubmed.ncbi.nlm.nih.gov/33579959'}</t>
  </si>
  <si>
    <t>{'value': 0.99853177, 'is_in_top_1_percent': True, 'is_in_top_10_percent': True}</t>
  </si>
  <si>
    <t>{'volume': '12', 'issue': '1', 'first_page': '982', 'last_page': '982'}</t>
  </si>
  <si>
    <t>[{'display_name': 'Industry, innovation and infrastructure', 'score': 0.46000000834465027, 'id': 'https://metadata.un.org/sdg/9'}]</t>
  </si>
  <si>
    <t>[{'year': 2026, 'cited_by_count': 7}, {'year': 2025, 'cited_by_count': 65}, {'year': 2024, 'cited_by_count': 76}, {'year': 2023, 'cited_by_count': 69}, {'year': 2022, 'cited_by_count': 61}, {'year': 2021, 'cited_by_count': 16}]</t>
  </si>
  <si>
    <t>https://openalex.org/W3012602986</t>
  </si>
  <si>
    <t>https://doi.org/10.1021/acsami.0c00724</t>
  </si>
  <si>
    <t>Physical Supercritical Fluid Deposition: Patterning Solution Processable Materials on Curved and Flexible Surfaces</t>
  </si>
  <si>
    <t>{'openalex': 'https://openalex.org/W3012602986', 'doi': 'https://doi.org/10.1021/acsami.0c00724', 'mag': '3012602986', 'pmid': 'https://pubmed.ncbi.nlm.nih.gov/32207971'}</t>
  </si>
  <si>
    <t>{'value': 0.66753916, 'is_in_top_1_percent': False, 'is_in_top_10_percent': False}</t>
  </si>
  <si>
    <t>{'volume': '12', 'issue': '15', 'first_page': '17949', 'last_page': '17956'}</t>
  </si>
  <si>
    <t>[{'year': 2025, 'cited_by_count': 1}, {'year': 2023, 'cited_by_count': 2}, {'year': 2022, 'cited_by_count': 1}, {'year': 2021, 'cited_by_count': 2}, {'year': 2020, 'cited_by_count': 1}]</t>
  </si>
  <si>
    <t>https://openalex.org/W3012873558</t>
  </si>
  <si>
    <t>https://doi.org/10.1016/j.carbon.2020.03.038</t>
  </si>
  <si>
    <t>Characterizing fracture stress of defective graphene samples using shallow and deep artificial neural networks</t>
  </si>
  <si>
    <t>{'openalex': 'https://openalex.org/W3012873558', 'doi': 'https://doi.org/10.1016/j.carbon.2020.03.038', 'mag': '3012873558'}</t>
  </si>
  <si>
    <t>{'value': 0.8827804, 'is_in_top_1_percent': False, 'is_in_top_10_percent': False}</t>
  </si>
  <si>
    <t>{'volume': '163', 'issue': None, 'first_page': '425', 'last_page': '440'}</t>
  </si>
  <si>
    <t>[{'year': 2026, 'cited_by_count': 2}, {'year': 2025, 'cited_by_count': 7}, {'year': 2024, 'cited_by_count': 6}, {'year': 2023, 'cited_by_count': 6}, {'year': 2022, 'cited_by_count': 12}, {'year': 2021, 'cited_by_count': 6}, {'year': 2020, 'cited_by_count': 4}]</t>
  </si>
  <si>
    <t>https://openalex.org/W4310784694</t>
  </si>
  <si>
    <t>https://doi.org/10.1038/s41378-022-00465-0</t>
  </si>
  <si>
    <t>3D designed battery-free wireless origami pressure sensor</t>
  </si>
  <si>
    <t>{'openalex': 'https://openalex.org/W4310784694', 'doi': 'https://doi.org/10.1038/s41378-022-00465-0', 'pmid': 'https://pubmed.ncbi.nlm.nih.gov/36465158'}</t>
  </si>
  <si>
    <t>{'value': 0.90700127, 'is_in_top_1_percent': False, 'is_in_top_10_percent': True}</t>
  </si>
  <si>
    <t>{'volume': '8', 'issue': '1', 'first_page': '120', 'last_page': '120'}</t>
  </si>
  <si>
    <t>[{'display_name': 'Affordable and clean energy', 'score': 0.4399999976158142, 'id': 'https://metadata.un.org/sdg/7'}]</t>
  </si>
  <si>
    <t>[{'year': 2026, 'cited_by_count': 1}, {'year': 2025, 'cited_by_count': 19}, {'year': 2024, 'cited_by_count': 11}, {'year': 2023, 'cited_by_count': 4}]</t>
  </si>
  <si>
    <t>https://openalex.org/W3139159936</t>
  </si>
  <si>
    <t>https://doi.org/10.1016/j.ijhydene.2021.02.077</t>
  </si>
  <si>
    <t>Optimizing electrochemical performance of sonochemically and hydrothermally synthesized cobalt phosphate for supercapattery devices</t>
  </si>
  <si>
    <t>{'openalex': 'https://openalex.org/W3139159936', 'doi': 'https://doi.org/10.1016/j.ijhydene.2021.02.077', 'mag': '3139159936'}</t>
  </si>
  <si>
    <t>{'value': 0.93041065, 'is_in_top_1_percent': False, 'is_in_top_10_percent': True}</t>
  </si>
  <si>
    <t>{'volume': '46', 'issue': '29', 'first_page': '15807', 'last_page': '15819'}</t>
  </si>
  <si>
    <t>[{'id': 'https://metadata.un.org/sdg/7', 'score': 0.8799999952316284, 'display_name': 'Affordable and clean energy'}]</t>
  </si>
  <si>
    <t>[{'year': 2026, 'cited_by_count': 1}, {'year': 2025, 'cited_by_count': 11}, {'year': 2024, 'cited_by_count': 12}, {'year': 2023, 'cited_by_count': 22}, {'year': 2022, 'cited_by_count': 6}, {'year': 2021, 'cited_by_count': 10}]</t>
  </si>
  <si>
    <t>https://openalex.org/W3025990082</t>
  </si>
  <si>
    <t>https://doi.org/10.1016/j.matdes.2020.108797</t>
  </si>
  <si>
    <t>Perspective on 3D-designed micro-supercapacitors</t>
  </si>
  <si>
    <t>{'openalex': 'https://openalex.org/W3025990082', 'doi': 'https://doi.org/10.1016/j.matdes.2020.108797', 'mag': '3025990082'}</t>
  </si>
  <si>
    <t>{'value': 0.90351716, 'is_in_top_1_percent': False, 'is_in_top_10_percent': True}</t>
  </si>
  <si>
    <t>{'volume': '193', 'issue': None, 'first_page': '108797', 'last_page': '108797'}</t>
  </si>
  <si>
    <t>[{'id': 'https://metadata.un.org/sdg/7', 'score': 0.8700000047683716, 'display_name': 'Affordable and clean energy'}]</t>
  </si>
  <si>
    <t>[{'year': 2026, 'cited_by_count': 1}, {'year': 2025, 'cited_by_count': 8}, {'year': 2024, 'cited_by_count': 8}, {'year': 2023, 'cited_by_count': 15}, {'year': 2022, 'cited_by_count': 10}, {'year': 2021, 'cited_by_count': 10}, {'year': 2020, 'cited_by_count': 4}]</t>
  </si>
  <si>
    <t>https://openalex.org/W4392615837</t>
  </si>
  <si>
    <t>https://doi.org/10.1021/acs.analchem.3c05190</t>
  </si>
  <si>
    <t>3D Printing Technology: Role in Safeguarding Food Security</t>
  </si>
  <si>
    <t>{'openalex': 'https://openalex.org/W4392615837', 'doi': 'https://doi.org/10.1021/acs.analchem.3c05190', 'pmid': 'https://pubmed.ncbi.nlm.nih.gov/38459927'}</t>
  </si>
  <si>
    <t>{'value': 0.97951699, 'is_in_top_1_percent': False, 'is_in_top_10_percent': True}</t>
  </si>
  <si>
    <t>{'volume': '96', 'issue': '11', 'first_page': '4333', 'last_page': '4342'}</t>
  </si>
  <si>
    <t>[{'id': 'https://metadata.un.org/sdg/2', 'score': 0.5199999809265137, 'display_name': 'Zero hunger'}]</t>
  </si>
  <si>
    <t>[{'year': 2026, 'cited_by_count': 4}, {'year': 2025, 'cited_by_count': 25}, {'year': 2024, 'cited_by_count': 5}]</t>
  </si>
  <si>
    <t>https://openalex.org/W4386211272</t>
  </si>
  <si>
    <t>https://doi.org/10.1109/fleps57599.2023.10220417</t>
  </si>
  <si>
    <t>A 3D Printed Architecture Sensor for Structural Health Monitoring</t>
  </si>
  <si>
    <t>{'openalex': 'https://openalex.org/W4386211272', 'doi': 'https://doi.org/10.1109/fleps57599.2023.10220417'}</t>
  </si>
  <si>
    <t>{'value': 0.10846288, 'is_in_top_1_percent': False, 'is_in_top_10_percent': False}</t>
  </si>
  <si>
    <t>https://openalex.org/W3107931019</t>
  </si>
  <si>
    <t>https://doi.org/10.1016/j.est.2020.102020</t>
  </si>
  <si>
    <t>Binary composites of nickel-manganese phosphates for supercapattery devices</t>
  </si>
  <si>
    <t>{'openalex': 'https://openalex.org/W3107931019', 'doi': 'https://doi.org/10.1016/j.est.2020.102020', 'mag': '3107931019'}</t>
  </si>
  <si>
    <t>{'value': 0.89151861, 'is_in_top_1_percent': False, 'is_in_top_10_percent': False}</t>
  </si>
  <si>
    <t>{'volume': '33', 'issue': None, 'first_page': '102020', 'last_page': '102020'}</t>
  </si>
  <si>
    <t>[{'id': 'https://metadata.un.org/sdg/7', 'score': 0.8199999928474426, 'display_name': 'Affordable and clean energy'}]</t>
  </si>
  <si>
    <t>[{'year': 2025, 'cited_by_count': 8}, {'year': 2024, 'cited_by_count': 12}, {'year': 2023, 'cited_by_count': 19}, {'year': 2022, 'cited_by_count': 10}, {'year': 2021, 'cited_by_count': 5}, {'year': 2020, 'cited_by_count': 1}]</t>
  </si>
  <si>
    <t>https://openalex.org/W4404633749</t>
  </si>
  <si>
    <t>https://doi.org/10.1016/b978-0-323-95478-5.00044-3</t>
  </si>
  <si>
    <t>Microfabrication Techniques for Creating Cell Culture Substrates</t>
  </si>
  <si>
    <t>{'openalex': 'https://openalex.org/W4404633749', 'doi': 'https://doi.org/10.1016/b978-0-323-95478-5.00044-3'}</t>
  </si>
  <si>
    <t>book-chapter</t>
  </si>
  <si>
    <t>{'value': 0.54979686, 'is_in_top_1_percent': False, 'is_in_top_10_percent': False}</t>
  </si>
  <si>
    <t>{'volume': None, 'issue': None, 'first_page': '243', 'last_page': '250'}</t>
  </si>
  <si>
    <t>[{'id': 'https://metadata.un.org/sdg/2', 'score': 0.44999998807907104, 'display_name': 'Zero hunger'}]</t>
  </si>
  <si>
    <t>https://openalex.org/W4394770414</t>
  </si>
  <si>
    <t>https://doi.org/10.1016/j.tips.2024.03.004</t>
  </si>
  <si>
    <t>Direct in vivo CAR T cell engineering</t>
  </si>
  <si>
    <t>{'openalex': 'https://openalex.org/W4394770414', 'doi': 'https://doi.org/10.1016/j.tips.2024.03.004', 'pmid': 'https://pubmed.ncbi.nlm.nih.gov/38614815'}</t>
  </si>
  <si>
    <t>{'value': 0.99619071, 'is_in_top_1_percent': True, 'is_in_top_10_percent': True}</t>
  </si>
  <si>
    <t>{'volume': '45', 'issue': '5', 'first_page': '406', 'last_page': '418'}</t>
  </si>
  <si>
    <t>[{'id': 'https://metadata.un.org/sdg/3', 'score': 0.6100000143051147, 'display_name': 'Good health and well-being'}]</t>
  </si>
  <si>
    <t>[{'year': 2026, 'cited_by_count': 5}, {'year': 2025, 'cited_by_count': 49}, {'year': 2024, 'cited_by_count': 14}]</t>
  </si>
  <si>
    <t>https://openalex.org/W3102311455</t>
  </si>
  <si>
    <t>https://doi.org/10.1039/d0dt03313h</t>
  </si>
  <si>
    <t>Cobaltâ€“manganese-zinc ternary phosphate for high performance supercapattery devices</t>
  </si>
  <si>
    <t>{'openalex': 'https://openalex.org/W3102311455', 'doi': 'https://doi.org/10.1039/d0dt03313h', 'mag': '3102311455', 'pmid': 'https://pubmed.ncbi.nlm.nih.gov/33185641'}</t>
  </si>
  <si>
    <t>{'value': 0.86617002, 'is_in_top_1_percent': False, 'is_in_top_10_percent': False}</t>
  </si>
  <si>
    <t>{'volume': '49', 'issue': '46', 'first_page': '16715', 'last_page': '16727'}</t>
  </si>
  <si>
    <t>[{'year': 2026, 'cited_by_count': 1}, {'year': 2025, 'cited_by_count': 8}, {'year': 2024, 'cited_by_count': 19}, {'year': 2023, 'cited_by_count': 16}, {'year': 2022, 'cited_by_count': 3}, {'year': 2021, 'cited_by_count': 10}, {'year': 2020, 'cited_by_count': 1}]</t>
  </si>
  <si>
    <t>https://openalex.org/W4283015959</t>
  </si>
  <si>
    <t>https://doi.org/10.1016/j.cossms.2022.101016</t>
  </si>
  <si>
    <t>Recent progress in bismuth-based high Curie temperature piezo-/ferroelectric perovskites for electromechanical transduction applications</t>
  </si>
  <si>
    <t>{'openalex': 'https://openalex.org/W4283015959', 'doi': 'https://doi.org/10.1016/j.cossms.2022.101016'}</t>
  </si>
  <si>
    <t>{'value': 0.9703689, 'is_in_top_1_percent': False, 'is_in_top_10_percent': True}</t>
  </si>
  <si>
    <t>{'volume': '26', 'issue': '5', 'first_page': '101016', 'last_page': '101016'}</t>
  </si>
  <si>
    <t>[{'id': 'https://metadata.un.org/sdg/9', 'score': 0.4699999988079071, 'display_name': 'Industry, innovation and infrastructure'}]</t>
  </si>
  <si>
    <t>[{'year': 2026, 'cited_by_count': 3}, {'year': 2025, 'cited_by_count': 24}, {'year': 2024, 'cited_by_count': 25}, {'year': 2023, 'cited_by_count': 17}, {'year': 2022, 'cited_by_count': 4}]</t>
  </si>
  <si>
    <t>https://openalex.org/W4307815345</t>
  </si>
  <si>
    <t>https://doi.org/10.1016/j.ijhydene.2022.10.080</t>
  </si>
  <si>
    <t>The mechanism and sorption kinetic analysis of hydrogen storage at room temperature using acid functionalized carbon nanotubes</t>
  </si>
  <si>
    <t>{'openalex': 'https://openalex.org/W4307815345', 'doi': 'https://doi.org/10.1016/j.ijhydene.2022.10.080'}</t>
  </si>
  <si>
    <t>{'value': 0.96913033, 'is_in_top_1_percent': False, 'is_in_top_10_percent': True}</t>
  </si>
  <si>
    <t>{'volume': '48', 'issue': '5', 'first_page': '1930', 'last_page': '1942'}</t>
  </si>
  <si>
    <t>[{'year': 2026, 'cited_by_count': 1}, {'year': 2025, 'cited_by_count': 26}, {'year': 2024, 'cited_by_count': 27}, {'year': 2023, 'cited_by_count': 14}, {'year': 2022, 'cited_by_count': 1}]</t>
  </si>
  <si>
    <t>https://openalex.org/W4398151864</t>
  </si>
  <si>
    <t>https://doi.org/10.2139/ssrn.4834657</t>
  </si>
  <si>
    <t>The Total Heat Transfer Rate in the Evaporating Thin Film: A New Analytical Solution</t>
  </si>
  <si>
    <t>{'openalex': 'https://openalex.org/W4398151864', 'doi': 'https://doi.org/10.2139/ssrn.4834657'}</t>
  </si>
  <si>
    <t>[{'id': 'https://metadata.un.org/sdg/6', 'score': 0.5600000023841858, 'display_name': 'Clean water and sanitation'}]</t>
  </si>
  <si>
    <t>https://openalex.org/W3102363701</t>
  </si>
  <si>
    <t>https://doi.org/10.1149/1945-7111/abc99e</t>
  </si>
  <si>
    <t>3D Printable Vapochromic Sensing Materials</t>
  </si>
  <si>
    <t>{'openalex': 'https://openalex.org/W3102363701', 'doi': 'https://doi.org/10.1149/1945-7111/abc99e', 'mag': '3102363701'}</t>
  </si>
  <si>
    <t>{'value': 0.65919981, 'is_in_top_1_percent': False, 'is_in_top_10_percent': False}</t>
  </si>
  <si>
    <t>{'min': 89, 'max': 98}</t>
  </si>
  <si>
    <t>{'volume': '167', 'issue': '16', 'first_page': '167503', 'last_page': '167503'}</t>
  </si>
  <si>
    <t>[{'id': 'https://metadata.un.org/sdg/12', 'score': 0.4300000071525574, 'display_name': 'Responsible consumption and production'}]</t>
  </si>
  <si>
    <t>[{'year': 2025, 'cited_by_count': 1}, {'year': 2024, 'cited_by_count': 1}, {'year': 2023, 'cited_by_count': 1}, {'year': 2022, 'cited_by_count': 2}, {'year': 2021, 'cited_by_count': 6}]</t>
  </si>
  <si>
    <t>https://openalex.org/W3005441747</t>
  </si>
  <si>
    <t>https://doi.org/10.1039/c9tc06454k</t>
  </si>
  <si>
    <t>Toward van der Waals epitaxy of transferable ferroelectric barium titanate films &lt;i&gt;via&lt;/i&gt; a graphene monolayer</t>
  </si>
  <si>
    <t>{'openalex': 'https://openalex.org/W3005441747', 'doi': 'https://doi.org/10.1039/c9tc06454k', 'mag': '3005441747'}</t>
  </si>
  <si>
    <t>{'value': 0.61299032, 'is_in_top_1_percent': False, 'is_in_top_10_percent': False}</t>
  </si>
  <si>
    <t>{'volume': '8', 'issue': '10', 'first_page': '3445', 'last_page': '3451'}</t>
  </si>
  <si>
    <t>[{'year': 2024, 'cited_by_count': 6}, {'year': 2023, 'cited_by_count': 1}, {'year': 2022, 'cited_by_count': 4}, {'year': 2021, 'cited_by_count': 2}, {'year': 2020, 'cited_by_count': 1}]</t>
  </si>
  <si>
    <t>https://openalex.org/W3213007642</t>
  </si>
  <si>
    <t>https://doi.org/10.1021/acs.analchem.1c03393</t>
  </si>
  <si>
    <t>Quantitative pH Determination Based on the Dominant Wavelength Analysis of Commercial Test Strips</t>
  </si>
  <si>
    <t>{'openalex': 'https://openalex.org/W3213007642', 'doi': 'https://doi.org/10.1021/acs.analchem.1c03393', 'mag': '3213007642', 'pmid': 'https://pubmed.ncbi.nlm.nih.gov/34762419'}</t>
  </si>
  <si>
    <t>{'value': 0.88957691, 'is_in_top_1_percent': False, 'is_in_top_10_percent': False}</t>
  </si>
  <si>
    <t>{'volume': '93', 'issue': '46', 'first_page': '15452', 'last_page': '15458'}</t>
  </si>
  <si>
    <t>[{'id': 'https://metadata.un.org/sdg/4', 'score': 0.4099999964237213, 'display_name': 'Quality Education'}]</t>
  </si>
  <si>
    <t>[{'year': 2026, 'cited_by_count': 1}, {'year': 2025, 'cited_by_count': 5}, {'year': 2024, 'cited_by_count': 13}, {'year': 2023, 'cited_by_count': 7}, {'year': 2022, 'cited_by_count': 9}]</t>
  </si>
  <si>
    <t>https://openalex.org/W3008544630</t>
  </si>
  <si>
    <t>https://doi.org/10.1039/c9ra09628k</t>
  </si>
  <si>
    <t>Improving the water management in anion-exchange membrane fuel cells &lt;i&gt;via&lt;/i&gt; ultra-thin, directly deposited solid polymer electrolyte</t>
  </si>
  <si>
    <t>{'openalex': 'https://openalex.org/W3008544630', 'doi': 'https://doi.org/10.1039/c9ra09628k', 'mag': '3008544630', 'pmid': 'https://pubmed.ncbi.nlm.nih.gov/35496547'}</t>
  </si>
  <si>
    <t>{'value': 0.92971757, 'is_in_top_1_percent': False, 'is_in_top_10_percent': True}</t>
  </si>
  <si>
    <t>{'volume': '10', 'issue': '15', 'first_page': '8645', 'last_page': '8652'}</t>
  </si>
  <si>
    <t>[{'id': 'https://metadata.un.org/sdg/6', 'score': 0.8399999737739563, 'display_name': 'Clean water and sanitation'}]</t>
  </si>
  <si>
    <t>[{'year': 2026, 'cited_by_count': 1}, {'year': 2025, 'cited_by_count': 6}, {'year': 2024, 'cited_by_count': 6}, {'year': 2023, 'cited_by_count': 5}, {'year': 2022, 'cited_by_count': 14}, {'year': 2021, 'cited_by_count': 8}, {'year': 2020, 'cited_by_count': 6}]</t>
  </si>
  <si>
    <t>https://openalex.org/W3031592234</t>
  </si>
  <si>
    <t>https://doi.org/10.1016/j.clet.2020.100024</t>
  </si>
  <si>
    <t>Thermal performance of heat and water recovery systems: Role of condensing heat exchanger material</t>
  </si>
  <si>
    <t>{'openalex': 'https://openalex.org/W3031592234', 'doi': 'https://doi.org/10.1016/j.clet.2020.100024', 'mag': '3031592234'}</t>
  </si>
  <si>
    <t>{'value': 0.72225628, 'is_in_top_1_percent': False, 'is_in_top_10_percent': False}</t>
  </si>
  <si>
    <t>{'min': 94, 'max': 97}</t>
  </si>
  <si>
    <t>{'volume': '1', 'issue': None, 'first_page': '100024', 'last_page': '100024'}</t>
  </si>
  <si>
    <t>[{'year': 2025, 'cited_by_count': 3}, {'year': 2024, 'cited_by_count': 2}, {'year': 2023, 'cited_by_count': 4}, {'year': 2022, 'cited_by_count': 4}]</t>
  </si>
  <si>
    <t>https://openalex.org/W4367369025</t>
  </si>
  <si>
    <t>https://doi.org/10.1002/adfm.202300973</t>
  </si>
  <si>
    <t>Progress and Perspectives of Lithium Aluminum Germanium Phosphateâ€Based Solid Electrolytes for Lithium Batteries</t>
  </si>
  <si>
    <t>{'openalex': 'https://openalex.org/W4367369025', 'doi': 'https://doi.org/10.1002/adfm.202300973'}</t>
  </si>
  <si>
    <t>{'value': 0.96956529, 'is_in_top_1_percent': False, 'is_in_top_10_percent': True}</t>
  </si>
  <si>
    <t>{'volume': '33', 'issue': '32', 'first_page': None, 'last_page': None}</t>
  </si>
  <si>
    <t>[{'id': 'https://metadata.un.org/sdg/7', 'score': 0.47999998927116394, 'display_name': 'Affordable and clean energy'}]</t>
  </si>
  <si>
    <t>[{'year': 2026, 'cited_by_count': 3}, {'year': 2025, 'cited_by_count': 11}, {'year': 2024, 'cited_by_count': 24}, {'year': 2023, 'cited_by_count': 6}]</t>
  </si>
  <si>
    <t>https://openalex.org/W3163138155</t>
  </si>
  <si>
    <t>https://doi.org/10.1002/adma.202170148</t>
  </si>
  <si>
    <t>Sensing Robots: New Frontiers in 3D Structural Sensing Robots (Adv. Mater. 19/2021)</t>
  </si>
  <si>
    <t>{'openalex': 'https://openalex.org/W3163138155', 'doi': 'https://doi.org/10.1002/adma.202170148', 'mag': '3163138155'}</t>
  </si>
  <si>
    <t>{'value': 0.54978305, 'is_in_top_1_percent': False, 'is_in_top_10_percent': False}</t>
  </si>
  <si>
    <t>{'volume': '33', 'issue': '19', 'first_page': None, 'last_page': None}</t>
  </si>
  <si>
    <t>[{'id': 'https://metadata.un.org/sdg/9', 'score': 0.4099999964237213, 'display_name': 'Industry, innovation and infrastructure'}]</t>
  </si>
  <si>
    <t>[{'year': 2023, 'cited_by_count': 2}, {'year': 2022, 'cited_by_count': 1}]</t>
  </si>
  <si>
    <t>https://openalex.org/W3126003282</t>
  </si>
  <si>
    <t>https://doi.org/10.1016/j.snb.2021.129527</t>
  </si>
  <si>
    <t>A 3D integrated neuromorphic chemical sensing system</t>
  </si>
  <si>
    <t>{'openalex': 'https://openalex.org/W3126003282', 'doi': 'https://doi.org/10.1016/j.snb.2021.129527', 'mag': '3126003282'}</t>
  </si>
  <si>
    <t>{'value': 0.81740379, 'is_in_top_1_percent': False, 'is_in_top_10_percent': False}</t>
  </si>
  <si>
    <t>{'volume': '332', 'issue': None, 'first_page': '129527', 'last_page': '129527'}</t>
  </si>
  <si>
    <t>[{'id': 'https://metadata.un.org/sdg/2', 'score': 0.6600000262260437, 'display_name': 'Zero hunger'}]</t>
  </si>
  <si>
    <t>[{'year': 2026, 'cited_by_count': 1}, {'year': 2025, 'cited_by_count': 5}, {'year': 2024, 'cited_by_count': 3}, {'year': 2023, 'cited_by_count': 5}, {'year': 2022, 'cited_by_count': 6}, {'year': 2021, 'cited_by_count': 1}]</t>
  </si>
  <si>
    <t>https://openalex.org/W3035248350</t>
  </si>
  <si>
    <t>https://doi.org/10.1063/5.0020661</t>
  </si>
  <si>
    <t>The Panopticon device: An integrated Paul-trapâ€“hemispherical mirror system for quantum optics</t>
  </si>
  <si>
    <t>{'openalex': 'https://openalex.org/W3035248350', 'doi': 'https://doi.org/10.1063/5.0020661', 'mag': '3035248350', 'pmid': 'https://pubmed.ncbi.nlm.nih.gov/33261421'}</t>
  </si>
  <si>
    <t>{'value': 0.86742765, 'is_in_top_1_percent': False, 'is_in_top_10_percent': False}</t>
  </si>
  <si>
    <t>{'min': 90, 'max': 98}</t>
  </si>
  <si>
    <t>{'volume': '91', 'issue': '11', 'first_page': '113201', 'last_page': '113201'}</t>
  </si>
  <si>
    <t>[{'year': 2025, 'cited_by_count': 5}, {'year': 2024, 'cited_by_count': 1}, {'year': 2023, 'cited_by_count': 4}, {'year': 2022, 'cited_by_count': 2}, {'year': 2021, 'cited_by_count': 6}]</t>
  </si>
  <si>
    <t>https://openalex.org/W3124879962</t>
  </si>
  <si>
    <t>https://doi.org/10.1002/adma.202002534</t>
  </si>
  <si>
    <t>New Frontiers in 3D Structural Sensing Robots</t>
  </si>
  <si>
    <t>{'openalex': 'https://openalex.org/W3124879962', 'doi': 'https://doi.org/10.1002/adma.202002534', 'mag': '3124879962', 'pmid': 'https://pubmed.ncbi.nlm.nih.gov/33458908'}</t>
  </si>
  <si>
    <t>{'value': 0.93694281, 'is_in_top_1_percent': False, 'is_in_top_10_percent': True}</t>
  </si>
  <si>
    <t>{'volume': '33', 'issue': '19', 'first_page': 'e2002534', 'last_page': 'e2002534'}</t>
  </si>
  <si>
    <t>[{'id': 'https://metadata.un.org/sdg/9', 'score': 0.5199999809265137, 'display_name': 'Industry, innovation and infrastructure'}]</t>
  </si>
  <si>
    <t>[{'year': 2025, 'cited_by_count': 11}, {'year': 2024, 'cited_by_count': 7}, {'year': 2023, 'cited_by_count': 17}, {'year': 2022, 'cited_by_count': 13}, {'year': 2021, 'cited_by_count': 7}]</t>
  </si>
  <si>
    <t>https://openalex.org/W4404540054</t>
  </si>
  <si>
    <t>https://doi.org/10.1063/5.0244878</t>
  </si>
  <si>
    <t>Time-resolved magneto-optical effects in the altermagnet candidate MnTe</t>
  </si>
  <si>
    <t>{'openalex': 'https://openalex.org/W4404540054', 'doi': 'https://doi.org/10.1063/5.0244878'}</t>
  </si>
  <si>
    <t>{'value': 0.98651335, 'is_in_top_1_percent': False, 'is_in_top_10_percent': True}</t>
  </si>
  <si>
    <t>{'volume': '125', 'issue': '21', 'first_page': None, 'last_page': None}</t>
  </si>
  <si>
    <t>[{'id': 'https://metadata.un.org/sdg/7', 'score': 0.6600000262260437, 'display_name': 'Affordable and clean energy'}]</t>
  </si>
  <si>
    <t>[{'year': 2026, 'cited_by_count': 2}, {'year': 2025, 'cited_by_count': 24}]</t>
  </si>
  <si>
    <t>https://openalex.org/W3111297695</t>
  </si>
  <si>
    <t>https://doi.org/10.3389/frobt.2020.573096</t>
  </si>
  <si>
    <t>FMG- and RNN-Based Estimation of Motor Intention of Upper-Limb Motion in Human-Robot Collaboration</t>
  </si>
  <si>
    <t>{'openalex': 'https://openalex.org/W3111297695', 'doi': 'https://doi.org/10.3389/frobt.2020.573096', 'mag': '3111297695', 'pmid': 'https://pubmed.ncbi.nlm.nih.gov/33501334'}</t>
  </si>
  <si>
    <t>{'value': 0.77187896, 'is_in_top_1_percent': False, 'is_in_top_10_percent': False}</t>
  </si>
  <si>
    <t>{'min': 93, 'max': 99}</t>
  </si>
  <si>
    <t>{'volume': '7', 'issue': None, 'first_page': '573096', 'last_page': '573096'}</t>
  </si>
  <si>
    <t>[{'id': 'https://metadata.un.org/sdg/9', 'score': 0.47999998927116394, 'display_name': 'Industry, innovation and infrastructure'}]</t>
  </si>
  <si>
    <t>[{'year': 2026, 'cited_by_count': 1}, {'year': 2025, 'cited_by_count': 6}, {'year': 2024, 'cited_by_count': 7}, {'year': 2023, 'cited_by_count': 9}, {'year': 2022, 'cited_by_count': 3}, {'year': 2021, 'cited_by_count': 2}]</t>
  </si>
  <si>
    <t>https://openalex.org/W4402580282</t>
  </si>
  <si>
    <t>https://doi.org/10.1021/acssensors.4c01717</t>
  </si>
  <si>
    <t>Laser-Induced Graphene for Advanced Sensing: Comprehensive Review of Applications</t>
  </si>
  <si>
    <t>{'openalex': 'https://openalex.org/W4402580282', 'doi': 'https://doi.org/10.1021/acssensors.4c01717', 'pmid': 'https://pubmed.ncbi.nlm.nih.gov/39284075'}</t>
  </si>
  <si>
    <t>{'value': 0.91646192, 'is_in_top_1_percent': False, 'is_in_top_10_percent': True}</t>
  </si>
  <si>
    <t>{'volume': '9', 'issue': '9', 'first_page': '4536', 'last_page': '4554'}</t>
  </si>
  <si>
    <t>[{'id': 'https://metadata.un.org/sdg/9', 'score': 0.4300000071525574, 'display_name': 'Industry, innovation and infrastructure'}]</t>
  </si>
  <si>
    <t>[{'year': 2026, 'cited_by_count': 6}, {'year': 2025, 'cited_by_count': 40}, {'year': 2024, 'cited_by_count': 3}]</t>
  </si>
  <si>
    <t>https://openalex.org/W4404432270</t>
  </si>
  <si>
    <t>https://doi.org/10.1016/j.mser.2024.100876</t>
  </si>
  <si>
    <t>Biocompatible piezoelectric lattice materials with ultrasound-regulated multimodal responses</t>
  </si>
  <si>
    <t>{'openalex': 'https://openalex.org/W4404432270', 'doi': 'https://doi.org/10.1016/j.mser.2024.100876'}</t>
  </si>
  <si>
    <t>{'value': 0.96799123, 'is_in_top_1_percent': False, 'is_in_top_10_percent': True}</t>
  </si>
  <si>
    <t>{'volume': '162', 'issue': None, 'first_page': '100876', 'last_page': '100876'}</t>
  </si>
  <si>
    <t>[{'year': 2026, 'cited_by_count': 4}, {'year': 2025, 'cited_by_count': 27}]</t>
  </si>
  <si>
    <t>https://openalex.org/W3024614237</t>
  </si>
  <si>
    <t>https://doi.org/10.1149/ma2020-01462626mtgabs</t>
  </si>
  <si>
    <t>Gold-Copper Metal Alloys: Crystalline Materials for the CO&lt;sub&gt;2&lt;/sub&gt; Reduction Reaction</t>
  </si>
  <si>
    <t>{'openalex': 'https://openalex.org/W3024614237', 'doi': 'https://doi.org/10.1149/ma2020-01462626mtgabs', 'mag': '3024614237'}</t>
  </si>
  <si>
    <t>{'value': 0.03394662, 'is_in_top_1_percent': False, 'is_in_top_10_percent': False}</t>
  </si>
  <si>
    <t>{'volume': 'MA2020-01', 'issue': '46', 'first_page': '2626', 'last_page': '2626'}</t>
  </si>
  <si>
    <t>https://openalex.org/W3111804214</t>
  </si>
  <si>
    <t>https://doi.org/10.1364/oe.417724</t>
  </si>
  <si>
    <t>Maximum-likelihood parameter estimation in terahertz time-domain spectroscopy</t>
  </si>
  <si>
    <t>{'openalex': 'https://openalex.org/W3111804214', 'doi': 'https://doi.org/10.1364/oe.417724', 'mag': '3111804214', 'pmid': 'https://pubmed.ncbi.nlm.nih.gov/33726037'}</t>
  </si>
  <si>
    <t>{'value': 0.84630038, 'is_in_top_1_percent': False, 'is_in_top_10_percent': False}</t>
  </si>
  <si>
    <t>{'min': 95, 'max': 99}</t>
  </si>
  <si>
    <t>{'volume': '29', 'issue': '4', 'first_page': '4912', 'last_page': '4912'}</t>
  </si>
  <si>
    <t>[{'year': 2026, 'cited_by_count': 1}, {'year': 2025, 'cited_by_count': 4}, {'year': 2024, 'cited_by_count': 8}, {'year': 2023, 'cited_by_count': 3}, {'year': 2022, 'cited_by_count': 4}, {'year': 2021, 'cited_by_count': 3}]</t>
  </si>
  <si>
    <t>https://openalex.org/W4402992068</t>
  </si>
  <si>
    <t>https://doi.org/10.1016/j.jpowsour.2024.235537</t>
  </si>
  <si>
    <t>High protonic resistance of hydrocarbon-based cathodes in PEM fuel cells under low humidity conditions: Origin, implication, and mitigation</t>
  </si>
  <si>
    <t>{'openalex': 'https://openalex.org/W4402992068', 'doi': 'https://doi.org/10.1016/j.jpowsour.2024.235537'}</t>
  </si>
  <si>
    <t>{'value': 0.92868055, 'is_in_top_1_percent': False, 'is_in_top_10_percent': True}</t>
  </si>
  <si>
    <t>{'volume': '624', 'issue': None, 'first_page': '235537', 'last_page': '235537'}</t>
  </si>
  <si>
    <t>[{'score': 0.6000000238418579, 'display_name': 'Climate action', 'id': 'https://metadata.un.org/sdg/13'}]</t>
  </si>
  <si>
    <t>[{'year': 2026, 'cited_by_count': 3}, {'year': 2025, 'cited_by_count': 12}]</t>
  </si>
  <si>
    <t>https://openalex.org/W4294025898</t>
  </si>
  <si>
    <t>https://doi.org/10.1038/s41598-022-19111-w</t>
  </si>
  <si>
    <t>The effect of surface roughness on capillary rise in micro-grooves</t>
  </si>
  <si>
    <t>{'openalex': 'https://openalex.org/W4294025898', 'doi': 'https://doi.org/10.1038/s41598-022-19111-w', 'pmid': 'https://pubmed.ncbi.nlm.nih.gov/36050409'}</t>
  </si>
  <si>
    <t>{'value': 0.90508667, 'is_in_top_1_percent': False, 'is_in_top_10_percent': True}</t>
  </si>
  <si>
    <t>{'volume': '12', 'issue': '1', 'first_page': '14867', 'last_page': '14867'}</t>
  </si>
  <si>
    <t>[{'year': 2026, 'cited_by_count': 4}, {'year': 2025, 'cited_by_count': 14}, {'year': 2024, 'cited_by_count': 15}, {'year': 2023, 'cited_by_count': 5}]</t>
  </si>
  <si>
    <t>https://openalex.org/W3083114603</t>
  </si>
  <si>
    <t>https://doi.org/10.1007/s13204-020-01542-4</t>
  </si>
  <si>
    <t>Scrutinizing the charge storage mechanism in SrO based composites for asymmetric supercapacitors by diffusion-controlled process</t>
  </si>
  <si>
    <t>{'openalex': 'https://openalex.org/W3083114603', 'doi': 'https://doi.org/10.1007/s13204-020-01542-4', 'mag': '3083114603'}</t>
  </si>
  <si>
    <t>{'value': 0.85417147, 'is_in_top_1_percent': False, 'is_in_top_10_percent': False}</t>
  </si>
  <si>
    <t>{'volume': '10', 'issue': '11', 'first_page': '3999', 'last_page': '4011'}</t>
  </si>
  <si>
    <t>[{'score': 0.4099999964237213, 'display_name': 'Industry, innovation and infrastructure', 'id': 'https://metadata.un.org/sdg/9'}]</t>
  </si>
  <si>
    <t>[{'year': 2026, 'cited_by_count': 2}, {'year': 2025, 'cited_by_count': 23}, {'year': 2024, 'cited_by_count': 15}, {'year': 2023, 'cited_by_count': 14}, {'year': 2022, 'cited_by_count': 9}, {'year': 2021, 'cited_by_count': 5}]</t>
  </si>
  <si>
    <t>https://openalex.org/W4362603542</t>
  </si>
  <si>
    <t>https://doi.org/10.1088/1361-6528/acca8b</t>
  </si>
  <si>
    <t>Multilayer WSe&lt;sub&gt;2&lt;/sub&gt;/ZnO heterojunctions for self-powered, broadband, and high-speed photodetectors</t>
  </si>
  <si>
    <t>{'openalex': 'https://openalex.org/W4362603542', 'doi': 'https://doi.org/10.1088/1361-6528/acca8b', 'pmid': 'https://pubmed.ncbi.nlm.nih.gov/37019101'}</t>
  </si>
  <si>
    <t>{'value': 0.92465173, 'is_in_top_1_percent': False, 'is_in_top_10_percent': True}</t>
  </si>
  <si>
    <t>{'volume': '34', 'issue': '28', 'first_page': '285207', 'last_page': '285207'}</t>
  </si>
  <si>
    <t>[{'score': 0.7300000190734863, 'display_name': 'Affordable and clean energy', 'id': 'https://metadata.un.org/sdg/7'}]</t>
  </si>
  <si>
    <t>[{'year': 2026, 'cited_by_count': 2}, {'year': 2025, 'cited_by_count': 11}, {'year': 2024, 'cited_by_count': 13}, {'year': 2023, 'cited_by_count': 5}]</t>
  </si>
  <si>
    <t>https://openalex.org/W4396698093</t>
  </si>
  <si>
    <t>https://doi.org/10.1137/22m1506985</t>
  </si>
  <si>
    <t>A Three-Dimensional Model of Skeletal Muscle Tissues</t>
  </si>
  <si>
    <t>{'openalex': 'https://openalex.org/W4396698093', 'doi': 'https://doi.org/10.1137/22m1506985'}</t>
  </si>
  <si>
    <t>{'value': 0.72763578, 'is_in_top_1_percent': False, 'is_in_top_10_percent': False}</t>
  </si>
  <si>
    <t>{'min': 97, 'max': 98}</t>
  </si>
  <si>
    <t>{'volume': '84', 'issue': '3', 'first_page': 'S538', 'last_page': 'S566'}</t>
  </si>
  <si>
    <t>[{'year': 2025, 'cited_by_count': 5}]</t>
  </si>
  <si>
    <t>https://openalex.org/W4283803221</t>
  </si>
  <si>
    <t>https://doi.org/10.1177/0169796x221104855</t>
  </si>
  <si>
    <t>Plastic Waste Mitigation Strategies: A Review of Lessons from Developing Countries</t>
  </si>
  <si>
    <t>{'openalex': 'https://openalex.org/W4283803221', 'doi': 'https://doi.org/10.1177/0169796x221104855'}</t>
  </si>
  <si>
    <t>{'value': 0.84324287, 'is_in_top_1_percent': False, 'is_in_top_10_percent': False}</t>
  </si>
  <si>
    <t>{'volume': '38', 'issue': '3', 'first_page': '336', 'last_page': '359'}</t>
  </si>
  <si>
    <t>[{'year': 2026, 'cited_by_count': 4}, {'year': 2025, 'cited_by_count': 18}, {'year': 2024, 'cited_by_count': 9}, {'year': 2023, 'cited_by_count': 7}, {'year': 2022, 'cited_by_count': 1}]</t>
  </si>
  <si>
    <t>https://openalex.org/W4312707143</t>
  </si>
  <si>
    <t>https://doi.org/10.1115/detc2022-89511</t>
  </si>
  <si>
    <t>{'openalex': 'https://openalex.org/W4312707143', 'doi': 'https://doi.org/10.1115/detc2022-89511'}</t>
  </si>
  <si>
    <t>{'value': 0.18620448, 'is_in_top_1_percent': False, 'is_in_top_10_percent': False}</t>
  </si>
  <si>
    <t>https://openalex.org/W3205849164</t>
  </si>
  <si>
    <t>https://doi.org/10.1039/d1ce00962a</t>
  </si>
  <si>
    <t>High Curie temperature bismuth-based piezo-/ferroelectric single crystals of complex perovskite structure: recent progress and perspectives</t>
  </si>
  <si>
    <t>{'openalex': 'https://openalex.org/W3205849164', 'doi': 'https://doi.org/10.1039/d1ce00962a', 'mag': '3205849164'}</t>
  </si>
  <si>
    <t>{'value': 0.78001979, 'is_in_top_1_percent': False, 'is_in_top_10_percent': False}</t>
  </si>
  <si>
    <t>{'volume': '24', 'issue': '2', 'first_page': '220', 'last_page': '230'}</t>
  </si>
  <si>
    <t>[{'year': 2026, 'cited_by_count': 1}, {'year': 2025, 'cited_by_count': 9}, {'year': 2024, 'cited_by_count': 5}, {'year': 2023, 'cited_by_count': 4}, {'year': 2022, 'cited_by_count': 7}]</t>
  </si>
  <si>
    <t>https://openalex.org/W4403135320</t>
  </si>
  <si>
    <t>https://doi.org/10.1080/00207721.2024.2408526</t>
  </si>
  <si>
    <t>MIMO system identification and uncertainty calibration with a limited amount of data using transfer learning</t>
  </si>
  <si>
    <t>{'openalex': 'https://openalex.org/W4403135320', 'doi': 'https://doi.org/10.1080/00207721.2024.2408526'}</t>
  </si>
  <si>
    <t>{'value': 0.85329973, 'is_in_top_1_percent': False, 'is_in_top_10_percent': False}</t>
  </si>
  <si>
    <t>{'volume': '56', 'issue': '3', 'first_page': '598', 'last_page': '617'}</t>
  </si>
  <si>
    <t>[{'year': 2026, 'cited_by_count': 2}, {'year': 2025, 'cited_by_count': 3}]</t>
  </si>
  <si>
    <t>https://openalex.org/W3037279216</t>
  </si>
  <si>
    <t>https://doi.org/10.1016/b978-0-12-818475-2.00002-7</t>
  </si>
  <si>
    <t>Mechanical properties of two-dimensional materials: atomistic modeling and future directions</t>
  </si>
  <si>
    <t>{'openalex': 'https://openalex.org/W3037279216', 'doi': 'https://doi.org/10.1016/b978-0-12-818475-2.00002-7', 'mag': '3037279216'}</t>
  </si>
  <si>
    <t>{'value': 0.86023959, 'is_in_top_1_percent': False, 'is_in_top_10_percent': False}</t>
  </si>
  <si>
    <t>{'volume': None, 'issue': None, 'first_page': '9', 'last_page': '35'}</t>
  </si>
  <si>
    <t>[{'score': 0.4699999988079071, 'display_name': 'Industry, innovation and infrastructure', 'id': 'https://metadata.un.org/sdg/9'}]</t>
  </si>
  <si>
    <t>[{'year': 2023, 'cited_by_count': 1}, {'year': 2022, 'cited_by_count': 2}, {'year': 2021, 'cited_by_count': 1}]</t>
  </si>
  <si>
    <t>https://openalex.org/W4310745399</t>
  </si>
  <si>
    <t>https://doi.org/10.48550/arxiv.2212.01137</t>
  </si>
  <si>
    <t>Depth-resolved measurement of the Meissner screening profile in a niobium thin film from spin-lattice relaxation of the implanted $Î²$-emitter $^{8}$Li</t>
  </si>
  <si>
    <t>{'openalex': 'https://openalex.org/W4310745399', 'doi': 'https://doi.org/10.48550/arxiv.2212.01137'}</t>
  </si>
  <si>
    <t>https://openalex.org/W2998612041</t>
  </si>
  <si>
    <t>https://doi.org/10.1021/acsaem.9b01754</t>
  </si>
  <si>
    <t>Patterning Catalyst Layers with Microscale Features by Soft Lithography Techniques for Proton Exchange Membrane Fuel Cells</t>
  </si>
  <si>
    <t>{'openalex': 'https://openalex.org/W2998612041', 'doi': 'https://doi.org/10.1021/acsaem.9b01754', 'mag': '2998612041'}</t>
  </si>
  <si>
    <t>{'value': 0.79998546, 'is_in_top_1_percent': False, 'is_in_top_10_percent': False}</t>
  </si>
  <si>
    <t>{'volume': '3', 'issue': '1', 'first_page': '478', 'last_page': '486'}</t>
  </si>
  <si>
    <t>[{'score': 0.5299999713897705, 'display_name': 'Clean water and sanitation', 'id': 'https://metadata.un.org/sdg/6'}]</t>
  </si>
  <si>
    <t>[{'year': 2025, 'cited_by_count': 2}, {'year': 2024, 'cited_by_count': 6}, {'year': 2023, 'cited_by_count': 5}, {'year': 2022, 'cited_by_count': 3}, {'year': 2021, 'cited_by_count': 5}]</t>
  </si>
  <si>
    <t>https://openalex.org/W4402512755</t>
  </si>
  <si>
    <t>https://doi.org/10.1016/j.renene.2024.121338</t>
  </si>
  <si>
    <t>A novel membrane-based absorber for sorption heat transformers: A comparative experimental study of a thin-film absorbent and salt-impregnated adsorbents</t>
  </si>
  <si>
    <t>{'openalex': 'https://openalex.org/W4402512755', 'doi': 'https://doi.org/10.1016/j.renene.2024.121338'}</t>
  </si>
  <si>
    <t>{'value': 0.15149304, 'is_in_top_1_percent': False, 'is_in_top_10_percent': False}</t>
  </si>
  <si>
    <t>{'volume': '235', 'issue': None, 'first_page': '121338', 'last_page': '121338'}</t>
  </si>
  <si>
    <t>[{'score': 0.4000000059604645, 'display_name': 'Affordable and clean energy', 'id': 'https://metadata.un.org/sdg/7'}]</t>
  </si>
  <si>
    <t>https://openalex.org/W4210590148</t>
  </si>
  <si>
    <t>https://doi.org/10.1016/b978-0-12-823144-9.00069-8</t>
  </si>
  <si>
    <t>Piezoelectric and ferroelectric materials: Fundamentals, recent progress, and applications</t>
  </si>
  <si>
    <t>{'openalex': 'https://openalex.org/W4210590148', 'doi': 'https://doi.org/10.1016/b978-0-12-823144-9.00069-8'}</t>
  </si>
  <si>
    <t>{'value': 0.99138738, 'is_in_top_1_percent': True, 'is_in_top_10_percent': True}</t>
  </si>
  <si>
    <t>{'volume': None, 'issue': None, 'first_page': '135', 'last_page': '171'}</t>
  </si>
  <si>
    <t>[{'score': 0.44999998807907104, 'display_name': 'Affordable and clean energy', 'id': 'https://metadata.un.org/sdg/7'}]</t>
  </si>
  <si>
    <t>[{'year': 2025, 'cited_by_count': 8}, {'year': 2024, 'cited_by_count': 9}, {'year': 2023, 'cited_by_count': 2}, {'year': 2022, 'cited_by_count': 3}]</t>
  </si>
  <si>
    <t>https://openalex.org/W4394923647</t>
  </si>
  <si>
    <t>https://doi.org/10.3390/s24082585</t>
  </si>
  <si>
    <t>Development of a Two-Finger Haptic Robotic Hand with Novel Stiffness Detection and Impedance Control</t>
  </si>
  <si>
    <t>{'openalex': 'https://openalex.org/W4394923647', 'doi': 'https://doi.org/10.3390/s24082585', 'pmid': 'https://pubmed.ncbi.nlm.nih.gov/38676202'}</t>
  </si>
  <si>
    <t>{'value': 0.9772527, 'is_in_top_1_percent': False, 'is_in_top_10_percent': True}</t>
  </si>
  <si>
    <t>{'volume': '24', 'issue': '8', 'first_page': '2585', 'last_page': '2585'}</t>
  </si>
  <si>
    <t>[{'year': 2026, 'cited_by_count': 1}, {'year': 2025, 'cited_by_count': 10}, {'year': 2024, 'cited_by_count': 10}]</t>
  </si>
  <si>
    <t>https://openalex.org/W3155346519</t>
  </si>
  <si>
    <t>https://doi.org/10.1016/j.electacta.2021.138358</t>
  </si>
  <si>
    <t>Exploring the synergetic electrochemical performance of cobalt sulfide/cobalt phosphate composites for supercapatteryÂ devices with high-energy and rate capability</t>
  </si>
  <si>
    <t>{'openalex': 'https://openalex.org/W3155346519', 'doi': 'https://doi.org/10.1016/j.electacta.2021.138358', 'mag': '3155346519'}</t>
  </si>
  <si>
    <t>{'value': 0.92422672, 'is_in_top_1_percent': False, 'is_in_top_10_percent': True}</t>
  </si>
  <si>
    <t>{'volume': '384', 'issue': None, 'first_page': '138358', 'last_page': '138358'}</t>
  </si>
  <si>
    <t>[{'score': 0.8799999952316284, 'display_name': 'Affordable and clean energy', 'id': 'https://metadata.un.org/sdg/7'}]</t>
  </si>
  <si>
    <t>[{'year': 2025, 'cited_by_count': 13}, {'year': 2024, 'cited_by_count': 21}, {'year': 2023, 'cited_by_count': 14}, {'year': 2022, 'cited_by_count': 6}, {'year': 2021, 'cited_by_count': 6}]</t>
  </si>
  <si>
    <t>https://openalex.org/W4321098550</t>
  </si>
  <si>
    <t>https://doi.org/10.1002/admt.202201897</t>
  </si>
  <si>
    <t>Emerging Trends in 2D Flexible Electronics</t>
  </si>
  <si>
    <t>{'openalex': 'https://openalex.org/W4321098550', 'doi': 'https://doi.org/10.1002/admt.202201897'}</t>
  </si>
  <si>
    <t>{'value': 0.95591746, 'is_in_top_1_percent': False, 'is_in_top_10_percent': True}</t>
  </si>
  <si>
    <t>{'volume': '8', 'issue': '11', 'first_page': None, 'last_page': None}</t>
  </si>
  <si>
    <t>[{'year': 2026, 'cited_by_count': 1}, {'year': 2025, 'cited_by_count': 18}, {'year': 2024, 'cited_by_count': 12}, {'year': 2023, 'cited_by_count': 5}]</t>
  </si>
  <si>
    <t>https://openalex.org/W3114717407</t>
  </si>
  <si>
    <t>https://doi.org/10.1021/acs.jpcc.0c09527</t>
  </si>
  <si>
    <t>Mixed Ion-Carrier Diffusion in Poly(3-hexyl thiophene)/Perchlorate Electrochemical Systems</t>
  </si>
  <si>
    <t>{'openalex': 'https://openalex.org/W3114717407', 'doi': 'https://doi.org/10.1021/acs.jpcc.0c09527', 'mag': '3114717407'}</t>
  </si>
  <si>
    <t>{'value': 0.63950407, 'is_in_top_1_percent': False, 'is_in_top_10_percent': False}</t>
  </si>
  <si>
    <t>{'min': 93, 'max': 97}</t>
  </si>
  <si>
    <t>{'volume': '125', 'issue': '1', 'first_page': '536', 'last_page': '545'}</t>
  </si>
  <si>
    <t>[{'score': 0.4399999976158142, 'display_name': 'Clean water and sanitation', 'id': 'https://metadata.un.org/sdg/6'}]</t>
  </si>
  <si>
    <t>[{'year': 2025, 'cited_by_count': 3}, {'year': 2024, 'cited_by_count': 2}, {'year': 2023, 'cited_by_count': 3}, {'year': 2022, 'cited_by_count': 2}, {'year': 2021, 'cited_by_count': 2}]</t>
  </si>
  <si>
    <t>https://openalex.org/W4402696227</t>
  </si>
  <si>
    <t>https://doi.org/10.1016/j.oceaneng.2024.119294</t>
  </si>
  <si>
    <t>Advancements in control systems and integration of artificial intelligence in welding robots: A review</t>
  </si>
  <si>
    <t>{'openalex': 'https://openalex.org/W4402696227', 'doi': 'https://doi.org/10.1016/j.oceaneng.2024.119294'}</t>
  </si>
  <si>
    <t>{'value': 0.9018759, 'is_in_top_1_percent': False, 'is_in_top_10_percent': True}</t>
  </si>
  <si>
    <t>{'volume': '312', 'issue': None, 'first_page': '119294', 'last_page': '119294'}</t>
  </si>
  <si>
    <t>[{'year': 2026, 'cited_by_count': 4}, {'year': 2025, 'cited_by_count': 23}, {'year': 2024, 'cited_by_count': 2}]</t>
  </si>
  <si>
    <t>https://openalex.org/W3044927814</t>
  </si>
  <si>
    <t>https://doi.org/10.1134/s1063776120070080</t>
  </si>
  <si>
    <t>Interlayer Exchange Coupling, Spin Pumping and Spin Transport in Metallic Magnetic Single and Bilayer Structures</t>
  </si>
  <si>
    <t>{'openalex': 'https://openalex.org/W3044927814', 'doi': 'https://doi.org/10.1134/s1063776120070080', 'mag': '3044927814'}</t>
  </si>
  <si>
    <t>{'value': 0.65869328, 'is_in_top_1_percent': False, 'is_in_top_10_percent': False}</t>
  </si>
  <si>
    <t>{'volume': '131', 'issue': '1', 'first_page': '113', 'last_page': '129'}</t>
  </si>
  <si>
    <t>[{'year': 2025, 'cited_by_count': 1}, {'year': 2024, 'cited_by_count': 2}, {'year': 2023, 'cited_by_count': 3}, {'year': 2022, 'cited_by_count': 1}]</t>
  </si>
  <si>
    <t>https://openalex.org/W4384665564</t>
  </si>
  <si>
    <t>https://doi.org/10.1038/s44172-023-00097-w</t>
  </si>
  <si>
    <t>Opportunities and challenges for sweat-based monitoring of metabolic syndrome via wearable technologies</t>
  </si>
  <si>
    <t>{'openalex': 'https://openalex.org/W4384665564', 'doi': 'https://doi.org/10.1038/s44172-023-00097-w'}</t>
  </si>
  <si>
    <t>{'value': 0.9185201, 'is_in_top_1_percent': False, 'is_in_top_10_percent': True}</t>
  </si>
  <si>
    <t>{'volume': '2', 'issue': '1', 'first_page': None, 'last_page': None}</t>
  </si>
  <si>
    <t>[{'year': 2025, 'cited_by_count': 12}, {'year': 2024, 'cited_by_count': 13}, {'year': 2023, 'cited_by_count': 2}]</t>
  </si>
  <si>
    <t>https://openalex.org/W4311438569</t>
  </si>
  <si>
    <t>https://doi.org/10.1016/j.electacta.2022.141676</t>
  </si>
  <si>
    <t>Cobalt-, iron- and nitrogen-containing ordered mesoporous carbon-based catalysts for anion-exchange membrane fuel cell cathode</t>
  </si>
  <si>
    <t>{'openalex': 'https://openalex.org/W4311438569', 'doi': 'https://doi.org/10.1016/j.electacta.2022.141676'}</t>
  </si>
  <si>
    <t>{'value': 0.83316587, 'is_in_top_1_percent': False, 'is_in_top_10_percent': False}</t>
  </si>
  <si>
    <t>{'volume': '439', 'issue': None, 'first_page': '141676', 'last_page': '141676'}</t>
  </si>
  <si>
    <t>[{'year': 2026, 'cited_by_count': 1}, {'year': 2025, 'cited_by_count': 5}, {'year': 2024, 'cited_by_count': 13}, {'year': 2023, 'cited_by_count': 17}]</t>
  </si>
  <si>
    <t>https://openalex.org/W3025090574</t>
  </si>
  <si>
    <t>https://doi.org/10.1016/j.ijfatigue.2020.105697</t>
  </si>
  <si>
    <t>Determining the critical plastically dissipated energy for fatigue crack growth in PEM fuel cell membrane and its environmental sensitivity</t>
  </si>
  <si>
    <t>{'openalex': 'https://openalex.org/W3025090574', 'doi': 'https://doi.org/10.1016/j.ijfatigue.2020.105697', 'mag': '3025090574'}</t>
  </si>
  <si>
    <t>{'value': 0.69795373, 'is_in_top_1_percent': False, 'is_in_top_10_percent': False}</t>
  </si>
  <si>
    <t>{'volume': '138', 'issue': None, 'first_page': '105697', 'last_page': '105697'}</t>
  </si>
  <si>
    <t>[{'year': 2026, 'cited_by_count': 1}, {'year': 2025, 'cited_by_count': 7}, {'year': 2024, 'cited_by_count': 4}, {'year': 2023, 'cited_by_count': 1}, {'year': 2022, 'cited_by_count': 2}, {'year': 2021, 'cited_by_count': 3}, {'year': 2020, 'cited_by_count': 1}]</t>
  </si>
  <si>
    <t>https://openalex.org/W4401384915</t>
  </si>
  <si>
    <t>https://doi.org/10.1038/s41467-024-51024-2</t>
  </si>
  <si>
    <t>Mn-inlaid antiphase boundaries in perovskite structure</t>
  </si>
  <si>
    <t>{'openalex': 'https://openalex.org/W4401384915', 'doi': 'https://doi.org/10.1038/s41467-024-51024-2', 'pmid': 'https://pubmed.ncbi.nlm.nih.gov/39112446'}</t>
  </si>
  <si>
    <t>{'value': 0.68120998, 'is_in_top_1_percent': False, 'is_in_top_10_percent': False}</t>
  </si>
  <si>
    <t>{'volume': '15', 'issue': '1', 'first_page': '6735', 'last_page': '6735'}</t>
  </si>
  <si>
    <t>https://openalex.org/W3081628526</t>
  </si>
  <si>
    <t>https://doi.org/10.3389/fphys.2020.00813</t>
  </si>
  <si>
    <t>The Energy of Muscle Contraction. I. Tissue Force and Deformation During Fixed-End Contractions</t>
  </si>
  <si>
    <t>{'openalex': 'https://openalex.org/W3081628526', 'doi': 'https://doi.org/10.3389/fphys.2020.00813', 'mag': '3081628526', 'pmid': 'https://pubmed.ncbi.nlm.nih.gov/32982762'}</t>
  </si>
  <si>
    <t>{'value': 0.87597785, 'is_in_top_1_percent': False, 'is_in_top_10_percent': False}</t>
  </si>
  <si>
    <t>{'volume': '11', 'issue': None, 'first_page': '813', 'last_page': '813'}</t>
  </si>
  <si>
    <t>[{'display_name': 'Affordable and clean energy', 'id': 'https://metadata.un.org/sdg/7', 'score': 0.800000011920929}]</t>
  </si>
  <si>
    <t>[{'year': 2026, 'cited_by_count': 1}, {'year': 2025, 'cited_by_count': 10}, {'year': 2024, 'cited_by_count': 9}, {'year': 2023, 'cited_by_count': 12}, {'year': 2022, 'cited_by_count': 6}, {'year': 2021, 'cited_by_count': 7}, {'year': 2020, 'cited_by_count': 1}]</t>
  </si>
  <si>
    <t>https://openalex.org/W4362664378</t>
  </si>
  <si>
    <t>https://doi.org/10.1016/j.supflu.2023.105939</t>
  </si>
  <si>
    <t>Solvent selection in physical supercritical fluid deposition</t>
  </si>
  <si>
    <t>{'openalex': 'https://openalex.org/W4362664378', 'doi': 'https://doi.org/10.1016/j.supflu.2023.105939'}</t>
  </si>
  <si>
    <t>{'value': 0.3712048, 'is_in_top_1_percent': False, 'is_in_top_10_percent': False}</t>
  </si>
  <si>
    <t>{'min': 91, 'max': 95}</t>
  </si>
  <si>
    <t>{'volume': '198', 'issue': None, 'first_page': '105939', 'last_page': '105939'}</t>
  </si>
  <si>
    <t>[{'year': 2025, 'cited_by_count': 1}]</t>
  </si>
  <si>
    <t>https://openalex.org/W4387090021</t>
  </si>
  <si>
    <t>https://doi.org/10.1038/s41699-023-00433-w</t>
  </si>
  <si>
    <t>Two-dimensional tellurium-based diodes for RF applications</t>
  </si>
  <si>
    <t>{'openalex': 'https://openalex.org/W4387090021', 'doi': 'https://doi.org/10.1038/s41699-023-00433-w'}</t>
  </si>
  <si>
    <t>{'value': 0.79252984, 'is_in_top_1_percent': False, 'is_in_top_10_percent': False}</t>
  </si>
  <si>
    <t>{'volume': '7', 'issue': '1', 'first_page': None, 'last_page': None}</t>
  </si>
  <si>
    <t>[{'display_name': 'Affordable and clean energy', 'id': 'https://metadata.un.org/sdg/7', 'score': 0.5600000023841858}]</t>
  </si>
  <si>
    <t>[{'year': 2025, 'cited_by_count': 7}, {'year': 2024, 'cited_by_count': 5}, {'year': 2023, 'cited_by_count': 2}]</t>
  </si>
  <si>
    <t>https://openalex.org/W4400533519</t>
  </si>
  <si>
    <t>https://doi.org/10.1103/physrevresearch.6.033055</t>
  </si>
  <si>
    <t>Physics-based approach to developing physical reservoir computers</t>
  </si>
  <si>
    <t>{'openalex': 'https://openalex.org/W4400533519', 'doi': 'https://doi.org/10.1103/physrevresearch.6.033055'}</t>
  </si>
  <si>
    <t>{'value': 0.8706291, 'is_in_top_1_percent': False, 'is_in_top_10_percent': False}</t>
  </si>
  <si>
    <t>{'volume': '6', 'issue': '3', 'first_page': None, 'last_page': None}</t>
  </si>
  <si>
    <t>[{'display_name': 'Affordable and clean energy', 'id': 'https://metadata.un.org/sdg/7', 'score': 0.75}]</t>
  </si>
  <si>
    <t>[{'year': 2025, 'cited_by_count': 3}, {'year': 2024, 'cited_by_count': 2}]</t>
  </si>
  <si>
    <t>https://openalex.org/W3005426360</t>
  </si>
  <si>
    <t>https://doi.org/10.1088/1361-6528/ab72b6</t>
  </si>
  <si>
    <t>Reliable resistive switching of epitaxial single crystalline cubic Y-HfO &lt;sub&gt;2&lt;/sub&gt; RRAMs with Si as bottom electrodes</t>
  </si>
  <si>
    <t>{'openalex': 'https://openalex.org/W3005426360', 'doi': 'https://doi.org/10.1088/1361-6528/ab72b6', 'mag': '3005426360', 'pmid': 'https://pubmed.ncbi.nlm.nih.gov/32018237'}</t>
  </si>
  <si>
    <t>{'value': 0.73719775, 'is_in_top_1_percent': False, 'is_in_top_10_percent': False}</t>
  </si>
  <si>
    <t>{'volume': '31', 'issue': '20', 'first_page': '205203', 'last_page': '205203'}</t>
  </si>
  <si>
    <t>[{'year': 2025, 'cited_by_count': 2}, {'year': 2024, 'cited_by_count': 3}, {'year': 2023, 'cited_by_count': 3}, {'year': 2022, 'cited_by_count': 2}, {'year': 2021, 'cited_by_count': 2}, {'year': 2020, 'cited_by_count': 2}]</t>
  </si>
  <si>
    <t>https://openalex.org/W4386353605</t>
  </si>
  <si>
    <t>https://doi.org/10.1021/acsnano.3c03593</t>
  </si>
  <si>
    <t>Bulk Photovoltaic Effect in Two-Dimensional Distorted MoTe&lt;sub&gt;2&lt;/sub&gt;</t>
  </si>
  <si>
    <t>{'openalex': 'https://openalex.org/W4386353605', 'doi': 'https://doi.org/10.1021/acsnano.3c03593', 'pmid': 'https://pubmed.ncbi.nlm.nih.gov/37656985'}</t>
  </si>
  <si>
    <t>{'value': 0.93861757, 'is_in_top_1_percent': False, 'is_in_top_10_percent': True}</t>
  </si>
  <si>
    <t>{'volume': '17', 'issue': '18', 'first_page': '17884', 'last_page': '17896'}</t>
  </si>
  <si>
    <t>[{'display_name': 'Affordable and clean energy', 'id': 'https://metadata.un.org/sdg/7', 'score': 0.8100000023841858}]</t>
  </si>
  <si>
    <t>[{'year': 2026, 'cited_by_count': 1}, {'year': 2025, 'cited_by_count': 19}, {'year': 2024, 'cited_by_count': 13}, {'year': 2023, 'cited_by_count': 2}]</t>
  </si>
  <si>
    <t>https://openalex.org/W3027523145</t>
  </si>
  <si>
    <t>https://doi.org/10.1016/j.sna.2020.112045</t>
  </si>
  <si>
    <t>A micromachined vector light sensor</t>
  </si>
  <si>
    <t>{'openalex': 'https://openalex.org/W3027523145', 'doi': 'https://doi.org/10.1016/j.sna.2020.112045', 'mag': '3027523145'}</t>
  </si>
  <si>
    <t>{'value': 0.55689156, 'is_in_top_1_percent': False, 'is_in_top_10_percent': False}</t>
  </si>
  <si>
    <t>{'volume': '311', 'issue': None, 'first_page': '112045', 'last_page': '112045'}</t>
  </si>
  <si>
    <t>[{'display_name': 'Affordable and clean energy', 'id': 'https://metadata.un.org/sdg/7', 'score': 0.8600000143051147}]</t>
  </si>
  <si>
    <t>[{'year': 2026, 'cited_by_count': 3}, {'year': 2025, 'cited_by_count': 1}, {'year': 2024, 'cited_by_count': 2}, {'year': 2022, 'cited_by_count': 2}, {'year': 2020, 'cited_by_count': 1}]</t>
  </si>
  <si>
    <t>https://openalex.org/W3016308432</t>
  </si>
  <si>
    <t>https://doi.org/10.1016/j.powtec.2020.04.031</t>
  </si>
  <si>
    <t>Analysis of radiation pressure and aerodynamic forces acting on powder grains in powder-based additive manufacturing</t>
  </si>
  <si>
    <t>{'openalex': 'https://openalex.org/W3016308432', 'doi': 'https://doi.org/10.1016/j.powtec.2020.04.031', 'mag': '3016308432'}</t>
  </si>
  <si>
    <t>{'value': 0.77641228, 'is_in_top_1_percent': False, 'is_in_top_10_percent': False}</t>
  </si>
  <si>
    <t>{'volume': '368', 'issue': None, 'first_page': '125', 'last_page': '129'}</t>
  </si>
  <si>
    <t>[{'display_name': 'Affordable and clean energy', 'id': 'https://metadata.un.org/sdg/7', 'score': 0.6000000238418579}]</t>
  </si>
  <si>
    <t>[{'year': 2024, 'cited_by_count': 2}, {'year': 2023, 'cited_by_count': 1}, {'year': 2021, 'cited_by_count': 8}, {'year': 2020, 'cited_by_count': 2}]</t>
  </si>
  <si>
    <t>https://openalex.org/W3117058866</t>
  </si>
  <si>
    <t>https://doi.org/10.3390/s21010225</t>
  </si>
  <si>
    <t>Inductive Textile Sensor Design and Validation for a Wearable Monitoring Device</t>
  </si>
  <si>
    <t>{'openalex': 'https://openalex.org/W3117058866', 'doi': 'https://doi.org/10.3390/s21010225', 'mag': '3117058866', 'pmid': 'https://pubmed.ncbi.nlm.nih.gov/33401380'}</t>
  </si>
  <si>
    <t>{'value': 0.73501067, 'is_in_top_1_percent': False, 'is_in_top_10_percent': False}</t>
  </si>
  <si>
    <t>{'min': 91, 'max': 98}</t>
  </si>
  <si>
    <t>{'volume': '21', 'issue': '1', 'first_page': '225', 'last_page': '225'}</t>
  </si>
  <si>
    <t>[{'year': 2025, 'cited_by_count': 1}, {'year': 2024, 'cited_by_count': 2}, {'year': 2023, 'cited_by_count': 5}, {'year': 2022, 'cited_by_count': 3}, {'year': 2021, 'cited_by_count': 3}]</t>
  </si>
  <si>
    <t>https://openalex.org/W4383040509</t>
  </si>
  <si>
    <t>https://doi.org/10.3389/frai.2023.1137961</t>
  </si>
  <si>
    <t>Ontological how and why: action and objective of planned processes in the food domain</t>
  </si>
  <si>
    <t>{'openalex': 'https://openalex.org/W4383040509', 'doi': 'https://doi.org/10.3389/frai.2023.1137961', 'pmid': 'https://pubmed.ncbi.nlm.nih.gov/37469931'}</t>
  </si>
  <si>
    <t>{'value': 0.5834377, 'is_in_top_1_percent': False, 'is_in_top_10_percent': False}</t>
  </si>
  <si>
    <t>{'volume': '6', 'issue': None, 'first_page': '1137961', 'last_page': '1137961'}</t>
  </si>
  <si>
    <t>[{'display_name': 'Responsible consumption and production', 'id': 'https://metadata.un.org/sdg/12', 'score': 0.550000011920929}]</t>
  </si>
  <si>
    <t>[{'year': 2026, 'cited_by_count': 1}]</t>
  </si>
  <si>
    <t>https://openalex.org/W4213385437</t>
  </si>
  <si>
    <t>https://doi.org/10.1002/celc.202200161</t>
  </si>
  <si>
    <t>Polypyrrole and Polythiophene Modified Carbon Nanotubeâ€Based Cathode Catalysts for Anion Exchange Membrane Fuel Cell</t>
  </si>
  <si>
    <t>{'openalex': 'https://openalex.org/W4213385437', 'doi': 'https://doi.org/10.1002/celc.202200161'}</t>
  </si>
  <si>
    <t>{'value': 0.56246682, 'is_in_top_1_percent': False, 'is_in_top_10_percent': False}</t>
  </si>
  <si>
    <t>{'volume': '9', 'issue': '7', 'first_page': None, 'last_page': None}</t>
  </si>
  <si>
    <t>[{'display_name': 'Industry, innovation and infrastructure', 'id': 'https://metadata.un.org/sdg/9', 'score': 0.49000000953674316}]</t>
  </si>
  <si>
    <t>[{'year': 2025, 'cited_by_count': 1}, {'year': 2024, 'cited_by_count': 3}, {'year': 2023, 'cited_by_count': 6}, {'year': 2022, 'cited_by_count': 2}]</t>
  </si>
  <si>
    <t>https://openalex.org/W4311207086</t>
  </si>
  <si>
    <t>https://doi.org/10.1002/admt.202201349</t>
  </si>
  <si>
    <t>3D Structural Electronics Via Multiâ€Directional Robot 3D Printing</t>
  </si>
  <si>
    <t>{'openalex': 'https://openalex.org/W4311207086', 'doi': 'https://doi.org/10.1002/admt.202201349'}</t>
  </si>
  <si>
    <t>{'value': 0.85400008, 'is_in_top_1_percent': False, 'is_in_top_10_percent': False}</t>
  </si>
  <si>
    <t>{'min': 98, 'max': 99}</t>
  </si>
  <si>
    <t>{'volume': '8', 'issue': '5', 'first_page': None, 'last_page': None}</t>
  </si>
  <si>
    <t>[{'year': 2025, 'cited_by_count': 10}, {'year': 2024, 'cited_by_count': 8}, {'year': 2023, 'cited_by_count': 7}]</t>
  </si>
  <si>
    <t>https://openalex.org/W3198848557</t>
  </si>
  <si>
    <t>https://doi.org/10.3390/s21175947</t>
  </si>
  <si>
    <t>Characterisation of SiPM Photon Emission in the Dark</t>
  </si>
  <si>
    <t>{'openalex': 'https://openalex.org/W3198848557', 'doi': 'https://doi.org/10.3390/s21175947', 'mag': '3198848557', 'pmid': 'https://pubmed.ncbi.nlm.nih.gov/34502838'}</t>
  </si>
  <si>
    <t>{'value': 0.94942676, 'is_in_top_1_percent': False, 'is_in_top_10_percent': True}</t>
  </si>
  <si>
    <t>{'volume': '21', 'issue': '17', 'first_page': '5947', 'last_page': '5947'}</t>
  </si>
  <si>
    <t>[{'display_name': 'Affordable and clean energy', 'id': 'https://metadata.un.org/sdg/7', 'score': 0.5699999928474426}]</t>
  </si>
  <si>
    <t>[{'year': 2025, 'cited_by_count': 4}, {'year': 2024, 'cited_by_count': 7}, {'year': 2023, 'cited_by_count': 1}, {'year': 2022, 'cited_by_count': 3}, {'year': 2021, 'cited_by_count': 1}]</t>
  </si>
  <si>
    <t>https://openalex.org/W4213021727</t>
  </si>
  <si>
    <t>https://doi.org/10.1063/5.0081185</t>
  </si>
  <si>
    <t>A &lt;i&gt;Î²&lt;/i&gt;-NMR study of the depth, temperature, and molecular-weight dependence of secondary dynamics in polystyrene: Entropyâ€“enthalpy compensation and dynamic gradients near the free surface</t>
  </si>
  <si>
    <t>{'openalex': 'https://openalex.org/W4213021727', 'doi': 'https://doi.org/10.1063/5.0081185', 'pmid': 'https://pubmed.ncbi.nlm.nih.gov/35232192'}</t>
  </si>
  <si>
    <t>{'value': 0.96629106, 'is_in_top_1_percent': False, 'is_in_top_10_percent': True}</t>
  </si>
  <si>
    <t>{'volume': '156', 'issue': '8', 'first_page': '084903', 'last_page': '084903'}</t>
  </si>
  <si>
    <t>[{'display_name': 'Affordable and clean energy', 'id': 'https://metadata.un.org/sdg/7', 'score': 0.7900000214576721}]</t>
  </si>
  <si>
    <t>[{'year': 2025, 'cited_by_count': 3}, {'year': 2024, 'cited_by_count': 2}, {'year': 2023, 'cited_by_count': 6}, {'year': 2022, 'cited_by_count': 5}]</t>
  </si>
  <si>
    <t>https://openalex.org/W3173423777</t>
  </si>
  <si>
    <t>https://doi.org/10.1016/j.nanoen.2021.106280</t>
  </si>
  <si>
    <t>Self-powered integrated opto-electro-mechanical nano-actuators</t>
  </si>
  <si>
    <t>{'openalex': 'https://openalex.org/W3173423777', 'doi': 'https://doi.org/10.1016/j.nanoen.2021.106280', 'mag': '3173423777'}</t>
  </si>
  <si>
    <t>{'value': 0.67230664, 'is_in_top_1_percent': False, 'is_in_top_10_percent': False}</t>
  </si>
  <si>
    <t>{'volume': '88', 'issue': None, 'first_page': '106280', 'last_page': '106280'}</t>
  </si>
  <si>
    <t>[{'display_name': 'Affordable and clean energy', 'id': 'https://metadata.un.org/sdg/7', 'score': 0.9100000262260437}]</t>
  </si>
  <si>
    <t>[{'year': 2022, 'cited_by_count': 3}, {'year': 2021, 'cited_by_count': 1}]</t>
  </si>
  <si>
    <t>https://openalex.org/W4387380880</t>
  </si>
  <si>
    <t>https://doi.org/10.1016/j.sna.2023.114728</t>
  </si>
  <si>
    <t>Process-agnostic design approaches to increase the performance of resonant sensors</t>
  </si>
  <si>
    <t>{'openalex': 'https://openalex.org/W4387380880', 'doi': 'https://doi.org/10.1016/j.sna.2023.114728'}</t>
  </si>
  <si>
    <t>{'value': 0.69165053, 'is_in_top_1_percent': False, 'is_in_top_10_percent': False}</t>
  </si>
  <si>
    <t>{'volume': '363', 'issue': None, 'first_page': '114728', 'last_page': '114728'}</t>
  </si>
  <si>
    <t>[{'display_name': 'Affordable and clean energy', 'id': 'https://metadata.un.org/sdg/7', 'score': 0.49000000953674316}]</t>
  </si>
  <si>
    <t>[{'year': 2025, 'cited_by_count': 4}, {'year': 2024, 'cited_by_count': 1}]</t>
  </si>
  <si>
    <t>https://openalex.org/W3210588569</t>
  </si>
  <si>
    <t>https://doi.org/10.1021/acs.macromol.1c01613</t>
  </si>
  <si>
    <t>Improved Resilience and Uniformity in Polysulfone Blends from an Accelerated Grafting Ring-Opening Polymerization Reaction with Benzoxazine</t>
  </si>
  <si>
    <t>{'openalex': 'https://openalex.org/W3210588569', 'doi': 'https://doi.org/10.1021/acs.macromol.1c01613', 'mag': '3210588569'}</t>
  </si>
  <si>
    <t>{'value': 0.59186723, 'is_in_top_1_percent': False, 'is_in_top_10_percent': False}</t>
  </si>
  <si>
    <t>{'volume': '54', 'issue': '21', 'first_page': '10017', 'last_page': '10030'}</t>
  </si>
  <si>
    <t>[{'year': 2025, 'cited_by_count': 3}, {'year': 2024, 'cited_by_count': 2}, {'year': 2023, 'cited_by_count': 1}, {'year': 2022, 'cited_by_count': 1}]</t>
  </si>
  <si>
    <t>https://openalex.org/W4404632463</t>
  </si>
  <si>
    <t>https://doi.org/10.1016/j.ijhydene.2024.11.288</t>
  </si>
  <si>
    <t>Benchmarking performance: A round-robin testing for liquid alkaline electrolysis</t>
  </si>
  <si>
    <t>{'openalex': 'https://openalex.org/W4404632463', 'doi': 'https://doi.org/10.1016/j.ijhydene.2024.11.288'}</t>
  </si>
  <si>
    <t>{'value': 0.94399916, 'is_in_top_1_percent': False, 'is_in_top_10_percent': True}</t>
  </si>
  <si>
    <t>{'volume': '95', 'issue': None, 'first_page': '1004', 'last_page': '1010'}</t>
  </si>
  <si>
    <t>[{'year': 2026, 'cited_by_count': 3}, {'year': 2025, 'cited_by_count': 21}]</t>
  </si>
  <si>
    <t>https://openalex.org/W3177328136</t>
  </si>
  <si>
    <t>https://doi.org/10.1002/er.6974</t>
  </si>
  <si>
    <t>Enhanced electrochemical performance of batteryâ€grade cobalt phosphate via magnetron sputtered copper interfacial layer for potential supercapattery applications</t>
  </si>
  <si>
    <t>{'openalex': 'https://openalex.org/W3177328136', 'doi': 'https://doi.org/10.1002/er.6974', 'mag': '3177328136'}</t>
  </si>
  <si>
    <t>{'value': 0.76829962, 'is_in_top_1_percent': False, 'is_in_top_10_percent': False}</t>
  </si>
  <si>
    <t>{'volume': '45', 'issue': '13', 'first_page': '18658', 'last_page': '18669'}</t>
  </si>
  <si>
    <t>[{'display_name': 'Affordable and clean energy', 'id': 'https://metadata.un.org/sdg/7', 'score': 0.7200000286102295}]</t>
  </si>
  <si>
    <t>[{'year': 2025, 'cited_by_count': 3}, {'year': 2024, 'cited_by_count': 5}, {'year': 2023, 'cited_by_count': 8}, {'year': 2022, 'cited_by_count': 3}, {'year': 2021, 'cited_by_count': 3}]</t>
  </si>
  <si>
    <t>https://openalex.org/W4394579167</t>
  </si>
  <si>
    <t>https://doi.org/10.1007/s13233-024-00261-x</t>
  </si>
  <si>
    <t>Heat-resistant luminescent films: a thermal study of fluorene/thiophene copolymer-elastomer blends</t>
  </si>
  <si>
    <t>{'openalex': 'https://openalex.org/W4394579167', 'doi': 'https://doi.org/10.1007/s13233-024-00261-x'}</t>
  </si>
  <si>
    <t>{'value': 0.61852671, 'is_in_top_1_percent': False, 'is_in_top_10_percent': False}</t>
  </si>
  <si>
    <t>{'volume': '32', 'issue': '8', 'first_page': '757', 'last_page': '766'}</t>
  </si>
  <si>
    <t>[{'year': 2026, 'cited_by_count': 1}, {'year': 2025, 'cited_by_count': 1}, {'year': 2024, 'cited_by_count': 2}]</t>
  </si>
  <si>
    <t>https://openalex.org/W4401723141</t>
  </si>
  <si>
    <t>https://doi.org/10.1103/physrevapplied.22.024058</t>
  </si>
  <si>
    <t>Antiferromagnetic coupling across nonmagnetic transition-metal films alloyed with ferromagnetic elements</t>
  </si>
  <si>
    <t>{'openalex': 'https://openalex.org/W4401723141', 'doi': 'https://doi.org/10.1103/physrevapplied.22.024058'}</t>
  </si>
  <si>
    <t>{'value': 0.69511739, 'is_in_top_1_percent': False, 'is_in_top_10_percent': False}</t>
  </si>
  <si>
    <t>{'min': 95, 'max': 96}</t>
  </si>
  <si>
    <t>{'volume': '22', 'issue': '2', 'first_page': None, 'last_page': None}</t>
  </si>
  <si>
    <t>[{'year': 2025, 'cited_by_count': 2}]</t>
  </si>
  <si>
    <t>https://openalex.org/W4387937498</t>
  </si>
  <si>
    <t>https://doi.org/10.1002/batt.202300367</t>
  </si>
  <si>
    <t>Preconditioning Operation of Membraneless Vanadium Micro Redox Flow Batteries</t>
  </si>
  <si>
    <t>{'openalex': 'https://openalex.org/W4387937498', 'doi': 'https://doi.org/10.1002/batt.202300367'}</t>
  </si>
  <si>
    <t>{'value': 0.6564174, 'is_in_top_1_percent': False, 'is_in_top_10_percent': False}</t>
  </si>
  <si>
    <t>{'volume': '7', 'issue': '2', 'first_page': None, 'last_page': None}</t>
  </si>
  <si>
    <t>[{'display_name': 'Affordable and clean energy', 'id': 'https://metadata.un.org/sdg/7', 'score': 0.5899999737739563}]</t>
  </si>
  <si>
    <t>[{'year': 2025, 'cited_by_count': 1}, {'year': 2024, 'cited_by_count': 3}]</t>
  </si>
  <si>
    <t>https://openalex.org/W4401059342</t>
  </si>
  <si>
    <t>https://doi.org/10.1016/j.mtcomm.2024.109928</t>
  </si>
  <si>
    <t>Ethylcellulose and bismuth sodium titanate-barium zirconate titanate (BNT-BZT) composite fibers for triboelectric energy harvesting</t>
  </si>
  <si>
    <t>{'openalex': 'https://openalex.org/W4401059342', 'doi': 'https://doi.org/10.1016/j.mtcomm.2024.109928'}</t>
  </si>
  <si>
    <t>{'value': 0.82688063, 'is_in_top_1_percent': False, 'is_in_top_10_percent': False}</t>
  </si>
  <si>
    <t>{'volume': '40', 'issue': None, 'first_page': '109928', 'last_page': '109928'}</t>
  </si>
  <si>
    <t>[{'display_name': 'Affordable and clean energy', 'id': 'https://metadata.un.org/sdg/7', 'score': 0.6200000047683716}]</t>
  </si>
  <si>
    <t>[{'year': 2026, 'cited_by_count': 1}, {'year': 2025, 'cited_by_count': 6}, {'year': 2024, 'cited_by_count': 1}]</t>
  </si>
  <si>
    <t>https://openalex.org/W4312041732</t>
  </si>
  <si>
    <t>https://doi.org/10.3390/nano13010018</t>
  </si>
  <si>
    <t>Influence of Laboratory Synthesized Graphene Oxide on the Morphology and Properties of Cement Mortar</t>
  </si>
  <si>
    <t>{'openalex': 'https://openalex.org/W4312041732', 'doi': 'https://doi.org/10.3390/nano13010018', 'pmid': 'https://pubmed.ncbi.nlm.nih.gov/36615928'}</t>
  </si>
  <si>
    <t>{'value': 0.73043593, 'is_in_top_1_percent': False, 'is_in_top_10_percent': False}</t>
  </si>
  <si>
    <t>{'volume': '13', 'issue': '1', 'first_page': '18', 'last_page': '18'}</t>
  </si>
  <si>
    <t>[{'year': 2025, 'cited_by_count': 3}, {'year': 2024, 'cited_by_count': 3}, {'year': 2023, 'cited_by_count': 3}]</t>
  </si>
  <si>
    <t>https://openalex.org/W4280651873</t>
  </si>
  <si>
    <t>https://doi.org/10.1016/j.matchemphys.2022.126272</t>
  </si>
  <si>
    <t>Interfacial and microstructural changes of the Al2O3/ZnO multilayer films induced by in-situ growth and post-annealing temperatures</t>
  </si>
  <si>
    <t>{'openalex': 'https://openalex.org/W4280651873', 'doi': 'https://doi.org/10.1016/j.matchemphys.2022.126272'}</t>
  </si>
  <si>
    <t>{'value': 0.48321391, 'is_in_top_1_percent': False, 'is_in_top_10_percent': False}</t>
  </si>
  <si>
    <t>{'volume': '287', 'issue': None, 'first_page': '126272', 'last_page': '126272'}</t>
  </si>
  <si>
    <t>[{'year': 2025, 'cited_by_count': 1}, {'year': 2024, 'cited_by_count': 1}, {'year': 2023, 'cited_by_count': 2}, {'year': 2022, 'cited_by_count': 1}]</t>
  </si>
  <si>
    <t>https://openalex.org/W4322579380</t>
  </si>
  <si>
    <t>https://doi.org/10.1016/b978-0-08-102795-0.00003-7</t>
  </si>
  <si>
    <t>Organic photodetectors</t>
  </si>
  <si>
    <t>{'openalex': 'https://openalex.org/W4322579380', 'doi': 'https://doi.org/10.1016/b978-0-08-102795-0.00003-7'}</t>
  </si>
  <si>
    <t>{'value': 0.94262366, 'is_in_top_1_percent': False, 'is_in_top_10_percent': True}</t>
  </si>
  <si>
    <t>{'volume': None, 'issue': None, 'first_page': '73', 'last_page': '137'}</t>
  </si>
  <si>
    <t>[{'id': 'https://metadata.un.org/sdg/2', 'score': 0.7400000095367432, 'display_name': 'Zero hunger'}]</t>
  </si>
  <si>
    <t>[{'year': 2025, 'cited_by_count': 3}, {'year': 2024, 'cited_by_count': 1}, {'year': 2021, 'cited_by_count': 1}]</t>
  </si>
  <si>
    <t>https://openalex.org/W3136656899</t>
  </si>
  <si>
    <t>https://doi.org/10.1002/aisy.202100003</t>
  </si>
  <si>
    <t>Soft Bionic Sensors and Actuators</t>
  </si>
  <si>
    <t>{'openalex': 'https://openalex.org/W3136656899', 'doi': 'https://doi.org/10.1002/aisy.202100003', 'mag': '3136656899'}</t>
  </si>
  <si>
    <t>{'value': 0.51777992, 'is_in_top_1_percent': False, 'is_in_top_10_percent': False}</t>
  </si>
  <si>
    <t>{'volume': '3', 'issue': '3', 'first_page': None, 'last_page': None}</t>
  </si>
  <si>
    <t>[{'year': 2024, 'cited_by_count': 3}, {'year': 2023, 'cited_by_count': 1}]</t>
  </si>
  <si>
    <t>https://openalex.org/W4284891829</t>
  </si>
  <si>
    <t>https://doi.org/10.1177/0169796x221107217</t>
  </si>
  <si>
    <t>Shifting to Circular Manufacturing in the Global South: Challenges and Pathways</t>
  </si>
  <si>
    <t>{'openalex': 'https://openalex.org/W4284891829', 'doi': 'https://doi.org/10.1177/0169796x221107217'}</t>
  </si>
  <si>
    <t>{'value': 0.77519933, 'is_in_top_1_percent': False, 'is_in_top_10_percent': False}</t>
  </si>
  <si>
    <t>{'volume': '38', 'issue': '3', 'first_page': '310', 'last_page': '335'}</t>
  </si>
  <si>
    <t>[{'year': 2026, 'cited_by_count': 1}, {'year': 2025, 'cited_by_count': 2}, {'year': 2024, 'cited_by_count': 1}, {'year': 2023, 'cited_by_count': 1}]</t>
  </si>
  <si>
    <t>https://openalex.org/W4399737829</t>
  </si>
  <si>
    <t>https://doi.org/10.1103/physrevb.109.224421</t>
  </si>
  <si>
    <t>Energy landscape of noncollinear exchange coupled magnetic multilayers</t>
  </si>
  <si>
    <t>{'openalex': 'https://openalex.org/W4399737829', 'doi': 'https://doi.org/10.1103/physrevb.109.224421'}</t>
  </si>
  <si>
    <t>{'value': 0.75242486, 'is_in_top_1_percent': False, 'is_in_top_10_percent': False}</t>
  </si>
  <si>
    <t>{'volume': '109', 'issue': '22', 'first_page': None, 'last_page': None}</t>
  </si>
  <si>
    <t>[{'year': 2024, 'cited_by_count': 3}]</t>
  </si>
  <si>
    <t>https://openalex.org/W4283264787</t>
  </si>
  <si>
    <t>https://doi.org/10.1109/edtm53872.2022.9797966</t>
  </si>
  <si>
    <t>Deep-Subthreshold Ambipolar Printed-CNT TFTs Toward Sustainable Ultra-Low-Power Edge Computing</t>
  </si>
  <si>
    <t>{'openalex': 'https://openalex.org/W4283264787', 'doi': 'https://doi.org/10.1109/edtm53872.2022.9797966'}</t>
  </si>
  <si>
    <t>{'value': 0.3576879, 'is_in_top_1_percent': False, 'is_in_top_10_percent': False}</t>
  </si>
  <si>
    <t>{'min': 89, 'max': 94}</t>
  </si>
  <si>
    <t>{'volume': None, 'issue': None, 'first_page': '171', 'last_page': '173'}</t>
  </si>
  <si>
    <t>[{'id': 'https://metadata.un.org/sdg/12', 'score': 0.46000000834465027, 'display_name': 'Responsible consumption and production'}]</t>
  </si>
  <si>
    <t>[{'year': 2023, 'cited_by_count': 1}]</t>
  </si>
  <si>
    <t>https://openalex.org/W4400365732</t>
  </si>
  <si>
    <t>https://doi.org/10.3390/ma17133306</t>
  </si>
  <si>
    <t>Physics-Informed Online Learning for Temperature Prediction in Metal AM</t>
  </si>
  <si>
    <t>{'openalex': 'https://openalex.org/W4400365732', 'doi': 'https://doi.org/10.3390/ma17133306', 'pmid': 'https://pubmed.ncbi.nlm.nih.gov/38998388'}</t>
  </si>
  <si>
    <t>{'value': 0.87838443, 'is_in_top_1_percent': False, 'is_in_top_10_percent': False}</t>
  </si>
  <si>
    <t>{'volume': '17', 'issue': '13', 'first_page': '3306', 'last_page': '3306'}</t>
  </si>
  <si>
    <t>[{'year': 2025, 'cited_by_count': 7}, {'year': 2024, 'cited_by_count': 3}]</t>
  </si>
  <si>
    <t>https://openalex.org/W4391918192</t>
  </si>
  <si>
    <t>https://doi.org/10.1016/j.ceramint.2024.02.223</t>
  </si>
  <si>
    <t>Rapid thermal processing induced interfacial diffusion and solid reaction in the Al2O3/ZnO nano-laminates films</t>
  </si>
  <si>
    <t>{'openalex': 'https://openalex.org/W4391918192', 'doi': 'https://doi.org/10.1016/j.ceramint.2024.02.223'}</t>
  </si>
  <si>
    <t>{'value': 0.53545451, 'is_in_top_1_percent': False, 'is_in_top_10_percent': False}</t>
  </si>
  <si>
    <t>{'volume': '50', 'issue': '23', 'first_page': '51858', 'last_page': '51862'}</t>
  </si>
  <si>
    <t>https://openalex.org/W3106783458</t>
  </si>
  <si>
    <t>https://doi.org/10.3390/cryst10121109</t>
  </si>
  <si>
    <t>The Effect of Intensity Fluctuations on Sequential X-ray Photon Correlation Spectroscopy at the X-ray Free Electron Laser Facilities</t>
  </si>
  <si>
    <t>{'openalex': 'https://openalex.org/W3106783458', 'doi': 'https://doi.org/10.3390/cryst10121109', 'mag': '3106783458'}</t>
  </si>
  <si>
    <t>{'value': 0.72126862, 'is_in_top_1_percent': False, 'is_in_top_10_percent': False}</t>
  </si>
  <si>
    <t>{'volume': '10', 'issue': '12', 'first_page': '1109', 'last_page': '1109'}</t>
  </si>
  <si>
    <t>[{'year': 2025, 'cited_by_count': 1}, {'year': 2024, 'cited_by_count': 2}, {'year': 2023, 'cited_by_count': 1}, {'year': 2021, 'cited_by_count': 2}]</t>
  </si>
  <si>
    <t>https://openalex.org/W3133045480</t>
  </si>
  <si>
    <t>https://doi.org/10.1103/physrevb.103.054201</t>
  </si>
  <si>
    <t>Compositional ordering in relaxor ferroelectric &lt;mml:math xmlns:mml="http://www.w3.org/1998/Math/MathML"&gt;&lt;mml:mrow&gt;&lt;mml:mi&gt;Pb&lt;/mml:mi&gt;&lt;mml:mrow&gt;&lt;mml:mo&gt;(&lt;/mml:mo&gt;&lt;mml:mi&gt;B&lt;/mml:mi&gt;&lt;mml:msup&gt;&lt;mml:mi&gt;B&lt;/mml:mi&gt;&lt;mml:mo&gt;â€²&lt;/mml:mo&gt;&lt;/mml:msup&gt;&lt;mml:mo&gt;)&lt;/mml:mo&gt;&lt;/mml:mrow&gt;&lt;mml:msub&gt;&lt;mml:mi mathvariant="normal"&gt;O&lt;/mml:mi&gt;&lt;mml:mn&gt;3&lt;/mml:mn&gt;&lt;/mml:msub&gt;&lt;/mml:mrow&gt;&lt;/mml:math&gt;: Nearest neighbor approach</t>
  </si>
  <si>
    <t>{'openalex': 'https://openalex.org/W3133045480', 'doi': 'https://doi.org/10.1103/physrevb.103.054201', 'mag': '3133045480'}</t>
  </si>
  <si>
    <t>lv</t>
  </si>
  <si>
    <t>{'value': 0.51227137, 'is_in_top_1_percent': False, 'is_in_top_10_percent': False}</t>
  </si>
  <si>
    <t>{'volume': '103', 'issue': '5', 'first_page': None, 'last_page': None}</t>
  </si>
  <si>
    <t>[{'year': 2024, 'cited_by_count': 1}, {'year': 2023, 'cited_by_count': 2}, {'year': 2022, 'cited_by_count': 2}]</t>
  </si>
  <si>
    <t>https://openalex.org/W4319996310</t>
  </si>
  <si>
    <t>https://doi.org/10.1109/jflex.2023.3237991</t>
  </si>
  <si>
    <t>Speed and Scalability of Ambipolar Deep-Subthreshold TFTs for Ultralow-Power Printed Electronics</t>
  </si>
  <si>
    <t>{'openalex': 'https://openalex.org/W4319996310', 'doi': 'https://doi.org/10.1109/jflex.2023.3237991'}</t>
  </si>
  <si>
    <t>{'value': 0.50497858, 'is_in_top_1_percent': False, 'is_in_top_10_percent': False}</t>
  </si>
  <si>
    <t>{'min': 89, 'max': 95}</t>
  </si>
  <si>
    <t>{'volume': '2', 'issue': '1', 'first_page': '11', 'last_page': '17'}</t>
  </si>
  <si>
    <t>[{'year': 2025, 'cited_by_count': 1}, {'year': 2023, 'cited_by_count': 1}]</t>
  </si>
  <si>
    <t>https://openalex.org/W3027110767</t>
  </si>
  <si>
    <t>https://doi.org/10.1016/j.enggeo.2020.105693</t>
  </si>
  <si>
    <t>Numerical modelling of slope damage in large, slowly moving rockslides: Insights from the Downie Slide, British Columbia, Canada</t>
  </si>
  <si>
    <t>{'openalex': 'https://openalex.org/W3027110767', 'doi': 'https://doi.org/10.1016/j.enggeo.2020.105693', 'mag': '3027110767'}</t>
  </si>
  <si>
    <t>{'value': 0.95628406, 'is_in_top_1_percent': False, 'is_in_top_10_percent': True}</t>
  </si>
  <si>
    <t>{'volume': '273', 'issue': None, 'first_page': '105693', 'last_page': '105693'}</t>
  </si>
  <si>
    <t>[{'year': 2026, 'cited_by_count': 1}, {'year': 2025, 'cited_by_count': 3}, {'year': 2024, 'cited_by_count': 3}, {'year': 2023, 'cited_by_count': 4}, {'year': 2022, 'cited_by_count': 4}, {'year': 2021, 'cited_by_count': 6}, {'year': 2020, 'cited_by_count': 1}]</t>
  </si>
  <si>
    <t>https://openalex.org/W4323318307</t>
  </si>
  <si>
    <t>https://doi.org/10.3390/bioengineering10030326</t>
  </si>
  <si>
    <t>Detecting Safety Anomalies in pHRI Activities via Force Myography</t>
  </si>
  <si>
    <t>{'openalex': 'https://openalex.org/W4323318307', 'doi': 'https://doi.org/10.3390/bioengineering10030326', 'pmid': 'https://pubmed.ncbi.nlm.nih.gov/36978717'}</t>
  </si>
  <si>
    <t>{'value': 0.45254565, 'is_in_top_1_percent': False, 'is_in_top_10_percent': False}</t>
  </si>
  <si>
    <t>{'volume': '10', 'issue': '3', 'first_page': '326', 'last_page': '326'}</t>
  </si>
  <si>
    <t>https://openalex.org/W3210882483</t>
  </si>
  <si>
    <t>https://doi.org/10.1016/j.ijheatmasstransfer.2021.122098</t>
  </si>
  <si>
    <t>In-situ thermal conductivity of a sorption composite: An analytical approach</t>
  </si>
  <si>
    <t>{'openalex': 'https://openalex.org/W3210882483', 'doi': 'https://doi.org/10.1016/j.ijheatmasstransfer.2021.122098', 'mag': '3210882483'}</t>
  </si>
  <si>
    <t>{'value': 0.5485563, 'is_in_top_1_percent': False, 'is_in_top_10_percent': False}</t>
  </si>
  <si>
    <t>{'volume': '183', 'issue': None, 'first_page': '122098', 'last_page': '122098'}</t>
  </si>
  <si>
    <t>[{'id': 'https://metadata.un.org/sdg/6', 'score': 0.699999988079071, 'display_name': 'Clean water and sanitation'}]</t>
  </si>
  <si>
    <t>[{'year': 2025, 'cited_by_count': 3}, {'year': 2024, 'cited_by_count': 1}, {'year': 2023, 'cited_by_count': 1}, {'year': 2022, 'cited_by_count': 1}]</t>
  </si>
  <si>
    <t>https://openalex.org/W4283519469</t>
  </si>
  <si>
    <t>https://doi.org/10.1177/0169796x221104856</t>
  </si>
  <si>
    <t>Mitigating Tannery Pollution in Sub-Saharan Africa and South Asia</t>
  </si>
  <si>
    <t>{'openalex': 'https://openalex.org/W4283519469', 'doi': 'https://doi.org/10.1177/0169796x221104856'}</t>
  </si>
  <si>
    <t>{'value': 0.89017507, 'is_in_top_1_percent': False, 'is_in_top_10_percent': False}</t>
  </si>
  <si>
    <t>{'volume': '38', 'issue': '3', 'first_page': '360', 'last_page': '383'}</t>
  </si>
  <si>
    <t>[{'year': 2025, 'cited_by_count': 5}, {'year': 2024, 'cited_by_count': 4}, {'year': 2023, 'cited_by_count': 4}]</t>
  </si>
  <si>
    <t>https://openalex.org/W4322731223</t>
  </si>
  <si>
    <t>https://doi.org/10.1109/mems49605.2023.10052235</t>
  </si>
  <si>
    <t>Modified Beam Structures for Improved Resonant Sensing</t>
  </si>
  <si>
    <t>{'openalex': 'https://openalex.org/W4322731223', 'doi': 'https://doi.org/10.1109/mems49605.2023.10052235'}</t>
  </si>
  <si>
    <t>{'value': 0.51571983, 'is_in_top_1_percent': False, 'is_in_top_10_percent': False}</t>
  </si>
  <si>
    <t>{'volume': None, 'issue': None, 'first_page': '779', 'last_page': '782'}</t>
  </si>
  <si>
    <t>[{'id': 'https://metadata.un.org/sdg/7', 'score': 0.5099999904632568, 'display_name': 'Affordable and clean energy'}]</t>
  </si>
  <si>
    <t>[{'year': 2024, 'cited_by_count': 1}, {'year': 2023, 'cited_by_count': 1}]</t>
  </si>
  <si>
    <t>https://openalex.org/W4225130189</t>
  </si>
  <si>
    <t>https://doi.org/10.1111/rssc.12572</t>
  </si>
  <si>
    <t>Stopping Time Detection of Wood Panel Compression: A Functional Time-Series Approach</t>
  </si>
  <si>
    <t>{'openalex': 'https://openalex.org/W4225130189', 'doi': 'https://doi.org/10.1111/rssc.12572'}</t>
  </si>
  <si>
    <t>{'value': 0.69971989, 'is_in_top_1_percent': False, 'is_in_top_10_percent': False}</t>
  </si>
  <si>
    <t>{'volume': '71', 'issue': '5', 'first_page': '1205', 'last_page': '1224'}</t>
  </si>
  <si>
    <t>[{'id': 'https://metadata.un.org/sdg/7', 'score': 0.8600000143051147, 'display_name': 'Affordable and clean energy'}]</t>
  </si>
  <si>
    <t>[{'year': 2025, 'cited_by_count': 1}, {'year': 2024, 'cited_by_count': 1}, {'year': 2022, 'cited_by_count': 1}]</t>
  </si>
  <si>
    <t>https://openalex.org/W4391638944</t>
  </si>
  <si>
    <t>https://doi.org/10.1149/ma2023-02371770mtgabs</t>
  </si>
  <si>
    <t>Measuring Thermal Conductivity of Single Thickness Fibrous Gas Diffusion Layers Using Transient Plane Source Method</t>
  </si>
  <si>
    <t>{'openalex': 'https://openalex.org/W4391638944', 'doi': 'https://doi.org/10.1149/ma2023-02371770mtgabs'}</t>
  </si>
  <si>
    <t>{'value': 0.58864057, 'is_in_top_1_percent': False, 'is_in_top_10_percent': False}</t>
  </si>
  <si>
    <t>{'volume': 'MA2023-02', 'issue': '37', 'first_page': '1770', 'last_page': '1770'}</t>
  </si>
  <si>
    <t>[{'id': 'https://metadata.un.org/sdg/6', 'score': 0.75, 'display_name': 'Clean water and sanitation'}]</t>
  </si>
  <si>
    <t>https://openalex.org/W3039405101</t>
  </si>
  <si>
    <t>https://doi.org/10.1111/1365-2435.13621</t>
  </si>
  <si>
    <t>Convergent evolution of niche structure in Northeast Pacific kelp forests</t>
  </si>
  <si>
    <t>{'openalex': 'https://openalex.org/W3039405101', 'doi': 'https://doi.org/10.1111/1365-2435.13621', 'mag': '3039405101'}</t>
  </si>
  <si>
    <t>{'value': 0.81837074, 'is_in_top_1_percent': False, 'is_in_top_10_percent': False}</t>
  </si>
  <si>
    <t>{'volume': '34', 'issue': '10', 'first_page': '2131', 'last_page': '2146'}</t>
  </si>
  <si>
    <t>[{'id': 'https://metadata.un.org/sdg/15', 'score': 0.550000011920929, 'display_name': 'Life in Land'}]</t>
  </si>
  <si>
    <t>[{'year': 2026, 'cited_by_count': 1}, {'year': 2025, 'cited_by_count': 6}, {'year': 2024, 'cited_by_count': 1}, {'year': 2023, 'cited_by_count': 2}, {'year': 2022, 'cited_by_count': 2}, {'year': 2021, 'cited_by_count': 1}, {'year': 2020, 'cited_by_count': 4}]</t>
  </si>
  <si>
    <t>https://openalex.org/W3211421087</t>
  </si>
  <si>
    <t>https://doi.org/10.1111/poms.13605</t>
  </si>
  <si>
    <t>A &lt;i&gt;c&lt;/i&gt; / &lt;i&gt;Î¼&lt;/i&gt; â€Rule for Job Assignment in Heterogeneous Groupâ€Server Queues</t>
  </si>
  <si>
    <t>{'openalex': 'https://openalex.org/W3211421087', 'doi': 'https://doi.org/10.1111/poms.13605', 'mag': '3211421087'}</t>
  </si>
  <si>
    <t>{'value': 0.88045319, 'is_in_top_1_percent': False, 'is_in_top_10_percent': False}</t>
  </si>
  <si>
    <t>{'volume': '31', 'issue': '3', 'first_page': '1191', 'last_page': '1215'}</t>
  </si>
  <si>
    <t>[{'id': 'https://metadata.un.org/sdg/8', 'score': 0.5899999737739563, 'display_name': 'Decent work and economic growth'}]</t>
  </si>
  <si>
    <t>[{'year': 2026, 'cited_by_count': 1}, {'year': 2024, 'cited_by_count': 2}, {'year': 2023, 'cited_by_count': 4}, {'year': 2022, 'cited_by_count': 2}, {'year': 2021, 'cited_by_count': 1}]</t>
  </si>
  <si>
    <t>https://openalex.org/W4403822917</t>
  </si>
  <si>
    <t>https://doi.org/10.1016/j.actbio.2024.10.029</t>
  </si>
  <si>
    <t>Developing a soft micropatterned substrate to enhance maturation of human induced pluripotent stem cell-derived cardiomyocytes</t>
  </si>
  <si>
    <t>{'openalex': 'https://openalex.org/W4403822917', 'doi': 'https://doi.org/10.1016/j.actbio.2024.10.029', 'pmid': 'https://pubmed.ncbi.nlm.nih.gov/39490605'}</t>
  </si>
  <si>
    <t>{'value': 0.73743326, 'is_in_top_1_percent': False, 'is_in_top_10_percent': False}</t>
  </si>
  <si>
    <t>{'volume': '190', 'issue': None, 'first_page': '133', 'last_page': '151'}</t>
  </si>
  <si>
    <t>[{'id': 'https://metadata.un.org/sdg/2', 'score': 0.7799999713897705, 'display_name': 'Zero hunger'}]</t>
  </si>
  <si>
    <t>[{'year': 2026, 'cited_by_count': 1}, {'year': 2025, 'cited_by_count': 4}]</t>
  </si>
  <si>
    <t>https://openalex.org/W4404840142</t>
  </si>
  <si>
    <t>https://doi.org/10.1109/lsens.2024.3509373</t>
  </si>
  <si>
    <t>Synergistic Design of Resonant Elements and Force Multipliers to Boost the Sensitivity in Resonant Sensing Applications</t>
  </si>
  <si>
    <t>{'openalex': 'https://openalex.org/W4404840142', 'doi': 'https://doi.org/10.1109/lsens.2024.3509373'}</t>
  </si>
  <si>
    <t>{'value': 0.55752493, 'is_in_top_1_percent': False, 'is_in_top_10_percent': False}</t>
  </si>
  <si>
    <t>[{'id': 'https://metadata.un.org/sdg/13', 'score': 0.5299999713897705, 'display_name': 'Climate action'}]</t>
  </si>
  <si>
    <t>https://openalex.org/W4307287248</t>
  </si>
  <si>
    <t>https://doi.org/10.1021/acsaem.2c01548</t>
  </si>
  <si>
    <t>Assessing the Transformations of Supported Nanocatalysts Used in the Oxygen Evolution Reaction: A Case Study Using NiFe&lt;sub&gt;2&lt;/sub&gt;O&lt;sub&gt;4&lt;/sub&gt; Nanoparticles Supported on Textured Ni Electrodes</t>
  </si>
  <si>
    <t>{'openalex': 'https://openalex.org/W4307287248', 'doi': 'https://doi.org/10.1021/acsaem.2c01548'}</t>
  </si>
  <si>
    <t>{'value': 0.41218624, 'is_in_top_1_percent': False, 'is_in_top_10_percent': False}</t>
  </si>
  <si>
    <t>{'min': 90, 'max': 97}</t>
  </si>
  <si>
    <t>{'volume': '5', 'issue': '11', 'first_page': '13222', 'last_page': '13233'}</t>
  </si>
  <si>
    <t>[{'year': 2025, 'cited_by_count': 1}, {'year': 2024, 'cited_by_count': 1}, {'year': 2023, 'cited_by_count': 3}]</t>
  </si>
  <si>
    <t>https://openalex.org/W4308507325</t>
  </si>
  <si>
    <t>https://doi.org/10.1088/1748-0221/17/11/c11002</t>
  </si>
  <si>
    <t>Pre-production results from ATLAS ITk Strip Sensors Quality Assurance Testchip</t>
  </si>
  <si>
    <t>{'openalex': 'https://openalex.org/W4308507325', 'doi': 'https://doi.org/10.1088/1748-0221/17/11/c11002'}</t>
  </si>
  <si>
    <t>{'value': 0.90668791, 'is_in_top_1_percent': False, 'is_in_top_10_percent': True}</t>
  </si>
  <si>
    <t>{'volume': '17', 'issue': '11', 'first_page': 'C11002', 'last_page': 'C11002'}</t>
  </si>
  <si>
    <t>[{'year': 2024, 'cited_by_count': 1}, {'year': 2023, 'cited_by_count': 3}]</t>
  </si>
  <si>
    <t>https://openalex.org/W4402722170</t>
  </si>
  <si>
    <t>https://doi.org/10.1145/3670947.3670960</t>
  </si>
  <si>
    <t>BendAide: A Deformable Interface to Augment Touchscreen Mobile Devices</t>
  </si>
  <si>
    <t>{'openalex': 'https://openalex.org/W4402722170', 'doi': 'https://doi.org/10.1145/3670947.3670960'}</t>
  </si>
  <si>
    <t>{'value': 0.35925926, 'is_in_top_1_percent': False, 'is_in_top_10_percent': False}</t>
  </si>
  <si>
    <t>{'volume': None, 'issue': None, 'first_page': '1', 'last_page': '10'}</t>
  </si>
  <si>
    <t>[{'id': 'https://metadata.un.org/sdg/7', 'score': 0.6899999976158142, 'display_name': 'Affordable and clean energy'}]</t>
  </si>
  <si>
    <t>https://openalex.org/W4385202502</t>
  </si>
  <si>
    <t>https://doi.org/10.1016/j.aquatox.2023.106640</t>
  </si>
  <si>
    <t>rGO outperforms GO in generating oxidative stress and DNA strand breaks in zebrafish liver cells</t>
  </si>
  <si>
    <t>{'openalex': 'https://openalex.org/W4385202502', 'doi': 'https://doi.org/10.1016/j.aquatox.2023.106640', 'pmid': 'https://pubmed.ncbi.nlm.nih.gov/37595501'}</t>
  </si>
  <si>
    <t>{'value': 0.6152184, 'is_in_top_1_percent': False, 'is_in_top_10_percent': False}</t>
  </si>
  <si>
    <t>{'volume': '262', 'issue': None, 'first_page': '106640', 'last_page': '106640'}</t>
  </si>
  <si>
    <t>[{'score': 0.699999988079071, 'id': 'https://metadata.un.org/sdg/14', 'display_name': 'Life below water'}]</t>
  </si>
  <si>
    <t>[{'year': 2025, 'cited_by_count': 1}, {'year': 2024, 'cited_by_count': 3}, {'year': 2023, 'cited_by_count': 1}]</t>
  </si>
  <si>
    <t>https://openalex.org/W4401216108</t>
  </si>
  <si>
    <t>https://doi.org/10.1103/physrevb.110.064401</t>
  </si>
  <si>
    <t>Giant anomalous Hall effect in epitaxial &lt;mml:math xmlns:mml="http://www.w3.org/1998/Math/MathML"&gt;&lt;mml:mrow&gt;&lt;mml:msub&gt;&lt;mml:mi&gt;Mn&lt;/mml:mi&gt;&lt;mml:mrow&gt;&lt;mml:mn&gt;3.2&lt;/mml:mn&gt;&lt;/mml:mrow&gt;&lt;/mml:msub&gt;&lt;mml:mi&gt;Ge&lt;/mml:mi&gt;&lt;/mml:mrow&gt;&lt;/mml:math&gt; films with a cubic kagome structure</t>
  </si>
  <si>
    <t>{'openalex': 'https://openalex.org/W4401216108', 'doi': 'https://doi.org/10.1103/physrevb.110.064401'}</t>
  </si>
  <si>
    <t>{'value': 0.59072214, 'is_in_top_1_percent': False, 'is_in_top_10_percent': False}</t>
  </si>
  <si>
    <t>{'volume': '110', 'issue': '6', 'first_page': None, 'last_page': None}</t>
  </si>
  <si>
    <t>https://openalex.org/W3155415349</t>
  </si>
  <si>
    <t>https://doi.org/10.1002/adem.202100048</t>
  </si>
  <si>
    <t>Benchtop Oneâ€toâ€One Nanocontact Replication Across Length Scales from 100â€‰nm to 10â€‰cm via Ambient Polycarbonate Molding</t>
  </si>
  <si>
    <t>{'openalex': 'https://openalex.org/W3155415349', 'doi': 'https://doi.org/10.1002/adem.202100048', 'mag': '3155415349'}</t>
  </si>
  <si>
    <t>{'value': 0.03677486, 'is_in_top_1_percent': False, 'is_in_top_10_percent': False}</t>
  </si>
  <si>
    <t>{'volume': '23', 'issue': '8', 'first_page': None, 'last_page': None}</t>
  </si>
  <si>
    <t>https://openalex.org/W4255382087</t>
  </si>
  <si>
    <t>https://doi.org/10.26434/chemrxiv-2021-lj2bz</t>
  </si>
  <si>
    <t>High-Performance, Single-Crystal Gold Bowtie Nano-Antennas via Epitaxial Electroless Deposition</t>
  </si>
  <si>
    <t>{'openalex': 'https://openalex.org/W4255382087', 'doi': 'https://doi.org/10.26434/chemrxiv-2021-lj2bz'}</t>
  </si>
  <si>
    <t>{'value': 0.14355312, 'is_in_top_1_percent': False, 'is_in_top_10_percent': False}</t>
  </si>
  <si>
    <t>https://openalex.org/W4402221351</t>
  </si>
  <si>
    <t>https://doi.org/10.1016/j.jallcom.2024.176341</t>
  </si>
  <si>
    <t>Cutting-edge developments in perovskite solar cells: The role of dimensional and mixed-dimensional engineering</t>
  </si>
  <si>
    <t>{'openalex': 'https://openalex.org/W4402221351', 'doi': 'https://doi.org/10.1016/j.jallcom.2024.176341'}</t>
  </si>
  <si>
    <t>{'value': 0.74642119, 'is_in_top_1_percent': False, 'is_in_top_10_percent': False}</t>
  </si>
  <si>
    <t>{'volume': '1006', 'issue': None, 'first_page': '176341', 'last_page': '176341'}</t>
  </si>
  <si>
    <t>[{'year': 2025, 'cited_by_count': 3}, {'year': 2024, 'cited_by_count': 1}]</t>
  </si>
  <si>
    <t>https://openalex.org/W4405490589</t>
  </si>
  <si>
    <t>https://doi.org/10.1109/sensors60989.2024.10784982</t>
  </si>
  <si>
    <t>A MEMS Gravimeter with Buckling-Beam Nonlinear Springs for Enhanced Sensitivity and Dynamic Range</t>
  </si>
  <si>
    <t>{'openalex': 'https://openalex.org/W4405490589', 'doi': 'https://doi.org/10.1109/sensors60989.2024.10784982'}</t>
  </si>
  <si>
    <t>{'value': 0.65162283, 'is_in_top_1_percent': False, 'is_in_top_10_percent': False}</t>
  </si>
  <si>
    <t>[{'score': 0.5299999713897705, 'id': 'https://metadata.un.org/sdg/7', 'display_name': 'Affordable and clean energy'}]</t>
  </si>
  <si>
    <t>https://openalex.org/W3011360285</t>
  </si>
  <si>
    <t>https://doi.org/10.1080/00207543.2020.1735656</t>
  </si>
  <si>
    <t>M/PH/C queue under a congestion-based staffing policy with applications in steel industryÂ operations</t>
  </si>
  <si>
    <t>{'openalex': 'https://openalex.org/W3011360285', 'doi': 'https://doi.org/10.1080/00207543.2020.1735656', 'mag': '3011360285'}</t>
  </si>
  <si>
    <t>{'value': 0.69348537, 'is_in_top_1_percent': False, 'is_in_top_10_percent': False}</t>
  </si>
  <si>
    <t>{'volume': '59', 'issue': '5', 'first_page': '1319', 'last_page': '1330'}</t>
  </si>
  <si>
    <t>[{'score': 0.6600000262260437, 'id': 'https://metadata.un.org/sdg/9', 'display_name': 'Industry, innovation and infrastructure'}]</t>
  </si>
  <si>
    <t>[{'year': 2024, 'cited_by_count': 1}, {'year': 2021, 'cited_by_count': 1}, {'year': 2020, 'cited_by_count': 1}]</t>
  </si>
  <si>
    <t>https://openalex.org/W2952520994</t>
  </si>
  <si>
    <t>https://doi.org/10.1021/acsnano.0c03466</t>
  </si>
  <si>
    <t>Scalable, Green Fabrication of Single-Crystal Noble Metal Films and Nanostructures for Low-Loss Nanotechnology Applications</t>
  </si>
  <si>
    <t>{'openalex': 'https://openalex.org/W2952520994', 'doi': 'https://doi.org/10.1021/acsnano.0c03466', 'mag': '2952520994', 'pmid': 'https://pubmed.ncbi.nlm.nih.gov/32401491'}</t>
  </si>
  <si>
    <t>{'value': 0.24506931, 'is_in_top_1_percent': False, 'is_in_top_10_percent': False}</t>
  </si>
  <si>
    <t>{'min': 89, 'max': 93}</t>
  </si>
  <si>
    <t>{'volume': '14', 'issue': '6', 'first_page': '7581', 'last_page': '7592'}</t>
  </si>
  <si>
    <t>[{'year': 2021, 'cited_by_count': 1}]</t>
  </si>
  <si>
    <t>https://openalex.org/W3217242043</t>
  </si>
  <si>
    <t>https://doi.org/10.1002/solr.202100992</t>
  </si>
  <si>
    <t>Serendipitous Doping in Nickel Oxide upon Microwaveâ€Induced Lowâ€Temperature Crystallization Enhances Efficiency of Perovskite Solar Cells</t>
  </si>
  <si>
    <t>{'openalex': 'https://openalex.org/W3217242043', 'doi': 'https://doi.org/10.1002/solr.202100992', 'mag': '3217242043'}</t>
  </si>
  <si>
    <t>{'value': 0.52472715, 'is_in_top_1_percent': False, 'is_in_top_10_percent': False}</t>
  </si>
  <si>
    <t>{'min': 94, 'max': 96}</t>
  </si>
  <si>
    <t>{'volume': '6', 'issue': '2', 'first_page': None, 'last_page': None}</t>
  </si>
  <si>
    <t>[{'score': 0.7900000214576721, 'id': 'https://metadata.un.org/sdg/7', 'display_name': 'Affordable and clean energy'}]</t>
  </si>
  <si>
    <t>[{'year': 2023, 'cited_by_count': 2}]</t>
  </si>
  <si>
    <t>https://openalex.org/W4399390162</t>
  </si>
  <si>
    <t>https://doi.org/10.20944/preprints202406.0404.v1</t>
  </si>
  <si>
    <t>{'openalex': 'https://openalex.org/W4399390162', 'doi': 'https://doi.org/10.20944/preprints202406.0404.v1'}</t>
  </si>
  <si>
    <t>[{'year': 2026, 'cited_by_count': 1}, {'year': 2025, 'cited_by_count': 2}]</t>
  </si>
  <si>
    <t>https://openalex.org/W4392683220</t>
  </si>
  <si>
    <t>https://doi.org/10.1117/12.3003941</t>
  </si>
  <si>
    <t>Fast scattering coefficient measurement of intralipid-infused tissue phantoms using imaging sensors</t>
  </si>
  <si>
    <t>{'openalex': 'https://openalex.org/W4392683220', 'doi': 'https://doi.org/10.1117/12.3003941'}</t>
  </si>
  <si>
    <t>{'value': 0.59630251, 'is_in_top_1_percent': False, 'is_in_top_10_percent': False}</t>
  </si>
  <si>
    <t>{'volume': None, 'issue': None, 'first_page': '1', 'last_page': '1'}</t>
  </si>
  <si>
    <t>[{'score': 0.4099999964237213, 'id': 'https://metadata.un.org/sdg/12', 'display_name': 'Responsible consumption and production'}]</t>
  </si>
  <si>
    <t>https://openalex.org/W3008540537</t>
  </si>
  <si>
    <t>https://doi.org/10.1101/2020.02.24.963421</t>
  </si>
  <si>
    <t>{'openalex': 'https://openalex.org/W3008540537', 'doi': 'https://doi.org/10.1101/2020.02.24.963421', 'mag': '3008540537'}</t>
  </si>
  <si>
    <t>[{'score': 0.6800000071525574, 'id': 'https://metadata.un.org/sdg/15', 'display_name': 'Life in Land'}]</t>
  </si>
  <si>
    <t>[{'year': 2024, 'cited_by_count': 2}, {'year': 2023, 'cited_by_count': 1}, {'year': 2020, 'cited_by_count': 2}]</t>
  </si>
  <si>
    <t>https://openalex.org/W3025048803</t>
  </si>
  <si>
    <t>https://doi.org/10.1149/ma2020-01302305mtgabs</t>
  </si>
  <si>
    <t>{'openalex': 'https://openalex.org/W3025048803', 'doi': 'https://doi.org/10.1149/ma2020-01302305mtgabs', 'mag': '3025048803'}</t>
  </si>
  <si>
    <t>{'value': 0.03807806, 'is_in_top_1_percent': False, 'is_in_top_10_percent': False}</t>
  </si>
  <si>
    <t>{'volume': 'MA2020-01', 'issue': '30', 'first_page': '2305', 'last_page': '2305'}</t>
  </si>
  <si>
    <t>[{'score': 0.4399999976158142, 'id': 'https://metadata.un.org/sdg/12', 'display_name': 'Responsible consumption and production'}]</t>
  </si>
  <si>
    <t>https://openalex.org/W4392704888</t>
  </si>
  <si>
    <t>https://doi.org/10.29363/nanoge.matsus.2024.301</t>
  </si>
  <si>
    <t>Computational Screening Of Non-copper-based Catalysts For Electrochemical CO2 Reduction Reaction</t>
  </si>
  <si>
    <t>{'openalex': 'https://openalex.org/W4392704888', 'doi': 'https://doi.org/10.29363/nanoge.matsus.2024.301'}</t>
  </si>
  <si>
    <t>{'value': 0.14369067, 'is_in_top_1_percent': False, 'is_in_top_10_percent': False}</t>
  </si>
  <si>
    <t>https://openalex.org/W4318542896</t>
  </si>
  <si>
    <t>https://doi.org/10.1016/j.envres.2022.115201</t>
  </si>
  <si>
    <t>Critical windows of fluoride neurotoxicity in Canadian children by Farmus and colleagues â€“ In reply to Guichon et al. (2022)</t>
  </si>
  <si>
    <t>{'openalex': 'https://openalex.org/W4318542896', 'doi': 'https://doi.org/10.1016/j.envres.2022.115201', 'pmid': 'https://pubmed.ncbi.nlm.nih.gov/36709871'}</t>
  </si>
  <si>
    <t>letter</t>
  </si>
  <si>
    <t>{'value': 0.4129678, 'is_in_top_1_percent': False, 'is_in_top_10_percent': False}</t>
  </si>
  <si>
    <t>{'volume': '254', 'issue': None, 'first_page': '115201', 'last_page': '115201'}</t>
  </si>
  <si>
    <t>[{'score': 0.5699999928474426, 'id': 'https://metadata.un.org/sdg/7', 'display_name': 'Affordable and clean energy'}]</t>
  </si>
  <si>
    <t>https://openalex.org/W4392704354</t>
  </si>
  <si>
    <t>https://doi.org/10.29363/nanoge.matsus.2024.316</t>
  </si>
  <si>
    <t>Computational Design of Two-dimensional Materials for Electrocatalysis</t>
  </si>
  <si>
    <t>{'openalex': 'https://openalex.org/W4392704354', 'doi': 'https://doi.org/10.29363/nanoge.matsus.2024.316'}</t>
  </si>
  <si>
    <t>{'value': 0.18066588, 'is_in_top_1_percent': False, 'is_in_top_10_percent': False}</t>
  </si>
  <si>
    <t>https://openalex.org/W4391536973</t>
  </si>
  <si>
    <t>https://doi.org/10.21203/rs.3.rs-3884985/v1</t>
  </si>
  <si>
    <t>{'openalex': 'https://openalex.org/W4391536973', 'doi': 'https://doi.org/10.21203/rs.3.rs-3884985/v1'}</t>
  </si>
  <si>
    <t>https://openalex.org/W4401269834</t>
  </si>
  <si>
    <t>https://doi.org/10.1016/j.energy.2024.132617</t>
  </si>
  <si>
    <t>A novel microgroove-based absorber for sorption heat transformation systems: Analytical modeling and experimental investigation</t>
  </si>
  <si>
    <t>{'openalex': 'https://openalex.org/W4401269834', 'doi': 'https://doi.org/10.1016/j.energy.2024.132617'}</t>
  </si>
  <si>
    <t>{'value': 0.11807571, 'is_in_top_1_percent': False, 'is_in_top_10_percent': False}</t>
  </si>
  <si>
    <t>{'volume': '307', 'issue': None, 'first_page': '132617', 'last_page': '132617'}</t>
  </si>
  <si>
    <t>[{'score': 0.47999998927116394, 'id': 'https://metadata.un.org/sdg/7', 'display_name': 'Affordable and clean energy'}]</t>
  </si>
  <si>
    <t>https://openalex.org/W4285399112</t>
  </si>
  <si>
    <t>https://doi.org/10.1149/ma2022-01412468mtgabs</t>
  </si>
  <si>
    <t>Modeling and Simulation of the Mechanical Properties of Reinforced Fuel Cell Membranes</t>
  </si>
  <si>
    <t>{'openalex': 'https://openalex.org/W4285399112', 'doi': 'https://doi.org/10.1149/ma2022-01412468mtgabs'}</t>
  </si>
  <si>
    <t>{'value': 0.39155855, 'is_in_top_1_percent': False, 'is_in_top_10_percent': False}</t>
  </si>
  <si>
    <t>{'volume': 'MA2022-01', 'issue': '41', 'first_page': '2468', 'last_page': '2468'}</t>
  </si>
  <si>
    <t>[{'score': 0.46000000834465027, 'id': 'https://metadata.un.org/sdg/7', 'display_name': 'Affordable and clean energy'}]</t>
  </si>
  <si>
    <t>https://openalex.org/W3117209513</t>
  </si>
  <si>
    <t>https://doi.org/10.1149/ma2020-02352253mtgabs</t>
  </si>
  <si>
    <t>Cumulative Damage Modeling of Fuel Cell Membranes</t>
  </si>
  <si>
    <t>{'openalex': 'https://openalex.org/W3117209513', 'doi': 'https://doi.org/10.1149/ma2020-02352253mtgabs', 'mag': '3117209513'}</t>
  </si>
  <si>
    <t>{'value': 0.14442036, 'is_in_top_1_percent': False, 'is_in_top_10_percent': False}</t>
  </si>
  <si>
    <t>{'volume': 'MA2020-02', 'issue': '35', 'first_page': '2253', 'last_page': '2253'}</t>
  </si>
  <si>
    <t>[{'score': 0.4399999976158142, 'id': 'https://metadata.un.org/sdg/7', 'display_name': 'Affordable and clean energy'}]</t>
  </si>
  <si>
    <t>https://openalex.org/W4312847846</t>
  </si>
  <si>
    <t>https://doi.org/10.1109/ifetc53656.2022.9948498</t>
  </si>
  <si>
    <t>Message from the Organising Committee</t>
  </si>
  <si>
    <t>{'openalex': 'https://openalex.org/W4312847846', 'doi': 'https://doi.org/10.1109/ifetc53656.2022.9948498'}</t>
  </si>
  <si>
    <t>{'volume': None, 'issue': None, 'first_page': 'vi', 'last_page': 'vi'}</t>
  </si>
  <si>
    <t>https://openalex.org/W4207034161</t>
  </si>
  <si>
    <t>https://doi.org/10.1109/nmdc50713.2021.9677477</t>
  </si>
  <si>
    <t>Individual Nanoflakes of Two Dimensional Materials Harmonic Generation with Ultralow Pump Power</t>
  </si>
  <si>
    <t>{'openalex': 'https://openalex.org/W4207034161', 'doi': 'https://doi.org/10.1109/nmdc50713.2021.9677477'}</t>
  </si>
  <si>
    <t>{'value': 0.18656309, 'is_in_top_1_percent': False, 'is_in_top_10_percent': False}</t>
  </si>
  <si>
    <t>{'volume': '100', 'issue': None, 'first_page': '1', 'last_page': '4'}</t>
  </si>
  <si>
    <t>[{'score': 0.7799999713897705, 'id': 'https://metadata.un.org/sdg/7', 'display_name': 'Affordable and clean energy'}]</t>
  </si>
  <si>
    <t>https://openalex.org/W4402588229</t>
  </si>
  <si>
    <t>https://doi.org/10.48550/arxiv.2407.17575</t>
  </si>
  <si>
    <t>Transition from ferromagnetic to noncollinear to paramagnetic state with increasing Ru concentration in FeRu films</t>
  </si>
  <si>
    <t>{'openalex': 'https://openalex.org/W4402588229', 'doi': 'https://doi.org/10.48550/arxiv.2407.17575'}</t>
  </si>
  <si>
    <t>https://openalex.org/W4402813081</t>
  </si>
  <si>
    <t>https://doi.org/10.1103/physrevb.110.104429</t>
  </si>
  <si>
    <t>{'openalex': 'https://openalex.org/W4402813081', 'doi': 'https://doi.org/10.1103/physrevb.110.104429'}</t>
  </si>
  <si>
    <t>{'value': 0.14487439, 'is_in_top_1_percent': False, 'is_in_top_10_percent': False}</t>
  </si>
  <si>
    <t>{'volume': '110', 'issue': '10', 'first_page': None, 'last_page': None}</t>
  </si>
  <si>
    <t>https://openalex.org/W3209077064</t>
  </si>
  <si>
    <t>https://doi.org/10.33774/chemrxiv-2021-lj2bz</t>
  </si>
  <si>
    <t>{'openalex': 'https://openalex.org/W3209077064', 'doi': 'https://doi.org/10.33774/chemrxiv-2021-lj2bz', 'mag': '3209077064'}</t>
  </si>
  <si>
    <t>{'value': 0.09730379, 'is_in_top_1_percent': False, 'is_in_top_10_percent': False}</t>
  </si>
  <si>
    <t>https://openalex.org/W4309813892</t>
  </si>
  <si>
    <t>https://doi.org/10.1149/ma2022-02401481mtgabs</t>
  </si>
  <si>
    <t>Effects of Wet Film Application Parameters on the Structure and Performance of Fuel Cell Catalyst Layers Prepared Using Scalable Methods</t>
  </si>
  <si>
    <t>{'openalex': 'https://openalex.org/W4309813892', 'doi': 'https://doi.org/10.1149/ma2022-02401481mtgabs'}</t>
  </si>
  <si>
    <t>{'value': 0.0976117, 'is_in_top_1_percent': False, 'is_in_top_10_percent': False}</t>
  </si>
  <si>
    <t>{'volume': 'MA2022-02', 'issue': '40', 'first_page': '1481', 'last_page': '1481'}</t>
  </si>
  <si>
    <t>https://openalex.org/W4285398177</t>
  </si>
  <si>
    <t>https://doi.org/10.1149/ma2022-0113925mtgabs</t>
  </si>
  <si>
    <t>Hot Electron Extraction Enabled By Single-Crystal Metal Films and Nanostructures</t>
  </si>
  <si>
    <t>{'openalex': 'https://openalex.org/W4285398177', 'doi': 'https://doi.org/10.1149/ma2022-0113925mtgabs'}</t>
  </si>
  <si>
    <t>{'value': 0.04447675, 'is_in_top_1_percent': False, 'is_in_top_10_percent': False}</t>
  </si>
  <si>
    <t>{'volume': 'MA2022-01', 'issue': '13', 'first_page': '925', 'last_page': '925'}</t>
  </si>
  <si>
    <t>https://openalex.org/W4309813911</t>
  </si>
  <si>
    <t>https://doi.org/10.1149/ma2022-02401482mtgabs</t>
  </si>
  <si>
    <t>Optimized Decal Transfer Method for the Mitigation of Incidental Particle Deposition at the Interface of Proton Exchange Membranes and Catalyst Layers</t>
  </si>
  <si>
    <t>{'openalex': 'https://openalex.org/W4309813911', 'doi': 'https://doi.org/10.1149/ma2022-02401482mtgabs'}</t>
  </si>
  <si>
    <t>{'value': 0.09763409, 'is_in_top_1_percent': False, 'is_in_top_10_percent': False}</t>
  </si>
  <si>
    <t>{'volume': 'MA2022-02', 'issue': '40', 'first_page': '1482', 'last_page': '1482'}</t>
  </si>
  <si>
    <t>[{'display_name': 'Industry, innovation and infrastructure', 'score': 0.5799999833106995, 'id': 'https://metadata.un.org/sdg/9'}]</t>
  </si>
  <si>
    <t>https://openalex.org/W4285399167</t>
  </si>
  <si>
    <t>https://doi.org/10.1149/ma2022-01552300mtgabs</t>
  </si>
  <si>
    <t>Niobium Oxide Coated Mesoporous Platinum Nanoparticles for the Oxygen Reduction Reaction</t>
  </si>
  <si>
    <t>{'openalex': 'https://openalex.org/W4285399167', 'doi': 'https://doi.org/10.1149/ma2022-01552300mtgabs'}</t>
  </si>
  <si>
    <t>{'value': 0.04223857, 'is_in_top_1_percent': False, 'is_in_top_10_percent': False}</t>
  </si>
  <si>
    <t>{'volume': 'MA2022-01', 'issue': '55', 'first_page': '2300', 'last_page': '2300'}</t>
  </si>
  <si>
    <t>[{'display_name': 'Affordable and clean energy', 'score': 0.7900000214576721, 'id': 'https://metadata.un.org/sdg/7'}]</t>
  </si>
  <si>
    <t>https://openalex.org/W3217264739</t>
  </si>
  <si>
    <t>https://doi.org/10.1016/b978-0-12-823708-3.00005-5</t>
  </si>
  <si>
    <t>Advanced modifications in nonnoble materials for proton exchange membrane</t>
  </si>
  <si>
    <t>{'openalex': 'https://openalex.org/W3217264739', 'doi': 'https://doi.org/10.1016/b978-0-12-823708-3.00005-5', 'mag': '3217264739'}</t>
  </si>
  <si>
    <t>{'value': 0.31518102, 'is_in_top_1_percent': False, 'is_in_top_10_percent': False}</t>
  </si>
  <si>
    <t>{'volume': None, 'issue': None, 'first_page': '243', 'last_page': '277'}</t>
  </si>
  <si>
    <t>[{'display_name': 'Responsible consumption and production', 'score': 0.4000000059604645, 'id': 'https://metadata.un.org/sdg/12'}]</t>
  </si>
  <si>
    <t>https://openalex.org/W4391270781</t>
  </si>
  <si>
    <t>https://doi.org/10.1117/12.3003437</t>
  </si>
  <si>
    <t>Segmental airway phantom for endobronchial optical coherence tomography</t>
  </si>
  <si>
    <t>{'openalex': 'https://openalex.org/W4391270781', 'doi': 'https://doi.org/10.1117/12.3003437'}</t>
  </si>
  <si>
    <t>{'value': 0.01700399, 'is_in_top_1_percent': False, 'is_in_top_10_percent': False}</t>
  </si>
  <si>
    <t>{'volume': None, 'issue': None, 'first_page': '25', 'last_page': '25'}</t>
  </si>
  <si>
    <t>https://openalex.org/W4400068792</t>
  </si>
  <si>
    <t>https://doi.org/10.2139/ssrn.4877451</t>
  </si>
  <si>
    <t>Developing a Soft Micropatterned Substrate to Enhance Maturation of Human Induced Pluripotent Stem Cell-Derived Cardiomyocytes&amp;amp;nbsp;(hiPSC-CMs)</t>
  </si>
  <si>
    <t>{'openalex': 'https://openalex.org/W4400068792', 'doi': 'https://doi.org/10.2139/ssrn.4877451'}</t>
  </si>
  <si>
    <t>[{'display_name': 'Zero hunger', 'score': 0.7300000190734863, 'id': 'https://metadata.un.org/sdg/2'}]</t>
  </si>
  <si>
    <t>https://openalex.org/W4400619239</t>
  </si>
  <si>
    <t>https://doi.org/10.1101/2024.07.12.599409</t>
  </si>
  <si>
    <t>Developing a Soft Micropatterned Substrate to Enhance Maturation of Human Induced Pluripotent Stem Cell-Derived Cardiomyocytes (hiPSC-CMs)</t>
  </si>
  <si>
    <t>{'openalex': 'https://openalex.org/W4400619239', 'doi': 'https://doi.org/10.1101/2024.07.12.599409'}</t>
  </si>
  <si>
    <t>https://openalex.org/W4403486965</t>
  </si>
  <si>
    <t>https://doi.org/10.1115/1.4066889</t>
  </si>
  <si>
    <t>Design, Analysis, and Testing of an Additively Manufactured Catalytic Combustor for a Micro-Wave Rotor Turbine</t>
  </si>
  <si>
    <t>{'openalex': 'https://openalex.org/W4403486965', 'doi': 'https://doi.org/10.1115/1.4066889'}</t>
  </si>
  <si>
    <t>{'value': 0.20210283, 'is_in_top_1_percent': False, 'is_in_top_10_percent': False}</t>
  </si>
  <si>
    <t>{'volume': '147', 'issue': '7', 'first_page': None, 'last_page': None}</t>
  </si>
  <si>
    <t>[{'display_name': 'Affordable and clean energy', 'score': 0.800000011920929, 'id': 'https://metadata.un.org/sdg/7'}]</t>
  </si>
  <si>
    <t>https://openalex.org/W4401941713</t>
  </si>
  <si>
    <t>https://doi.org/10.1115/gt2024-125961</t>
  </si>
  <si>
    <t>{'openalex': 'https://openalex.org/W4401941713', 'doi': 'https://doi.org/10.1115/gt2024-125961'}</t>
  </si>
  <si>
    <t>{'value': 0.15012181, 'is_in_top_1_percent': False, 'is_in_top_10_percent': False}</t>
  </si>
  <si>
    <t>https://openalex.org/W4391402871</t>
  </si>
  <si>
    <t>https://doi.org/10.22541/au.170670450.06565845/v1</t>
  </si>
  <si>
    <t>Growth-promoting Effect of Graphene Oxide on Tissue Culture Seedlings of Poplar</t>
  </si>
  <si>
    <t>{'openalex': 'https://openalex.org/W4391402871', 'doi': 'https://doi.org/10.22541/au.170670450.06565845/v1'}</t>
  </si>
  <si>
    <t>{'value': 0.01096726, 'is_in_top_1_percent': False, 'is_in_top_10_percent': False}</t>
  </si>
  <si>
    <t>https://openalex.org/W4285399147</t>
  </si>
  <si>
    <t>https://doi.org/10.1149/ma2022-01552295mtgabs</t>
  </si>
  <si>
    <t>Cathodic Pd&lt;sub&gt;1-X&lt;/sub&gt;Ni&lt;sub&gt;X&lt;/sub&gt; Nanocatalyst Development for Alkaline Fuel Cell Applications</t>
  </si>
  <si>
    <t>{'openalex': 'https://openalex.org/W4285399147', 'doi': 'https://doi.org/10.1149/ma2022-01552295mtgabs'}</t>
  </si>
  <si>
    <t>{'value': 0.04218169, 'is_in_top_1_percent': False, 'is_in_top_10_percent': False}</t>
  </si>
  <si>
    <t>{'volume': 'MA2022-01', 'issue': '55', 'first_page': '2295', 'last_page': '2295'}</t>
  </si>
  <si>
    <t>[{'display_name': 'Affordable and clean energy', 'score': 0.8100000023841858, 'id': 'https://metadata.un.org/sdg/7'}]</t>
  </si>
  <si>
    <t>https://openalex.org/W4285399061</t>
  </si>
  <si>
    <t>https://doi.org/10.1149/ma2022-01532200mtgabs</t>
  </si>
  <si>
    <t>(Invited) Textile-based Electronic/fluidic Platforms Towards Wearable Diagnostic Sensor Systems</t>
  </si>
  <si>
    <t>{'openalex': 'https://openalex.org/W4285399061', 'doi': 'https://doi.org/10.1149/ma2022-01532200mtgabs'}</t>
  </si>
  <si>
    <t>{'value': 0.06345257, 'is_in_top_1_percent': False, 'is_in_top_10_percent': False}</t>
  </si>
  <si>
    <t>{'volume': 'MA2022-01', 'issue': '53', 'first_page': '2200', 'last_page': '2200'}</t>
  </si>
  <si>
    <t>https://openalex.org/W3114285583</t>
  </si>
  <si>
    <t>https://doi.org/10.1149/ma2020-02332130mtgabs</t>
  </si>
  <si>
    <t>In-Situ Capabilities of Lab-Based X-Ray Microscopy for Polymer Electrolyte Fuel Cells</t>
  </si>
  <si>
    <t>{'openalex': 'https://openalex.org/W3114285583', 'doi': 'https://doi.org/10.1149/ma2020-02332130mtgabs', 'mag': '3114285583'}</t>
  </si>
  <si>
    <t>{'value': 0.13533435, 'is_in_top_1_percent': False, 'is_in_top_10_percent': False}</t>
  </si>
  <si>
    <t>{'volume': 'MA2020-02', 'issue': '33', 'first_page': '2130', 'last_page': '2130'}</t>
  </si>
  <si>
    <t>[{'display_name': 'Affordable and clean energy', 'score': 0.4699999988079071, 'id': 'https://metadata.un.org/sdg/7'}]</t>
  </si>
  <si>
    <t>https://openalex.org/W4400275084</t>
  </si>
  <si>
    <t>https://doi.org/10.1109/jflex.2024.3408001</t>
  </si>
  <si>
    <t>Guest Editorial Special Issue on Self-Powered Sensors and Wearable Electronic Systems</t>
  </si>
  <si>
    <t>{'openalex': 'https://openalex.org/W4400275084', 'doi': 'https://doi.org/10.1109/jflex.2024.3408001'}</t>
  </si>
  <si>
    <t>{'value': 0.08989913, 'is_in_top_1_percent': False, 'is_in_top_10_percent': False}</t>
  </si>
  <si>
    <t>{'volume': '3', 'issue': '4', 'first_page': '118', 'last_page': '119'}</t>
  </si>
  <si>
    <t>[{'display_name': 'Affordable and clean energy', 'score': 0.4300000071525574, 'id': 'https://metadata.un.org/sdg/7'}]</t>
  </si>
  <si>
    <t>https://openalex.org/W4391663218</t>
  </si>
  <si>
    <t>https://doi.org/10.1149/ma2023-02391922mtgabs</t>
  </si>
  <si>
    <t>In-Situ Fatigue Lifetime Modeling of a Reinforced Membrane by Projecting Critical Accumulated Plastic Dissipation Energy from Pressure Differential-Accelerated Mechanical Stress Tests</t>
  </si>
  <si>
    <t>{'openalex': 'https://openalex.org/W4391663218', 'doi': 'https://doi.org/10.1149/ma2023-02391922mtgabs'}</t>
  </si>
  <si>
    <t>{'value': 0.19508956, 'is_in_top_1_percent': False, 'is_in_top_10_percent': False}</t>
  </si>
  <si>
    <t>{'volume': 'MA2023-02', 'issue': '39', 'first_page': '1922', 'last_page': '1922'}</t>
  </si>
  <si>
    <t>https://openalex.org/W4309811627</t>
  </si>
  <si>
    <t>https://doi.org/10.1149/ma2022-02431616mtgabs</t>
  </si>
  <si>
    <t>Polythiophene, Polypyrrole and Carbon Nanotube-Based Catalyst for Alkaline Membrane Fuel Cell Cathode</t>
  </si>
  <si>
    <t>{'openalex': 'https://openalex.org/W4309811627', 'doi': 'https://doi.org/10.1149/ma2022-02431616mtgabs'}</t>
  </si>
  <si>
    <t>{'value': 0.09650986, 'is_in_top_1_percent': False, 'is_in_top_10_percent': False}</t>
  </si>
  <si>
    <t>{'volume': 'MA2022-02', 'issue': '43', 'first_page': '1616', 'last_page': '1616'}</t>
  </si>
  <si>
    <t>[{'display_name': 'Industry, innovation and infrastructure', 'score': 0.4099999964237213, 'id': 'https://metadata.un.org/sdg/9'}]</t>
  </si>
  <si>
    <t>https://openalex.org/W4391662651</t>
  </si>
  <si>
    <t>https://doi.org/10.1149/ma2023-02391920mtgabs</t>
  </si>
  <si>
    <t>High Durability of Pemion&lt;sup&gt;Â®&lt;/sup&gt; Proton Exchange Membranes in Cross-Pressure Accelerated Mechanical Stress Tests</t>
  </si>
  <si>
    <t>{'openalex': 'https://openalex.org/W4391662651', 'doi': 'https://doi.org/10.1149/ma2023-02391920mtgabs'}</t>
  </si>
  <si>
    <t>{'value': 0.1941071, 'is_in_top_1_percent': False, 'is_in_top_10_percent': False}</t>
  </si>
  <si>
    <t>{'volume': 'MA2023-02', 'issue': '39', 'first_page': '1920', 'last_page': '1920'}</t>
  </si>
  <si>
    <t>[{'display_name': 'Industry, innovation and infrastructure', 'score': 0.6100000143051147, 'id': 'https://metadata.un.org/sdg/9'}]</t>
  </si>
  <si>
    <t>https://openalex.org/W3114589188</t>
  </si>
  <si>
    <t>https://doi.org/10.1149/ma2020-02372361mtgabs</t>
  </si>
  <si>
    <t>Transition Metal-Containing Nitrogen-Doped Nanocarbons Derived from 5-Methylresorcinol for Anion Exchange Membrane Fuel Cell Application</t>
  </si>
  <si>
    <t>{'openalex': 'https://openalex.org/W3114589188', 'doi': 'https://doi.org/10.1149/ma2020-02372361mtgabs', 'mag': '3114589188'}</t>
  </si>
  <si>
    <t>{'value': 0.13624321, 'is_in_top_1_percent': False, 'is_in_top_10_percent': False}</t>
  </si>
  <si>
    <t>{'volume': 'MA2020-02', 'issue': '37', 'first_page': '2361', 'last_page': '2361'}</t>
  </si>
  <si>
    <t>https://openalex.org/W4285398133</t>
  </si>
  <si>
    <t>https://doi.org/10.1149/ma2022-01351418mtgabs</t>
  </si>
  <si>
    <t>Fe- and Co-Containing Nitrogen-Doped Nanocarbon Catalysts from 5-Methylresorcinol for Anion Exchange Membrane Fuel Cells</t>
  </si>
  <si>
    <t>{'openalex': 'https://openalex.org/W4285398133', 'doi': 'https://doi.org/10.1149/ma2022-01351418mtgabs'}</t>
  </si>
  <si>
    <t>{'value': 0.04043755, 'is_in_top_1_percent': False, 'is_in_top_10_percent': False}</t>
  </si>
  <si>
    <t>{'volume': 'MA2022-01', 'issue': '35', 'first_page': '1418', 'last_page': '1418'}</t>
  </si>
  <si>
    <t>https://openalex.org/W4393072836</t>
  </si>
  <si>
    <t>https://doi.org/10.1111/sjtg.12539</t>
  </si>
  <si>
    <t>Guest Editorial: The social life of Chinese infrastructures in Southeast Asia</t>
  </si>
  <si>
    <t>{'openalex': 'https://openalex.org/W4393072836', 'doi': 'https://doi.org/10.1111/sjtg.12539'}</t>
  </si>
  <si>
    <t>{'value': 0.9622204, 'is_in_top_1_percent': False, 'is_in_top_10_percent': True}</t>
  </si>
  <si>
    <t>{'volume': '45', 'issue': '2', 'first_page': '169', 'last_page': '180'}</t>
  </si>
  <si>
    <t>[{'display_name': 'Industry, innovation and infrastructure', 'score': 0.5400000214576721, 'id': 'https://metadata.un.org/sdg/9'}]</t>
  </si>
  <si>
    <t>https://openalex.org/W4391662786</t>
  </si>
  <si>
    <t>https://doi.org/10.1149/ma2023-02381818mtgabs</t>
  </si>
  <si>
    <t>Impact of Missing Cathode Catalyst Layer Areas on Performance and Durability in PEM Fuel Cells</t>
  </si>
  <si>
    <t>{'openalex': 'https://openalex.org/W4391662786', 'doi': 'https://doi.org/10.1149/ma2023-02381818mtgabs'}</t>
  </si>
  <si>
    <t>{'value': 0.19439066, 'is_in_top_1_percent': False, 'is_in_top_10_percent': False}</t>
  </si>
  <si>
    <t>{'volume': 'MA2023-02', 'issue': '38', 'first_page': '1818', 'last_page': '1818'}</t>
  </si>
  <si>
    <t>https://openalex.org/W3114762970</t>
  </si>
  <si>
    <t>https://doi.org/10.1149/ma2020-02352257mtgabs</t>
  </si>
  <si>
    <t>Exploring Component Interactions during Mechanical Degradation of Fuel Cell Membranes with 4D in Situ Visualization</t>
  </si>
  <si>
    <t>{'openalex': 'https://openalex.org/W3114762970', 'doi': 'https://doi.org/10.1149/ma2020-02352257mtgabs', 'mag': '3114762970'}</t>
  </si>
  <si>
    <t>{'value': 0.13677241, 'is_in_top_1_percent': False, 'is_in_top_10_percent': False}</t>
  </si>
  <si>
    <t>{'volume': 'MA2020-02', 'issue': '35', 'first_page': '2257', 'last_page': '2257'}</t>
  </si>
  <si>
    <t>https://openalex.org/W4309811892</t>
  </si>
  <si>
    <t>https://doi.org/10.1149/ma2022-02391413mtgabs</t>
  </si>
  <si>
    <t>Visualization of Water Distribution in Fuel Cell Microporous and Catalyst Layers with 3D Nanoscale X-Ray Imaging</t>
  </si>
  <si>
    <t>{'openalex': 'https://openalex.org/W4309811892', 'doi': 'https://doi.org/10.1149/ma2022-02391413mtgabs'}</t>
  </si>
  <si>
    <t>{'value': 0.11253197, 'is_in_top_1_percent': False, 'is_in_top_10_percent': False}</t>
  </si>
  <si>
    <t>{'volume': 'MA2022-02', 'issue': '39', 'first_page': '1413', 'last_page': '1413'}</t>
  </si>
  <si>
    <t>Authors</t>
  </si>
  <si>
    <t>Author full names</t>
  </si>
  <si>
    <t>Author(s) ID</t>
  </si>
  <si>
    <t>Title</t>
  </si>
  <si>
    <t>Year</t>
  </si>
  <si>
    <t>Source title</t>
  </si>
  <si>
    <t>Volume</t>
  </si>
  <si>
    <t>Issue</t>
  </si>
  <si>
    <t>Art. No.</t>
  </si>
  <si>
    <t>Page start</t>
  </si>
  <si>
    <t>Page end</t>
  </si>
  <si>
    <t>Cited by</t>
  </si>
  <si>
    <t>DOI</t>
  </si>
  <si>
    <t>Link</t>
  </si>
  <si>
    <t>Affiliations</t>
  </si>
  <si>
    <t>Authors with affiliations</t>
  </si>
  <si>
    <t>Correspondence Address</t>
  </si>
  <si>
    <t>Editors</t>
  </si>
  <si>
    <t>Publisher</t>
  </si>
  <si>
    <t>ISSN</t>
  </si>
  <si>
    <t>ISBN</t>
  </si>
  <si>
    <t>CODEN</t>
  </si>
  <si>
    <t>PubMed ID</t>
  </si>
  <si>
    <t>Language of Original Document</t>
  </si>
  <si>
    <t>Abbreviated Source Title</t>
  </si>
  <si>
    <t>Document Type</t>
  </si>
  <si>
    <t>Publication Stage</t>
  </si>
  <si>
    <t>Open Access</t>
  </si>
  <si>
    <t>Source</t>
  </si>
  <si>
    <t>EID</t>
  </si>
  <si>
    <t>Liepold, H.; Bird, A.; Heizmann, P.A.; Fadlullah, H.; Nguyen, H.; Klose, C.; Holdcroft, S.; Kusoglu, A.; Vierrath, S.; Münchinger, A.</t>
  </si>
  <si>
    <t>Liepold, Hannes (58258483300); Bird, Ashley (57220952649); Heizmann, Philipp A. (57521159800); Fadlullah, Hassan (58749030400); Nguyen, Hien (57225877829); Klose, Carolin (57192092348); Holdcroft, Steven J. (7004469945); Kusoglu, Ahmet (15061383700); Vierrath, Severin (56572897000); Münchinger, Andreas (57204204367)</t>
  </si>
  <si>
    <t>58258483300; 57220952649; 57521159800; 58749030400; 57225877829; 57192092348; 7004469945; 15061383700; 56572897000; 57204204367</t>
  </si>
  <si>
    <t>Journal of Power Sources</t>
  </si>
  <si>
    <t>10.1016/j.jpowsour.2024.235537</t>
  </si>
  <si>
    <t>https://www.scopus.com/inward/record.uri?eid=2-s2.0-85205143682&amp;doi=10.1016%2Fj.jpowsour.2024.235537&amp;partnerID=40&amp;md5=1b9cb5fb6b0a424e706e9a2d1802485d</t>
  </si>
  <si>
    <t>Electrochemical Energy Systems, Universität Freiburg, Freiburg im Breisgau, Baden-Wurttemberg, Germany; Universität Freiburg, Freiburg im Breisgau, Baden-Wurttemberg, Germany; Energy Technologies Area, Lawrence Berkeley National Laboratory, Berkeley, CA, United States; Hahn-Schickard, Freiburg im Breisgau, D-79110, Germany; Simon Fraser University, Burnaby, BC, Canada</t>
  </si>
  <si>
    <t>Liepold, Hannes, Electrochemical Energy Systems, Universität Freiburg, Freiburg im Breisgau, Baden-Wurttemberg, Germany, Universität Freiburg, Freiburg im Breisgau, Baden-Wurttemberg, Germany; Bird, Ashley, Energy Technologies Area, Lawrence Berkeley National Laboratory, Berkeley, CA, United States; Heizmann, Philipp A., Electrochemical Energy Systems, Universität Freiburg, Freiburg im Breisgau, Baden-Wurttemberg, Germany; Fadlullah, Hassan, Hahn-Schickard, Freiburg im Breisgau, D-79110, Germany; Nguyen, Hien, Hahn-Schickard, Freiburg im Breisgau, D-79110, Germany; Klose, Carolin, Electrochemical Energy Systems, Universität Freiburg, Freiburg im Breisgau, Baden-Wurttemberg, Germany; Holdcroft, Steven J., Simon Fraser University, Burnaby, BC, Canada; Kusoglu, Ahmet, Energy Technologies Area, Lawrence Berkeley National Laboratory, Berkeley, CA, United States; Vierrath, Severin, Electrochemical Energy Systems, Universität Freiburg, Freiburg im Breisgau, Baden-Wurttemberg, Germany, Universität Freiburg, Freiburg im Breisgau, Baden-Wurttemberg, Germany; Münchinger, Andreas, Electrochemical Energy Systems, Universität Freiburg, Freiburg im Breisgau, Baden-Wurttemberg, Germany, Hahn-Schickard, Freiburg im Breisgau, D-79110, Germany</t>
  </si>
  <si>
    <t>A. Münchinger; Electrochemical Energy Systems, Department of Microsystems Engineering (IMTEK), University of Freiburg, Freiburg, Georges-Koehler-Allee 103, 79110, Germany; email: andreas.muenchinger@imtek.uni-freiburg.de</t>
  </si>
  <si>
    <t>Elsevier B.V.</t>
  </si>
  <si>
    <t>JPSOD</t>
  </si>
  <si>
    <t>English</t>
  </si>
  <si>
    <t>J Power Sources</t>
  </si>
  <si>
    <t>Article</t>
  </si>
  <si>
    <t>Final</t>
  </si>
  <si>
    <t>All Open Access; Green Accepted Open Access; Green Open Access; Hybrid Gold Open Access</t>
  </si>
  <si>
    <t>Scopus</t>
  </si>
  <si>
    <t>2-s2.0-85205143682</t>
  </si>
  <si>
    <t>Appelhaus, S.; Ritz, L.; Pape, S.-V.; Lohmann-Richters, F.; Kraglund, M.R.; Jensen, J.O.; Massari, F.; Boroomandnia, M.; Romanò, M.; Albers, J.; Kubeil, C.; Bernäcker, C.; Lemcke, M.S.; Menzel, N.; Bender, G.; Chen, B.; Holdcroft, S.; Delmelle, R.; Proost, J.; Hnát, J.; Kauranen, P.; Ruuskanen, V.; Viinanen, T.; Müller, M.; Turek, T.; Shviro, M.</t>
  </si>
  <si>
    <t>Appelhaus, Simon (59417912600); Ritz, Lukas (59418039000); Pape, Sharon Virginia (57930247100); Lohmann-Richters, Felix P. (57200627401); Kraglund, Mikkel Rykær (57190303990); Jensen, Jens Oluf (55456716600); Massari, Francesco (56553857400); Boroomandnia, Mehrdad (58570006300); Romanò, Maurizio (59418302700); Albers, Justin Georg (58028191200); Kubeil, Clemens (25632315600); Bernäcker, Christian Immanuel (57206255369); Lemcke, Michelle Sophie (57211271898); Menzel, Nadine (59370851900); Bender, Guido (7005115452); Chen, Binyu (57217236520); Holdcroft, Steven J. (7004469945); Delmelle, Renaud (36902919200); Proost, Joris (7006320194); Hnát, Jaromír (37101690400); Kauranen, Pertti S. (7004762772); Ruuskanen, Vesa V. (22968887100); Viinanen, Toni (59418558700); Müller, Martin (55636322032); Turek, Thomas (56240300200); Shviro, Meital (54960928000)</t>
  </si>
  <si>
    <t>59417912600; 59418039000; 57930247100; 57200627401; 57190303990; 55456716600; 56553857400; 58570006300; 59418302700; 58028191200; 25632315600; 57206255369; 57211271898; 59370851900; 7005115452; 57217236520; 7004469945; 36902919200; 7006320194; 37101690400; 7004762772; 22968887100; 59418558700; 55636322032; 56240300200; 54960928000</t>
  </si>
  <si>
    <t>International Journal of Hydrogen Energy</t>
  </si>
  <si>
    <t>10.1016/j.ijhydene.2024.11.288</t>
  </si>
  <si>
    <t>https://www.scopus.com/inward/record.uri?eid=2-s2.0-85209726211&amp;doi=10.1016%2Fj.ijhydene.2024.11.288&amp;partnerID=40&amp;md5=0d84b12be50e871d62c476fc2b36d8a7</t>
  </si>
  <si>
    <t>Institute of Chemical and Electrochemical Process Engineering, Technische Universität Clausthal, Clausthal-Zellerfeld, Niedersachsen, Germany; Institute of Energy and Climate Research, Forschungszentrum Jülich GmbH, Julich, Germany; Department of Energy Conversion and Storage, Technical University of Denmark, Lyngby, Hovedstaden, Denmark; F2N Green Hydrogen srl, Varese, Italy; Fraunhofer Institute for Manufacturing Technology and Advanced Materials IFAM, Bremen, Bremen, Germany; Fraunhofer Institute for Wind Energy Systems, Leuna, Germany; Chemistry and Nanoscience Center, National Renewable Energy Laboratory, Golden, CO, United States; Simon Fraser University, Burnaby, BC, Canada; Division of Materials and Process Engineering, UCLouvain, Louvain-la-Neuve, WBR, Belgium; Department of Inorganic Technology, University of Chemistry and Technology, Prague, Prague, Czech Republic; School of Energy Systems, LUT University, Lappeenranta, South Karelia, Finland</t>
  </si>
  <si>
    <t>Appelhaus, Simon, Institute of Chemical and Electrochemical Process Engineering, Technische Universität Clausthal, Clausthal-Zellerfeld, Niedersachsen, Germany; Ritz, Lukas, Institute of Energy and Climate Research, Forschungszentrum Jülich GmbH, Julich, Germany; Pape, Sharon Virginia, Institute of Energy and Climate Research, Forschungszentrum Jülich GmbH, Julich, Germany; Lohmann-Richters, Felix P., Institute of Energy and Climate Research, Forschungszentrum Jülich GmbH, Julich, Germany; Kraglund, Mikkel Rykær, Department of Energy Conversion and Storage, Technical University of Denmark, Lyngby, Hovedstaden, Denmark; Jensen, Jens Oluf, Department of Energy Conversion and Storage, Technical University of Denmark, Lyngby, Hovedstaden, Denmark; Massari, Francesco, F2N Green Hydrogen srl, Varese, Italy; Boroomandnia, Mehrdad, F2N Green Hydrogen srl, Varese, Italy; Romanò, Maurizio, F2N Green Hydrogen srl, Varese, Italy; Albers, Justin Georg, Fraunhofer Institute for Manufacturing Technology and Advanced Materials IFAM, Bremen, Bremen, Germany; Kubeil, Clemens, Fraunhofer Institute for Manufacturing Technology and Advanced Materials IFAM, Bremen, Bremen, Germany; Bernäcker, Christian Immanuel, Fraunhofer Institute for Manufacturing Technology and Advanced Materials IFAM, Bremen, Bremen, Germany; Lemcke, Michelle Sophie, Fraunhofer Institute for Wind Energy Systems, Leuna, Germany; Menzel, Nadine, Fraunhofer Institute for Wind Energy Systems, Leuna, Germany; Bender, Guido, Chemistry and Nanoscience Center, National Renewable Energy Laboratory, Golden, CO, United States; Chen, Binyu, Simon Fraser University, Burnaby, BC, Canada; Holdcroft, Steven J., Simon Fraser University, Burnaby, BC, Canada; Delmelle, Renaud, Division of Materials and Process Engineering, UCLouvain, Louvain-la-Neuve, WBR, Belgium; Proost, Joris, Division of Materials and Process Engineering, UCLouvain, Louvain-la-Neuve, WBR, Belgium; Hnát, Jaromír, Department of Inorganic Technology, University of Chemistry and Technology, Prague, Prague, Czech Republic; Kauranen, Pertti S., School of Energy Systems, LUT University, Lappeenranta, South Karelia, Finland; Ruuskanen, Vesa V., School of Energy Systems, LUT University, Lappeenranta, South Karelia, Finland; Viinanen, Toni, School of Energy Systems, LUT University, Lappeenranta, South Karelia, Finland; Müller, Martin, Institute of Energy and Climate Research, Forschungszentrum Jülich GmbH, Julich, Germany; Turek, Thomas, Institute of Chemical and Electrochemical Process Engineering, Technische Universität Clausthal, Clausthal-Zellerfeld, Niedersachsen, Germany; Shviro, Meital, Chemistry and Nanoscience Center, National Renewable Energy Laboratory, Golden, CO, United States</t>
  </si>
  <si>
    <t>T. Turek; Institute of Chemical and Electrochemical Process Engineering, Clausthal University of Technology, Clausthal-Zellerfeld, Leibnizstr. 17, 38678, Germany; email: turek@icvt.tu-clausthal.de; M. Shviro; Chemistry and Nanoscience Center, National Renewable Energy Laboratory, Golden, United States; email: meital.shviro@nrel.gov</t>
  </si>
  <si>
    <t>Elsevier Ltd</t>
  </si>
  <si>
    <t>IJHED</t>
  </si>
  <si>
    <t>Int J Hydrogen Energy</t>
  </si>
  <si>
    <t>2-s2.0-85209726211</t>
  </si>
  <si>
    <t>Maaref, Y.; Jannati, S.; Jayousi, F.; Lange, P.; Akbari, M.; Chiao, M.; Tibbits, G.F.</t>
  </si>
  <si>
    <t>Maaref, Yasaman (57392913800); Jannati, Shayan (58514903900); Jayousi, Farah (57392913700); Lange, Philipp F. (36673149300); Akbari, Mohsen (57218664466); Chiao, Mu (57130399000); Tibbits, Glen Findlay (7004014332)</t>
  </si>
  <si>
    <t>57392913800; 58514903900; 57392913700; 36673149300; 57218664466; 57130399000; 7004014332</t>
  </si>
  <si>
    <t>Acta Biomaterialia</t>
  </si>
  <si>
    <t>10.1016/j.actbio.2024.10.029</t>
  </si>
  <si>
    <t>https://www.scopus.com/inward/record.uri?eid=2-s2.0-85208184519&amp;doi=10.1016%2Fj.actbio.2024.10.029&amp;partnerID=40&amp;md5=b6896d81c6d12f27fdab20005cdae35e</t>
  </si>
  <si>
    <t>Cellular and Regenerative Medicine Centre, BC Children's Hospital Research Institute, Vancouver, BC, Canada; Mechanical Engineering, The University of British Columbia, Vancouver, BC, Canada; Department of Biomedical Physiology and Kinesiology, Simon Fraser University, Burnaby, BC, Canada; Michael Cuccione Childhood Cancer Research Program, BC​ Children​'​​s Hospital, Vancouver, BC, Canada; Mechanical Engineering, University of Victoria, Victoria, BC, Canada; Department of Biochemistry and Molecular Biology, Simon Fraser University, Burnaby, BC, Canada; School of Biomedical Engineering, The University of British Columbia, Vancouver, BC, Canada</t>
  </si>
  <si>
    <t>Maaref, Yasaman, Cellular and Regenerative Medicine Centre, BC Children's Hospital Research Institute, Vancouver, BC, Canada, Department of Biomedical Physiology and Kinesiology, Simon Fraser University, Burnaby, BC, Canada; Jannati, Shayan, Cellular and Regenerative Medicine Centre, BC Children's Hospital Research Institute, Vancouver, BC, Canada, Mechanical Engineering, The University of British Columbia, Vancouver, BC, Canada; Jayousi, Farah, Michael Cuccione Childhood Cancer Research Program, BC​ Children​'​​s Hospital, Vancouver, BC, Canada; Lange, Philipp F., Michael Cuccione Childhood Cancer Research Program, BC​ Children​'​​s Hospital, Vancouver, BC, Canada; Akbari, Mohsen, Mechanical Engineering, University of Victoria, Victoria, BC, Canada, Department of Biochemistry and Molecular Biology, Simon Fraser University, Burnaby, BC, Canada; Chiao, Mu, Mechanical Engineering, The University of British Columbia, Vancouver, BC, Canada, Department of Biochemistry and Molecular Biology, Simon Fraser University, Burnaby, BC, Canada; Tibbits, Glen Findlay, Cellular and Regenerative Medicine Centre, BC Children's Hospital Research Institute, Vancouver, BC, Canada, Department of Biomedical Physiology and Kinesiology, Simon Fraser University, Burnaby, BC, Canada, Department of Biochemistry and Molecular Biology, Simon Fraser University, Burnaby, BC, Canada, School of Biomedical Engineering, The University of British Columbia, Vancouver, BC, Canada</t>
  </si>
  <si>
    <t>G.F. Tibbits; Cellular and Regenerative Medicine Centre, BC Children's Hospital Research Institute, Vancouver, V5Z 4H4, Canada; email: tibbits@sfu.ca</t>
  </si>
  <si>
    <t>Acta Materialia Inc</t>
  </si>
  <si>
    <t>Acta Biomater.</t>
  </si>
  <si>
    <t>All Open Access; Hybrid Gold Open Access</t>
  </si>
  <si>
    <t>2-s2.0-85208184519</t>
  </si>
  <si>
    <t>Ryu, H.J.; Chen, Y.; Chen, A.; Moeinnia, H.; Nemir, O.; Khan, S.; Kim, W.S.</t>
  </si>
  <si>
    <t>Ryu, Hyung-ju (59352712200); Chen, Yiting (59353414700); Chen, Aotian (59352990300); Moeinnia, Hadi (57219054459); Nemir, Omar (59353274200); Khan, Sami (57688853200); Kim, Woo Soo (17136903100)</t>
  </si>
  <si>
    <t>59352712200; 59353414700; 59352990300; 57219054459; 59353274200; 57688853200; 17136903100</t>
  </si>
  <si>
    <t>A novel compact xerographic system for 3D printing of fluoropolymer powders onto metal surfaces</t>
  </si>
  <si>
    <t>Flexible and Printed Electronics</t>
  </si>
  <si>
    <t>10.1088/2058-8585/ad7e36</t>
  </si>
  <si>
    <t>https://www.scopus.com/inward/record.uri?eid=2-s2.0-85205567085&amp;doi=10.1088%2F2058-8585%2Fad7e36&amp;partnerID=40&amp;md5=3c98c4cb600395c88be67f2704440009</t>
  </si>
  <si>
    <t>School of Mechatronic Systems Engineering, Simon Fraser University, Burnaby, BC, Canada; School of Sustainable Energy Engineering, Simon Fraser University, Burnaby, BC, Canada</t>
  </si>
  <si>
    <t>Ryu, Hyung-ju, School of Mechatronic Systems Engineering, Simon Fraser University, Burnaby, BC, Canada; Chen, Yiting, School of Mechatronic Systems Engineering, Simon Fraser University, Burnaby, BC, Canada; Chen, Aotian, School of Mechatronic Systems Engineering, Simon Fraser University, Burnaby, BC, Canada; Moeinnia, Hadi, School of Mechatronic Systems Engineering, Simon Fraser University, Burnaby, BC, Canada; Nemir, Omar, School of Sustainable Energy Engineering, Simon Fraser University, Burnaby, BC, Canada; Khan, Sami, School of Sustainable Energy Engineering, Simon Fraser University, Burnaby, BC, Canada; Kim, Woo Soo, School of Mechatronic Systems Engineering, Simon Fraser University, Burnaby, BC, Canada</t>
  </si>
  <si>
    <t>W.S. Kim; School of Mechatronic Systems Engineering, Simon Fraser University, Surrey, V3T 0A3, Canada; email: woosook@sfu.ca</t>
  </si>
  <si>
    <t>Institute of Physics</t>
  </si>
  <si>
    <t>Flex. Print. Electron.</t>
  </si>
  <si>
    <t>2-s2.0-85205567085</t>
  </si>
  <si>
    <t>Chhokar, C.; Ashouri, M.; Bahrami, M.</t>
  </si>
  <si>
    <t>Chhokar, Callum (57828781300); Ashouri, Mahyar (57576318500); Bahrami, Majid M. (35499001600)</t>
  </si>
  <si>
    <t>57828781300; 57576318500; 35499001600</t>
  </si>
  <si>
    <t>Modeling the thermal and hydrodynamic performance of grooved wick flat heat pipes</t>
  </si>
  <si>
    <t>Applied Thermal Engineering</t>
  </si>
  <si>
    <t>10.1016/j.applthermaleng.2024.124281</t>
  </si>
  <si>
    <t>https://www.scopus.com/inward/record.uri?eid=2-s2.0-85203003255&amp;doi=10.1016%2Fj.applthermaleng.2024.124281&amp;partnerID=40&amp;md5=667a359e60becc7ce72242bd09a002c3</t>
  </si>
  <si>
    <t>School of Mechatronic Systems Engineering, Simon Fraser University, Burnaby, BC, Canada</t>
  </si>
  <si>
    <t>Chhokar, Callum, School of Mechatronic Systems Engineering, Simon Fraser University, Burnaby, BC, Canada; Ashouri, Mahyar, School of Mechatronic Systems Engineering, Simon Fraser University, Burnaby, BC, Canada; Bahrami, Majid M., School of Mechatronic Systems Engineering, Simon Fraser University, Burnaby, BC, Canada</t>
  </si>
  <si>
    <t>M. Bahrami; Laboratory for Alternative Energy Conversion (LAEC), School of Mechatronic Systems Engineering, Simon Fraser University, BC, Burnaby, V3T 0A3, Canada; email: mbahrami@sfu.ca</t>
  </si>
  <si>
    <t>ATENF</t>
  </si>
  <si>
    <t>Appl Therm Eng</t>
  </si>
  <si>
    <t>2-s2.0-85203003255</t>
  </si>
  <si>
    <t>Singh, J.; Sepúlveda, S.A.</t>
  </si>
  <si>
    <t>Singh, Jaspreet (57209207252); Sepúlveda, Sergio Andrés (8694415200)</t>
  </si>
  <si>
    <t>57209207252; 8694415200</t>
  </si>
  <si>
    <t>Understanding the failure mechanisms of the 2017 Santa Lucía landslide, Patagonian Andes, using remote sensing and 3D numerical modelling techniques</t>
  </si>
  <si>
    <t>Landslides</t>
  </si>
  <si>
    <t>10.1007/s10346-024-02346-1</t>
  </si>
  <si>
    <t>https://www.scopus.com/inward/record.uri?eid=2-s2.0-85202622363&amp;doi=10.1007%2Fs10346-024-02346-1&amp;partnerID=40&amp;md5=81cff8f71c5d679c1ed6e87f0e859ec1</t>
  </si>
  <si>
    <t>Department of Earth Sciences, Simon Fraser University, Burnaby, BC, Canada</t>
  </si>
  <si>
    <t>Singh, Jaspreet, Department of Earth Sciences, Simon Fraser University, Burnaby, BC, Canada; Sepúlveda, Sergio Andrés, Department of Earth Sciences, Simon Fraser University, Burnaby, BC, Canada</t>
  </si>
  <si>
    <t>S.A. Sepúlveda; Department of Earth Sciences, Simon Fraser University, Burnaby, Canada; email: ssepulve@sfu.ca</t>
  </si>
  <si>
    <t>Springer Science and Business Media Deutschland GmbH</t>
  </si>
  <si>
    <t>1612510X</t>
  </si>
  <si>
    <t>2-s2.0-85202622363</t>
  </si>
  <si>
    <t>Li, C.; Wang, L.; Xu, L.; Ren, X.; Yao, F.; Lu, J.; Wang, D.; Liang, Z.; Huang, P.; Wu, S.; Jing, H.; Zhang, Y.; Dong, G.; Liu, H.; Ma, C.; Lyu, Y.; Wei, X.; Ren, W.; Wang, K.; Ye, Z.-G.; Chen, F.</t>
  </si>
  <si>
    <t>Li, Chao (59057608500); Wang, Lingyan (24777618800); Xu, Liqiang (57203786585); Ren, Xuerong (58932335200); Yao, Fang Zhou (55340934900); Lu, Jiangbo (57209616533); Wang, Dong (59621832300); Liang, Zhongshuai (57200413097); Huang, Ping (57218967550); Wu, Shengqiang (58062805300); Jing, Hongmei (57203078138); Zhang, Yijun (56338589500); Dong, Guohua (55325115100); Liu, Haixia (57219665697); Ma, Chuansheng (56102784300); Lyu, Yinong (59662935500); Wei, Xiaoyong (7402117754); Ren, Wei (57201421397); Wang, Ke (56923912600); Ye, Zuo Guang (24443034100); Chen, Feng (55619290378)</t>
  </si>
  <si>
    <t>59057608500; 24777618800; 57203786585; 58932335200; 55340934900; 57209616533; 59621832300; 57200413097; 57218967550; 58062805300; 57203078138; 56338589500; 55325115100; 57219665697; 56102784300; 59662935500; 7402117754; 57201421397; 56923912600; 24443034100; 55619290378</t>
  </si>
  <si>
    <t>Nature Communications</t>
  </si>
  <si>
    <t>10.1038/s41467-024-51024-2</t>
  </si>
  <si>
    <t>https://www.scopus.com/inward/record.uri?eid=2-s2.0-85200848295&amp;doi=10.1038%2Fs41467-024-51024-2&amp;partnerID=40&amp;md5=4d5bb74d5d11e264621ec548fa108391</t>
  </si>
  <si>
    <t>Instrumental Analysis Center, Xi'an Jiaotong University, Xi'an, Shaanxi, China; Electronic Materials Research Laboratory, Xi'an Jiaotong University, Xi'an, Shaanxi, China; Institutes of Physical Science and Information Technology, Anhui University, Hefei, Anhui, China; Research Center for Advanced Functional Ceramics, Wuzhen Laboratory, Jiaxing, China; School of Physics and Information Technology, Shaanxi Normal University, Xi'an, Shaanxi, China; Frontier Institute of Science and Technology, Xi'an Jiaotong University, Xi'an, Shaanxi, China; School of Chemistry, Xi'an Jiaotong University, Xi'an, Shaanxi, China; Collective and Critical phenomena (L3C), Xi'an Jiaotong University, Xi'an, Shaanxi, China; School of Materials Science and Engineering, Peking University, Beijing, China; College of Materials Science and Engineering, Nanjing Tech University, Nanjing, Jiangsu, China; Department of Chemistry and 4D LABS, Simon Fraser University, Burnaby, BC, Canada; Chinese Academy of Sciences, Beijing, Beijing, China</t>
  </si>
  <si>
    <t>Li, Chao, Instrumental Analysis Center, Xi'an Jiaotong University, Xi'an, Shaanxi, China; Wang, Lingyan, Electronic Materials Research Laboratory, Xi'an Jiaotong University, Xi'an, Shaanxi, China; Xu, Liqiang, Institutes of Physical Science and Information Technology, Anhui University, Hefei, Anhui, China; Ren, Xuerong, Electronic Materials Research Laboratory, Xi'an Jiaotong University, Xi'an, Shaanxi, China; Yao, Fang Zhou, Research Center for Advanced Functional Ceramics, Wuzhen Laboratory, Jiaxing, China; Lu, Jiangbo, School of Physics and Information Technology, Shaanxi Normal University, Xi'an, Shaanxi, China; Wang, Dong, Frontier Institute of Science and Technology, Xi'an Jiaotong University, Xi'an, Shaanxi, China; Liang, Zhongshuai, School of Chemistry, Xi'an Jiaotong University, Xi'an, Shaanxi, China; Huang, Ping, Collective and Critical phenomena (L3C), Xi'an Jiaotong University, Xi'an, Shaanxi, China; Wu, Shengqiang, School of Materials Science and Engineering, Peking University, Beijing, China; Jing, Hongmei, School of Physics and Information Technology, Shaanxi Normal University, Xi'an, Shaanxi, China; Zhang, Yijun, Electronic Materials Research Laboratory, Xi'an Jiaotong University, Xi'an, Shaanxi, China; Dong, Guohua, Electronic Materials Research Laboratory, Xi'an Jiaotong University, Xi'an, Shaanxi, China; Liu, Haixia, Electronic Materials Research Laboratory, Xi'an Jiaotong University, Xi'an, Shaanxi, China; Ma, Chuansheng, Instrumental Analysis Center, Xi'an Jiaotong University, Xi'an, Shaanxi, China; Lyu, Yinong, College of Materials Science and Engineering, Nanjing Tech University, Nanjing, Jiangsu, China; Wei, Xiaoyong, Electronic Materials Research Laboratory, Xi'an Jiaotong University, Xi'an, Shaanxi, China; Ren, Wei, Electronic Materials Research Laboratory, Xi'an Jiaotong University, Xi'an, Shaanxi, China; Wang, Ke, Research Center for Advanced Functional Ceramics, Wuzhen Laboratory, Jiaxing, China; Ye, Zuo Guang, Department of Chemistry and 4D LABS, Simon Fraser University, Burnaby, BC, Canada; Chen, Feng, Chinese Academy of Sciences, Beijing, Beijing, China</t>
  </si>
  <si>
    <t>L. Wang; Electronic Materials Research Laboratory, Key Laboratory of the Ministry of Education, School of Electronic Science and Engineering, Xi’an Jiaotong University, Xi’an, China; email: l.y.wang@mail.xjtu.edu.cn; L. Xu; Information Materials and Intelligent Sensing Laboratory of Anhui Province, Institutes of Physical Science and Information Technology, Anhui University, Hefei, China; email: xuliqiang@ahu.edu.cn; F. Chen; Anhui Province Key Laboratory of Low-Energy Quantum Materials and Devices, High Magnetic Field Laboratory, HFIPS, Chinese Academy of Sciences, Hefei, China; email: fchen@hmfl.ac.cn</t>
  </si>
  <si>
    <t>Nature Research</t>
  </si>
  <si>
    <t>Nat. Commun.</t>
  </si>
  <si>
    <t>All Open Access; Gold Open Access; Green Accepted Open Access; Green Open Access</t>
  </si>
  <si>
    <t>2-s2.0-85200848295</t>
  </si>
  <si>
    <t>Moeinnia, H.; Agron, D.J.; Ganzert, C.; Schubert, L.; Kim, W.S.</t>
  </si>
  <si>
    <t>Moeinnia, Hadi (57219054459); Agron, Danielle Jaye Segui (57202780357); Ganzert, Carl (57213356303); Schubert, Loren (58970676700); Kim, Woo Soo (17136903100)</t>
  </si>
  <si>
    <t>57219054459; 57202780357; 57213356303; 58970676700; 17136903100</t>
  </si>
  <si>
    <t>npj Flexible Electronics</t>
  </si>
  <si>
    <t>10.1038/s41528-024-00309-z</t>
  </si>
  <si>
    <t>https://www.scopus.com/inward/record.uri?eid=2-s2.0-85189483272&amp;doi=10.1038%2Fs41528-024-00309-z&amp;partnerID=40&amp;md5=19d6294015a4c01c51f5b1697d3071f3</t>
  </si>
  <si>
    <t>Additive Manufacturing Laboratory, Simon Fraser University, Burnaby, BC, Canada; Hodgson Orthopedic Group, Coquitlam, BC, Canada</t>
  </si>
  <si>
    <t>Moeinnia, Hadi, Additive Manufacturing Laboratory, Simon Fraser University, Burnaby, BC, Canada; Agron, Danielle Jaye Segui, Additive Manufacturing Laboratory, Simon Fraser University, Burnaby, BC, Canada; Ganzert, Carl, Hodgson Orthopedic Group, Coquitlam, BC, Canada; Schubert, Loren, Hodgson Orthopedic Group, Coquitlam, BC, Canada; Kim, Woo Soo, Additive Manufacturing Laboratory, Simon Fraser University, Burnaby, BC, Canada</t>
  </si>
  <si>
    <t>W.S. Kim; Additive Manufacturing Laboratory, School of Mechatronic Systems Engineering, Simon Fraser University, Surrey, V3T 0A3, Canada; email: woosook@sfu.ca</t>
  </si>
  <si>
    <t>npj Flex. Electron.</t>
  </si>
  <si>
    <t>All Open Access; Gold Open Access</t>
  </si>
  <si>
    <t>2-s2.0-85189483272</t>
  </si>
  <si>
    <t>Gozdzialski, L.; Louw, R.; Kielty, C.; Margolese, A.; Poarch, E.; Sherman, M.; Cameron, F.; Gill, C.; Wallace, B.; Hore, D.</t>
  </si>
  <si>
    <t>Gozdzialski, Lea (57197861372); Louw, Rebecca (57215222409); Kielty, Collin L. (57200422832); Margolese, Ava (58940927000); Poarch, Eric (58941384800); Sherman, Miriam (58940927100); Cameron, Fred (57219839359); Gill, Christopher G. (57212485188); Wallace, Bruce B. (7202576296); Hore, Dennis K. (7003299135)</t>
  </si>
  <si>
    <t>57197861372; 57215222409; 57200422832; 58940927000; 58941384800; 58940927100; 57219839359; 57212485188; 7202576296; 7003299135</t>
  </si>
  <si>
    <t>Beyond a spec: assessing heterogeneity in the unregulated opioid supply</t>
  </si>
  <si>
    <t>Harm Reduction Journal</t>
  </si>
  <si>
    <t>10.1186/s12954-024-00980-5</t>
  </si>
  <si>
    <t>https://www.scopus.com/inward/record.uri?eid=2-s2.0-85187875504&amp;doi=10.1186%2Fs12954-024-00980-5&amp;partnerID=40&amp;md5=f6c5f983a011836356959e526cbca08e</t>
  </si>
  <si>
    <t>University of Victoria, Victoria, BC, Canada; School of Social Work, University of Victoria, Victoria, BC, Canada; Canadian Institute for Substance Use Research, Victoria, BC, Canada; University of Victoria, Victoria, BC, Canada; SOLID Outreach Society, Victoria, BC, Canada; Department of Chemistry, Vancouver Island University, Nanaimo, BC, Canada; Simon Fraser University, Burnaby, BC, Canada; Department of Occupational and Environmental Health, University of Washington, Seattle, WA, United States</t>
  </si>
  <si>
    <t>Gozdzialski, Lea, University of Victoria, Victoria, BC, Canada, Canadian Institute for Substance Use Research, Victoria, BC, Canada; Louw, Rebecca, University of Victoria, Victoria, BC, Canada, Canadian Institute for Substance Use Research, Victoria, BC, Canada; Kielty, Collin L., University of Victoria, Victoria, BC, Canada, Canadian Institute for Substance Use Research, Victoria, BC, Canada; Margolese, Ava, University of Victoria, Victoria, BC, Canada, Canadian Institute for Substance Use Research, Victoria, BC, Canada; Poarch, Eric, University of Victoria, Victoria, BC, Canada, Canadian Institute for Substance Use Research, Victoria, BC, Canada; Sherman, Miriam, University of Victoria, Victoria, BC, Canada, Canadian Institute for Substance Use Research, Victoria, BC, Canada; Cameron, Fred, SOLID Outreach Society, Victoria, BC, Canada; Gill, Christopher G., University of Victoria, Victoria, BC, Canada, Canadian Institute for Substance Use Research, Victoria, BC, Canada, Department of Chemistry, Vancouver Island University, Nanaimo, BC, Canada, Simon Fraser University, Burnaby, BC, Canada, Department of Occupational and Environmental Health, University of Washington, Seattle, WA, United States; Wallace, Bruce B., School of Social Work, University of Victoria, Victoria, BC, Canada, Canadian Institute for Substance Use Research, Victoria, BC, Canada; Hore, Dennis K., University of Victoria, Victoria, BC, Canada, Canadian Institute for Substance Use Research, Victoria, BC, Canada, University of Victoria, Victoria, BC, Canada</t>
  </si>
  <si>
    <t>D. Hore; Department of Chemistry, University of Victoria, Victoria, V8W 2Y2, Canada; email: dkhore@uvic.ca</t>
  </si>
  <si>
    <t>BioMed Central Ltd</t>
  </si>
  <si>
    <t>Harm Reduct. J.</t>
  </si>
  <si>
    <t>2-s2.0-85187875504</t>
  </si>
  <si>
    <t>Wang, H.; Liao, D.; Yan, T.; Ren, W.; Wang, C.; Jiang, Z.; Niu, G.; Liu, Z.; Ye, Z.-G.; Zhang, Y.</t>
  </si>
  <si>
    <t>Wang, Hong (36664526600); Liao, Daogui (57220584908); Yan, Tianyi (57703457300); Ren, Wei (57201421397); Wang, Chenying (55267391600); Jiang, Zhuangde (57203495930); Niu, Gang (55392353500); Liu, Zenghui (56599407500); Ye, Zuo Guang (24443034100); Zhang, Yijun (56338589500)</t>
  </si>
  <si>
    <t>36664526600; 57220584908; 57703457300; 57201421397; 55267391600; 57203495930; 55392353500; 56599407500; 24443034100; 56338589500</t>
  </si>
  <si>
    <t>Ceramics International</t>
  </si>
  <si>
    <t>10.1016/j.ceramint.2024.02.223</t>
  </si>
  <si>
    <t>https://www.scopus.com/inward/record.uri?eid=2-s2.0-85186103176&amp;doi=10.1016%2Fj.ceramint.2024.02.223&amp;partnerID=40&amp;md5=30deed6900b5a2d5e425e63f65e7b75d</t>
  </si>
  <si>
    <t>Electronic Materials Research Laboratory, Xi'an Jiaotong University, Xi'an, Shaanxi, China; International Joint Research Laboratory for Micro/Nano Manufacturing and Measurement Technologies, Xi'an Jiaotong University, Xi'an, Shaanxi, China; Department of Chemistry and 4D LABS, Simon Fraser University, Burnaby, BC, Canada</t>
  </si>
  <si>
    <t>Wang, Hong, Electronic Materials Research Laboratory, Xi'an Jiaotong University, Xi'an, Shaanxi, China; Liao, Daogui, Electronic Materials Research Laboratory, Xi'an Jiaotong University, Xi'an, Shaanxi, China; Yan, Tianyi, Electronic Materials Research Laboratory, Xi'an Jiaotong University, Xi'an, Shaanxi, China; Ren, Wei, Electronic Materials Research Laboratory, Xi'an Jiaotong University, Xi'an, Shaanxi, China, International Joint Research Laboratory for Micro/Nano Manufacturing and Measurement Technologies, Xi'an Jiaotong University, Xi'an, Shaanxi, China; Wang, Chenying, International Joint Research Laboratory for Micro/Nano Manufacturing and Measurement Technologies, Xi'an Jiaotong University, Xi'an, Shaanxi, China; Jiang, Zhuangde, International Joint Research Laboratory for Micro/Nano Manufacturing and Measurement Technologies, Xi'an Jiaotong University, Xi'an, Shaanxi, China; Niu, Gang, Electronic Materials Research Laboratory, Xi'an Jiaotong University, Xi'an, Shaanxi, China; Liu, Zenghui, Electronic Materials Research Laboratory, Xi'an Jiaotong University, Xi'an, Shaanxi, China; Ye, Zuo Guang, Department of Chemistry and 4D LABS, Simon Fraser University, Burnaby, BC, Canada; Zhang, Yijun, Electronic Materials Research Laboratory, Xi'an Jiaotong University, Xi'an, Shaanxi, China, International Joint Research Laboratory for Micro/Nano Manufacturing and Measurement Technologies, Xi'an Jiaotong University, Xi'an, Shaanxi, China</t>
  </si>
  <si>
    <t>Y. Zhang; Electronic Materials Research Laboratory, Key Laboratory of the Ministry of Education &amp; International Center for Dielectric Research, School of Electronic Science and Engineering, Xi'an Jiaotong University, Xi'an, 710049, China; email: zhangyj518@mail.xjtu.edu.cn</t>
  </si>
  <si>
    <t>CINND</t>
  </si>
  <si>
    <t>Ceram Int</t>
  </si>
  <si>
    <t>2-s2.0-85186103176</t>
  </si>
  <si>
    <t>Aftab, S.; Mukhtar, M.; Sravanthi Goud, B.S.; Kabir, F.; Hegazy, H.H.; Kim, J.H.</t>
  </si>
  <si>
    <t>Aftab, Sikandar (57200114034); Mukhtar, Maria (57216159606); Sravanthi Goud, Burragoni Sravanthi (57218617135); Kabir, Fahmid (57204906651); Hegazy, Hosameldin Helmy (6603894858); Kim, Jae-hong (57210416369)</t>
  </si>
  <si>
    <t>57200114034; 57216159606; 57218617135; 57204906651; 6603894858; 57210416369</t>
  </si>
  <si>
    <t>Journal of Alloys and Compounds</t>
  </si>
  <si>
    <t>10.1016/j.jallcom.2024.176341</t>
  </si>
  <si>
    <t>https://www.scopus.com/inward/record.uri?eid=2-s2.0-85203296558&amp;doi=10.1016%2Fj.jallcom.2024.176341&amp;partnerID=40&amp;md5=c8caa306e489a109b371bf000afbd76b</t>
  </si>
  <si>
    <t>Department of Semiconductor Systems Engineering, Sejong University, Seoul, South Korea; Department of Artificial Intelligence, Sejong University, Seoul, South Korea; Department of Chemical Engineering, Yeungnam University, Gyeongsan, Gyeongsangbuk-do, South Korea; School of Engineering Science, Simon Fraser University, Burnaby, BC, Canada; Department of Physics, King Khalid University, Abha, Asir, Saudi Arabia; Central Research Laboratory, King Khalid University, Abha, Asir, Saudi Arabia; Department of Biotechnology, SR University, Warangal, TS, India</t>
  </si>
  <si>
    <t>Aftab, Sikandar, Department of Semiconductor Systems Engineering, Sejong University, Seoul, South Korea, Department of Artificial Intelligence, Sejong University, Seoul, South Korea; Mukhtar, Maria, Department of Semiconductor Systems Engineering, Sejong University, Seoul, South Korea, Department of Artificial Intelligence, Sejong University, Seoul, South Korea; Sravanthi Goud, Burragoni Sravanthi, Department of Chemical Engineering, Yeungnam University, Gyeongsan, Gyeongsangbuk-do, South Korea, Department of Biotechnology, SR University, Warangal, TS, India; Kabir, Fahmid, School of Engineering Science, Simon Fraser University, Burnaby, BC, Canada; Hegazy, Hosameldin Helmy, Department of Physics, King Khalid University, Abha, Asir, Saudi Arabia, Central Research Laboratory, King Khalid University, Abha, Asir, Saudi Arabia; Kim, Jae-hong, Department of Chemical Engineering, Yeungnam University, Gyeongsan, Gyeongsangbuk-do, South Korea</t>
  </si>
  <si>
    <t>S. Aftab; Department of Semiconductor Systems Engineering, Sejong University, Seoul, 05006, South Korea; email: aftab@sejong.ac.kr; J.H. Kim; Department of Chemical Engineering, Yeungnam University, Gyeongsan, 214-1, Dae-hakro 280, Gyeongbuk, 712-749, South Korea; email: jaehkim@ynu.ac.kr</t>
  </si>
  <si>
    <t>JALCE</t>
  </si>
  <si>
    <t>J Alloys Compd</t>
  </si>
  <si>
    <t>Review</t>
  </si>
  <si>
    <t>2-s2.0-85203296558</t>
  </si>
  <si>
    <t>Gray, I.; Deng, Q.; Tian, Q.; Chilcote, M.; Dodge, J.S.; Brahlek, M.; Wu, L.</t>
  </si>
  <si>
    <t>Gray, Isaiah (57211856164); Deng, Qinwen (57958132400); Tian, Qi (58550250700); Chilcote, Michael A. (56531970500); Dodge, J. Steven (7101655684); Brahlek, Matthew J. (43461094800); Wu, Liang (55714346100)</t>
  </si>
  <si>
    <t>57211856164; 57958132400; 58550250700; 56531970500; 7101655684; 43461094800; 55714346100</t>
  </si>
  <si>
    <t>Applied Physics Letters</t>
  </si>
  <si>
    <t>10.1063/5.0244878</t>
  </si>
  <si>
    <t>https://www.scopus.com/inward/record.uri?eid=2-s2.0-85209880887&amp;doi=10.1063%2F5.0244878&amp;partnerID=40&amp;md5=99612e170866a63cae6d94b15c086cd8</t>
  </si>
  <si>
    <t>Department of Physics and Astronomy, University of Pennsylvania, Philadelphia, PA, United States; Materials Science and Technology Division, Oak Ridge National Laboratory, Oak Ridge, TN, United States; Department of Physics, Simon Fraser University, Burnaby, BC, Canada</t>
  </si>
  <si>
    <t>Gray, Isaiah, Department of Physics and Astronomy, University of Pennsylvania, Philadelphia, PA, United States; Deng, Qinwen, Department of Physics and Astronomy, University of Pennsylvania, Philadelphia, PA, United States; Tian, Qi, Department of Physics and Astronomy, University of Pennsylvania, Philadelphia, PA, United States; Chilcote, Michael A., Materials Science and Technology Division, Oak Ridge National Laboratory, Oak Ridge, TN, United States; Dodge, J. Steven, Department of Physics, Simon Fraser University, Burnaby, BC, Canada; Brahlek, Matthew J., Materials Science and Technology Division, Oak Ridge National Laboratory, Oak Ridge, TN, United States; Wu, Liang, Department of Physics and Astronomy, University of Pennsylvania, Philadelphia, PA, United States</t>
  </si>
  <si>
    <t>I. Gray; Department of Physics and Astronomy, University of Pennsylvania, Philadelphia, 19104, United States; email: isaiah.gray@jhuapl.edu; L. Wu; Department of Physics and Astronomy, University of Pennsylvania, Philadelphia, 19104, United States; email: liangwu@sas.upenn.edu</t>
  </si>
  <si>
    <t>American Institute of Physics</t>
  </si>
  <si>
    <t>APPLA</t>
  </si>
  <si>
    <t>Appl Phys Lett</t>
  </si>
  <si>
    <t>2-s2.0-85209880887</t>
  </si>
  <si>
    <t>Kahnamouei, J.T.; Moallem, M.</t>
  </si>
  <si>
    <t>Kahnamouei, Jalal Taheri (35366545100); Moallem, Mehrdad (35609219200)</t>
  </si>
  <si>
    <t>35366545100; 35609219200</t>
  </si>
  <si>
    <t>Ocean Engineering</t>
  </si>
  <si>
    <t>10.1016/j.oceaneng.2024.119294</t>
  </si>
  <si>
    <t>https://www.scopus.com/inward/record.uri?eid=2-s2.0-85204370783&amp;doi=10.1016%2Fj.oceaneng.2024.119294&amp;partnerID=40&amp;md5=7aa7c6a2d5f21e3c8282d9b4e7a7353f</t>
  </si>
  <si>
    <t>Motion &amp; Power Electronics Control Laboratory, Simon Fraser University, Burnaby, BC, Canada</t>
  </si>
  <si>
    <t>Kahnamouei, Jalal Taheri, Motion &amp; Power Electronics Control Laboratory, Simon Fraser University, Burnaby, BC, Canada; Moallem, Mehrdad, Motion &amp; Power Electronics Control Laboratory, Simon Fraser University, Burnaby, BC, Canada</t>
  </si>
  <si>
    <t>J.T. Kahnamouei; Motion &amp; Power Electronics Control Laboratory, School of Mechatronic Systems Engineering, Simon Fraser University, Surrey, Canada; email: jtaherik@sfu.ca</t>
  </si>
  <si>
    <t>Ocean Eng.</t>
  </si>
  <si>
    <t>2-s2.0-85204370783</t>
  </si>
  <si>
    <t>Luby, S.P.; Forsyth, J.E.; Fatmi, Z.; Rahman, M.; Sultana, J.; Plambeck, E.L.; Miller, N.G.; Bendavid, E.; Winch, P.J.; Hu, H.; Lanphear, B.; Landrigan, P.J.</t>
  </si>
  <si>
    <t>Luby, Stephen P. (7007049837); Forsyth, Jenna E. (56973679800); Fatmi, Zafar Ahmed (55959858100); Rahman, Mahbubur Shafiqur (59206800200); Sultana, Jesmin (57218688829); Plambeck, Erica L. (6603099275); Miller, N. Grant (59394353900); Bendavid, Eran (16232448800); Winch, Peter J. (7004237185); Hu, Howard (55740738900); Lanphear, Bruce P. (7006082907); Landrigan, PJ J. (7102250584)</t>
  </si>
  <si>
    <t>7007049837; 56973679800; 55959858100; 59206800200; 57218688829; 6603099275; 59394353900; 16232448800; 7004237185; 55740738900; 7006082907; 7102250584</t>
  </si>
  <si>
    <t>Removing lead from the global economy</t>
  </si>
  <si>
    <t>The Lancet Planetary Health</t>
  </si>
  <si>
    <t>e966</t>
  </si>
  <si>
    <t>e972</t>
  </si>
  <si>
    <t>10.1016/S2542-5196(24)00244-4</t>
  </si>
  <si>
    <t>https://www.scopus.com/inward/record.uri?eid=2-s2.0-85208136947&amp;doi=10.1016%2FS2542-5196%2824%2900244-4&amp;partnerID=40&amp;md5=2f7ff196a2d1c3ca3ec9813d2e93258d</t>
  </si>
  <si>
    <t>Stanford Woods Institute for the Environment, Stanford, CA, United States; Department of Health Policy, Stanford University, Stanford, CA, United States; Division of Primary Care and Population Health, Stanford University, Stanford, CA, United States; Department of Community Health Sciences, The Aga Khan University, Karachi, Sindh, Pakistan; Health Systems and Population Studies Division, International Centre for Diarrhoeal Disease Research Bangladesh, Dhaka, Bangladesh; Department of International Health, Johns Hopkins Bloomberg School of Public Health, Baltimore, MD, United States; Keck School of Medicine of USC, Los Angeles, CA, United States; Simon Fraser University, Burnaby, BC, Canada; Department of Biology, Boston College, Chestnut Hill, MA, United States; Centre Scientifique de Monaco, Monte Carlo, Monaco</t>
  </si>
  <si>
    <t>Luby, Stephen P., Stanford Woods Institute for the Environment, Stanford, CA, United States; Forsyth, Jenna E., Stanford Woods Institute for the Environment, Stanford, CA, United States; Fatmi, Zafar Ahmed, Department of Community Health Sciences, The Aga Khan University, Karachi, Sindh, Pakistan; Rahman, Mahbubur Shafiqur, Health Systems and Population Studies Division, International Centre for Diarrhoeal Disease Research Bangladesh, Dhaka, Bangladesh; Sultana, Jesmin, Health Systems and Population Studies Division, International Centre for Diarrhoeal Disease Research Bangladesh, Dhaka, Bangladesh; Plambeck, Erica L., Stanford Woods Institute for the Environment, Stanford, CA, United States; Miller, N. Grant, Department of Health Policy, Stanford University, Stanford, CA, United States; Bendavid, Eran, Division of Primary Care and Population Health, Stanford University, Stanford, CA, United States; Winch, Peter J., Department of International Health, Johns Hopkins Bloomberg School of Public Health, Baltimore, MD, United States; Hu, Howard, Keck School of Medicine of USC, Los Angeles, CA, United States; Lanphear, Bruce P., Simon Fraser University, Burnaby, BC, Canada; Landrigan, PJ J., Department of Biology, Boston College, Chestnut Hill, MA, United States, Centre Scientifique de Monaco, Monte Carlo, Monaco</t>
  </si>
  <si>
    <t>S.P. Luby; Woods Institute for the Environment, Stanford University, Stanford, United States; email: sluby@stanford.edu</t>
  </si>
  <si>
    <t>Lancet Planet. Health</t>
  </si>
  <si>
    <t>2-s2.0-85208136947</t>
  </si>
  <si>
    <t>Lai, R.-Y.; Li, Q.; Sun, W.</t>
  </si>
  <si>
    <t>Lai, Ruyu (36986987400); Li, Qin (55974039300); Sun, Weiran (41862484700)</t>
  </si>
  <si>
    <t>36986987400; 55974039300; 41862484700</t>
  </si>
  <si>
    <t>Reconstruction of the doping profile in Vlasov-Poisson system</t>
  </si>
  <si>
    <t>Inverse Problems</t>
  </si>
  <si>
    <t>10.1088/1361-6420/ad7c78</t>
  </si>
  <si>
    <t>https://www.scopus.com/inward/record.uri?eid=2-s2.0-85205482887&amp;doi=10.1088%2F1361-6420%2Fad7c78&amp;partnerID=40&amp;md5=ed2f567d42deea9f7afba639dc18301d</t>
  </si>
  <si>
    <t>College of Science and Engineering, Minneapolis, MN, United States; Department of Mathematics, University of Wisconsin-Madison, Madison, WI, United States; Simon Fraser University, Burnaby, BC, Canada</t>
  </si>
  <si>
    <t>Lai, Ruyu, College of Science and Engineering, Minneapolis, MN, United States; Li, Qin, Department of Mathematics, University of Wisconsin-Madison, Madison, WI, United States; Sun, Weiran, Simon Fraser University, Burnaby, BC, Canada</t>
  </si>
  <si>
    <t>R.-Y. Lai; School of Mathematics, University of Minnesota, Minneapolis, 55455, United States; email: rylai@umn.edu</t>
  </si>
  <si>
    <t>INPEE</t>
  </si>
  <si>
    <t>Inverse Probl</t>
  </si>
  <si>
    <t>2-s2.0-85205482887</t>
  </si>
  <si>
    <t>Ashouri, M.; Hassanabadi, S.; Chhokar, C.; Girnik, I.; Bahrami, M.</t>
  </si>
  <si>
    <t>Ashouri, Mahyar (57576318500); Hassanabadi, Salman (58630777600); Chhokar, Callum (57828781300); Girnik, Ilya S. (55348878200); Bahrami, Majid M. (35499001600)</t>
  </si>
  <si>
    <t>57576318500; 58630777600; 57828781300; 55348878200; 35499001600</t>
  </si>
  <si>
    <t>Renewable Energy</t>
  </si>
  <si>
    <t>10.1016/j.renene.2024.121338</t>
  </si>
  <si>
    <t>https://www.scopus.com/inward/record.uri?eid=2-s2.0-85203876835&amp;doi=10.1016%2Fj.renene.2024.121338&amp;partnerID=40&amp;md5=2b5eb3f4d52bdcd0bc272455f89f3fbd</t>
  </si>
  <si>
    <t>School of Mechatronic Systems Engineering, Simon Fraser University, Burnaby, BC, Canada; Pacific Institute for Climate Solutions, Victoria, BC, Canada</t>
  </si>
  <si>
    <t>Ashouri, Mahyar, School of Mechatronic Systems Engineering, Simon Fraser University, Burnaby, BC, Canada, Pacific Institute for Climate Solutions, Victoria, BC, Canada; Hassanabadi, Salman, School of Mechatronic Systems Engineering, Simon Fraser University, Burnaby, BC, Canada, Pacific Institute for Climate Solutions, Victoria, BC, Canada; Chhokar, Callum, School of Mechatronic Systems Engineering, Simon Fraser University, Burnaby, BC, Canada, Pacific Institute for Climate Solutions, Victoria, BC, Canada; Girnik, Ilya S., School of Mechatronic Systems Engineering, Simon Fraser University, Burnaby, BC, Canada, Pacific Institute for Climate Solutions, Victoria, BC, Canada; Bahrami, Majid M., School of Mechatronic Systems Engineering, Simon Fraser University, Burnaby, BC, Canada, Pacific Institute for Climate Solutions, Victoria, BC, Canada</t>
  </si>
  <si>
    <t>M. Bahrami; Laboratory for Alternative Energy Conversion (LAEC), School of Mechatronic Systems Engineering, Simon Fraser University, Surrey, V3T 0A3, Canada; email: mbahrami@sfu.ca</t>
  </si>
  <si>
    <t>Renew. Energy</t>
  </si>
  <si>
    <t>2-s2.0-85203876835</t>
  </si>
  <si>
    <t>Zhang, K.; Zhao, B.; Yin, K.</t>
  </si>
  <si>
    <t>Zhang, Kaili (57315859200); Zhao, Natalie Bin (55469069100); Yin, Kui (57196354953)</t>
  </si>
  <si>
    <t>57315859200; 55469069100; 57196354953</t>
  </si>
  <si>
    <t>The Double-Edged Sword of Error Sharing in Organizations: From A Self-Disclosure Perspective</t>
  </si>
  <si>
    <t>Journal of Management Studies</t>
  </si>
  <si>
    <t>10.1111/joms.13003</t>
  </si>
  <si>
    <t>https://www.scopus.com/inward/record.uri?eid=2-s2.0-85172102754&amp;doi=10.1111%2Fjoms.13003&amp;partnerID=40&amp;md5=c04ccaef831b7fc86105c354f582fe22</t>
  </si>
  <si>
    <t>East China University of Science and Technology, Shanghai, China; Simon Fraser University, Burnaby, BC, Canada; University of Science and Technology Beijing, Beijing, China</t>
  </si>
  <si>
    <t>Zhang, Kaili, East China University of Science and Technology, Shanghai, China; Zhao, Natalie Bin, Simon Fraser University, Burnaby, BC, Canada; Yin, Kui, University of Science and Technology Beijing, Beijing, China</t>
  </si>
  <si>
    <t>K. Yin; University of Science and Technology Beijing, China; email: bluesky7198@163.com</t>
  </si>
  <si>
    <t>John Wiley and Sons Inc</t>
  </si>
  <si>
    <t>J. Manage. Stud.</t>
  </si>
  <si>
    <t>2-s2.0-85172102754</t>
  </si>
  <si>
    <t>Ashouri, M.; Chhokar, C.; Bahrami, M.</t>
  </si>
  <si>
    <t>Ashouri, Mahyar (57576318500); Chhokar, Callum (57828781300); Bahrami, Majid M. (35499001600)</t>
  </si>
  <si>
    <t>57576318500; 57828781300; 35499001600</t>
  </si>
  <si>
    <t>Energy</t>
  </si>
  <si>
    <t>10.1016/j.energy.2024.132617</t>
  </si>
  <si>
    <t>https://www.scopus.com/inward/record.uri?eid=2-s2.0-85200168620&amp;doi=10.1016%2Fj.energy.2024.132617&amp;partnerID=40&amp;md5=73b4e557dfde4a0f4ca941f1f7d70510</t>
  </si>
  <si>
    <t>Ashouri, Mahyar, School of Mechatronic Systems Engineering, Simon Fraser University, Burnaby, BC, Canada; Chhokar, Callum, School of Mechatronic Systems Engineering, Simon Fraser University, Burnaby, BC, Canada; Bahrami, Majid M., School of Mechatronic Systems Engineering, Simon Fraser University, Burnaby, BC, Canada</t>
  </si>
  <si>
    <t>M. Bahrami; Pacific Institute for Climate Solutions and Laboratory for Alternative Energy Conversion (LAEC), School of Mechatronic Systems Engineering, Simon Fraser University, Surrey, V3T 0A3, Canada; email: mbahrami@sfu.ca</t>
  </si>
  <si>
    <t>0080319424; 0080328016; 0080340016; 0080311202; 0080305326; 0080316549; 008032780X; 9780080327808</t>
  </si>
  <si>
    <t>ENEYD</t>
  </si>
  <si>
    <t>2-s2.0-85200168620</t>
  </si>
  <si>
    <t>Behzad, A.</t>
  </si>
  <si>
    <t>Behzad, Armi (57672504400)</t>
  </si>
  <si>
    <t>Making Space for Poems: An Invitation to More-than-Human Design</t>
  </si>
  <si>
    <t>ACM International Conference Proceeding Series</t>
  </si>
  <si>
    <t>10.1145/3686169.3686208</t>
  </si>
  <si>
    <t>https://www.scopus.com/inward/record.uri?eid=2-s2.0-85215529794&amp;doi=10.1145%2F3686169.3686208&amp;partnerID=40&amp;md5=c0838594b6fbbaec5a2db198efeaf680</t>
  </si>
  <si>
    <t>Simon Fraser University, Burnaby, BC, Canada</t>
  </si>
  <si>
    <t>Behzad, Armi, Simon Fraser University, Burnaby, BC, Canada</t>
  </si>
  <si>
    <t>A. Behzad; Simon Fraser University, Vancouver, Canada; email: abehzadb@sfu.ca</t>
  </si>
  <si>
    <t>Association for Computing Machinery</t>
  </si>
  <si>
    <t>9798400718137; 9798400716799; 9798400710421; 9798400707261; 9798400718076; 9798400716867; 9798400710384</t>
  </si>
  <si>
    <t>ACM Int. Conf. Proc. Ser.</t>
  </si>
  <si>
    <t>Conference paper</t>
  </si>
  <si>
    <t>2-s2.0-85215529794</t>
  </si>
  <si>
    <t>Stepanova, E.R.; Riecke, B.E.</t>
  </si>
  <si>
    <t>Stepanova, Ekaterina R. (57125678000); Riecke, Bernhard E. (6603396361)</t>
  </si>
  <si>
    <t>57125678000; 6603396361</t>
  </si>
  <si>
    <t>Intercorporeal Design: Dissolving Self-Other Dualism in Interaction Design</t>
  </si>
  <si>
    <t>10.1145/3686169.3686206</t>
  </si>
  <si>
    <t>https://www.scopus.com/inward/record.uri?eid=2-s2.0-85215520941&amp;doi=10.1145%2F3686169.3686206&amp;partnerID=40&amp;md5=632deb6e2436e2c360a943dcfe8f79d8</t>
  </si>
  <si>
    <t>Simon Fraser University, Burnaby, BC, Canada; The Royal Institute of Technology (KTH), Stockholm, Stockholms, Sweden</t>
  </si>
  <si>
    <t>Stepanova, Ekaterina R., Simon Fraser University, Burnaby, BC, Canada, The Royal Institute of Technology (KTH), Stockholm, Stockholms, Sweden; Riecke, Bernhard E., The Royal Institute of Technology (KTH), Stockholm, Stockholms, Sweden</t>
  </si>
  <si>
    <t>2-s2.0-85215520941</t>
  </si>
  <si>
    <t>Oktay, G.; Lee, M.; Barati, B.; Wakkary, R.</t>
  </si>
  <si>
    <t>Oktay, Gizem (58532580300); Lee, Minha (57195592498); Barati, Bahareh (56814848100); Wakkary, Ron (9633977700)</t>
  </si>
  <si>
    <t>58532580300; 57195592498; 56814848100; 9633977700</t>
  </si>
  <si>
    <t>Caring through: Engaging with the temporality of care in more-than-human design</t>
  </si>
  <si>
    <t>10.1145/3686169.3686211</t>
  </si>
  <si>
    <t>https://www.scopus.com/inward/record.uri?eid=2-s2.0-85215501060&amp;doi=10.1145%2F3686169.3686211&amp;partnerID=40&amp;md5=e19ee7ccf15959a1216ac9defc53c2fe</t>
  </si>
  <si>
    <t>Technische Universiteit Eindhoven, Eindhoven, Noord-Brabant, Netherlands; Simon Fraser University, Burnaby, BC, Canada</t>
  </si>
  <si>
    <t>Oktay, Gizem, Technische Universiteit Eindhoven, Eindhoven, Noord-Brabant, Netherlands; Lee, Minha, Technische Universiteit Eindhoven, Eindhoven, Noord-Brabant, Netherlands; Barati, Bahareh, Technische Universiteit Eindhoven, Eindhoven, Noord-Brabant, Netherlands; Wakkary, Ron, Technische Universiteit Eindhoven, Eindhoven, Noord-Brabant, Netherlands, Simon Fraser University, Burnaby, BC, Canada</t>
  </si>
  <si>
    <t>2-s2.0-85215501060</t>
  </si>
  <si>
    <t>Hermani, M.; Abdollahi-Esfahlani, H.; Sadeghi, A.; Sharabiani, A.S.; Shafaati, E.; Imani, A.; Amjadi, A.; Daneshvar, A.</t>
  </si>
  <si>
    <t>Hermani, Milad (57219943552); Abdollahi-Esfahlani, Hossein (59129371200); Sadeghi, Amir (59129371300); Sharabiani, Abolfazl Sadeghiazar (58511753200); Shafaati, Erfan (57699994900); Imani, Ali (59890801400); Amjadi, Ahdieh (57212465243); Daneshvar, Atena (59129183600)</t>
  </si>
  <si>
    <t>57219943552; 59129371200; 59129371300; 58511753200; 57699994900; 59890801400; 57212465243; 59129183600</t>
  </si>
  <si>
    <t>Journal of Polymers and the Environment</t>
  </si>
  <si>
    <t>10.1007/s10924-024-03300-x</t>
  </si>
  <si>
    <t>https://www.scopus.com/inward/record.uri?eid=2-s2.0-85193215190&amp;doi=10.1007%2Fs10924-024-03300-x&amp;partnerID=40&amp;md5=6324d45eb0877fe5b16e986ed58c1c05</t>
  </si>
  <si>
    <t>Department of Chemical Engineering, Amirkabir University of Technology, Tehran, Tehran, Iran; Faculty of Polymer Engineering, Sahand University of Technology, Tabriz, East Azerbaijan, Iran; Faculty of Chemical and Petroleum Engineering, University of Tabriz, Tabriz, East Azerbaijan, Iran; Chemical Engineering Faculty, Sahand University of Technology, Tabriz, East Azerbaijan, Iran; Department of Chemical Engineering, University of Maragheh, Maragheh, East Azerbaijan, Iran; Department of Biochemistry and Molecular Biology, Simon Fraser University, Burnaby, BC, Canada</t>
  </si>
  <si>
    <t>Hermani, Milad, Department of Chemical Engineering, Amirkabir University of Technology, Tehran, Tehran, Iran, Department of Chemical Engineering, University of Maragheh, Maragheh, East Azerbaijan, Iran; Abdollahi-Esfahlani, Hossein, Faculty of Polymer Engineering, Sahand University of Technology, Tabriz, East Azerbaijan, Iran; Sadeghi, Amir, Department of Chemical Engineering, Amirkabir University of Technology, Tehran, Tehran, Iran; Sharabiani, Abolfazl Sadeghiazar, Faculty of Chemical and Petroleum Engineering, University of Tabriz, Tabriz, East Azerbaijan, Iran; Shafaati, Erfan, Chemical Engineering Faculty, Sahand University of Technology, Tabriz, East Azerbaijan, Iran; Imani, Ali, Department of Chemical Engineering, University of Maragheh, Maragheh, East Azerbaijan, Iran; Amjadi, Ahdieh, Department of Chemical Engineering, University of Maragheh, Maragheh, East Azerbaijan, Iran; Daneshvar, Atena, Department of Biochemistry and Molecular Biology, Simon Fraser University, Burnaby, BC, Canada</t>
  </si>
  <si>
    <t>M. Hermani; Department of Chemical Engineering, Amirkabir University of Technology (Tehran Polytechnic), Tehran, Iran; email: Miladhermani73@aut.ac.ir; A. Amjadi; Department of Chemical Engineering, Faculty of Engineering, University of Maragheh, Maragheh, Iran; email: a.amjadi@maragheh.ac.ir</t>
  </si>
  <si>
    <t>Springer</t>
  </si>
  <si>
    <t>JPENF</t>
  </si>
  <si>
    <t>J. Polym. Environ.</t>
  </si>
  <si>
    <t>2-s2.0-85193215190</t>
  </si>
  <si>
    <t>Aftab, S.; Ganesh, G.; Mukhtar, M.; Kabir, F.; Nazir, G.; Memon, S.A.; Aslam, M.; Assiri, M.A.; Kim, J.H.</t>
  </si>
  <si>
    <t>Aftab, Sikandar (57200114034); Ganesh, Koyyada (55843979000); Mukhtar, Maria (57216159606); Kabir, Fahmid (57204906651); Nazir, Ghazanfar (56769819400); Memon, Sufyan Ali (57132317100); Aslam, Muhammad Zeeshan (59800219300); Assiri, Mohammed Ail (57195309416); Kim, Jae-hong (57210416369)</t>
  </si>
  <si>
    <t>57200114034; 55843979000; 57216159606; 57204906651; 56769819400; 57132317100; 59800219300; 57195309416; 57210416369</t>
  </si>
  <si>
    <t>ACS Sensors</t>
  </si>
  <si>
    <t>10.1021/acssensors.4c01717</t>
  </si>
  <si>
    <t>https://www.scopus.com/inward/record.uri?eid=2-s2.0-85205075733&amp;doi=10.1021%2Facssensors.4c01717&amp;partnerID=40&amp;md5=b55b264a422d25284a770f5afe9e5747</t>
  </si>
  <si>
    <t>Department of Semiconductor Systems Engineering, Sejong University, Seoul, South Korea; Department of Artificial Intelligence, Sejong University, Seoul, South Korea; School of Chemical Engineering, Yeungnam University, Gyeongsan, Gyeongsangbuk-do, South Korea; School of Engineering Science, Simon Fraser University, Burnaby, BC, Canada; Department of Nanotechnology and Advanced Materials Engineering, Sejong University, Seoul, South Korea; Sejong University, Seoul, South Korea; Institute of Physics and Technology, Yekaterinburg, Sverdlovskaya, Russian Federation; Department of Chemistry, King Khalid University, Abha, Asir, Saudi Arabia; Department of Chemistry, SR University, Warangal, TS, India</t>
  </si>
  <si>
    <t>Aftab, Sikandar, Department of Semiconductor Systems Engineering, Sejong University, Seoul, South Korea, Department of Artificial Intelligence, Sejong University, Seoul, South Korea; Ganesh, Koyyada, School of Chemical Engineering, Yeungnam University, Gyeongsan, Gyeongsangbuk-do, South Korea, Department of Chemistry, SR University, Warangal, TS, India; Mukhtar, Maria, Department of Semiconductor Systems Engineering, Sejong University, Seoul, South Korea, Department of Artificial Intelligence, Sejong University, Seoul, South Korea; Kabir, Fahmid, School of Engineering Science, Simon Fraser University, Burnaby, BC, Canada; Nazir, Ghazanfar, Department of Nanotechnology and Advanced Materials Engineering, Sejong University, Seoul, South Korea; Memon, Sufyan Ali, Sejong University, Seoul, South Korea; Aslam, Muhammad Zeeshan, Institute of Physics and Technology, Yekaterinburg, Sverdlovskaya, Russian Federation; Assiri, Mohammed Ail, Department of Chemistry, King Khalid University, Abha, Asir, Saudi Arabia; Kim, Jae-hong, School of Chemical Engineering, Yeungnam University, Gyeongsan, Gyeongsangbuk-do, South Korea</t>
  </si>
  <si>
    <t>S. Aftab; Department of Semiconductor Systems Engineering and Clean Energy, Sejong University, Seoul, 05006, South Korea; email: aftab@sejong.ac.kr; J.H. Kim; School of Chemical Engineering, Yeungnam University, Gyeongsan, 38541, South Korea; email: jaehkim@ynu.ac.kr</t>
  </si>
  <si>
    <t>American Chemical Society</t>
  </si>
  <si>
    <t>2-s2.0-85205075733</t>
  </si>
  <si>
    <t>Eady, A.K.; Guerrero, A.; Cheung, V.; Thue, D.; Girouard, A.</t>
  </si>
  <si>
    <t>Eady, Alexander Keith (56537117500); Guerrero, Alfrancis (57264321400); Cheung, Victor (39060972800); Thue, David (24825612300); Girouard, Audrey (16303494200)</t>
  </si>
  <si>
    <t>56537117500; 57264321400; 39060972800; 24825612300; 16303494200</t>
  </si>
  <si>
    <t>10.1145/3670947.3670960</t>
  </si>
  <si>
    <t>https://www.scopus.com/inward/record.uri?eid=2-s2.0-85205452301&amp;doi=10.1145%2F3670947.3670960&amp;partnerID=40&amp;md5=4905ced3c6576f3e07dab8afa351d814</t>
  </si>
  <si>
    <t>Carleton University, Ottawa, ON, Canada; Simon Fraser University, Burnaby, BC, Canada</t>
  </si>
  <si>
    <t>Eady, Alexander Keith, Carleton University, Ottawa, ON, Canada; Guerrero, Alfrancis, Carleton University, Ottawa, ON, Canada; Cheung, Victor, Simon Fraser University, Burnaby, BC, Canada; Thue, David, Carleton University, Ottawa, ON, Canada; Girouard, Audrey, Carleton University, Ottawa, ON, Canada</t>
  </si>
  <si>
    <t>9798400718281; 9798400718069; 9798400709760; 9798400717987</t>
  </si>
  <si>
    <t>2-s2.0-85205452301</t>
  </si>
  <si>
    <t>Lisik, J.; Rojas, M.; Myrtle, S.; Ryan, D.H.; Hübner, R.; Omelchenko, P.; Abert, C.; Ducevic, A.; Suess, D.; Soldatov, I.; Schäefer, R.; Seyd, J.; Albrecht, M.; Girt, E.</t>
  </si>
  <si>
    <t>Lisik, Juliana (59005130600); Rojas, Manuel (59256825800); Myrtle, Spencer (58238209400); Ryan, Dominic H. (35509008100); Hübner, René (7005033110); Omelchenko, Paul (56677883900); Abert, Claas (55084839600); Ducevic, Amil (57223175459); Suess, Dieter (7004076065); Soldatov, Ivan V. (36640606800); Schäefer, Rudolf (57206507537); Seyd, Johannes (57211251856); Albrecht, Manfred (57203106416); Girt, Erol (7004753025)</t>
  </si>
  <si>
    <t>59005130600; 59256825800; 58238209400; 35509008100; 7005033110; 56677883900; 55084839600; 57223175459; 7004076065; 36640606800; 57206507537; 57211251856; 57203106416; 7004753025</t>
  </si>
  <si>
    <t>Physical Review B</t>
  </si>
  <si>
    <t>10.1103/PhysRevB.110.104429</t>
  </si>
  <si>
    <t>https://www.scopus.com/inward/record.uri?eid=2-s2.0-85205138677&amp;doi=10.1103%2FPhysRevB.110.104429&amp;partnerID=40&amp;md5=bf5eb7ca7768ab37a7feb4b12f69966a</t>
  </si>
  <si>
    <t>Department of Physics, Simon Fraser University, Burnaby, BC, Canada; Centre for the Physics of Materials, Université McGill, Montreal, QC, Canada; HZDR - Helmholtz-Zentrum Dresden-Rossendorf, Dresden, Sachsen, Germany; Physics of Functional Materials, Universität Wien, Vienna, Vienna, Austria; Leibniz-Institut für Festkörper- und Werkstoffforschung Dresden, Dresden, Sachsen, Germany; Institute of Physics, Universität Augsburg, Augsburg, Bayern, Germany</t>
  </si>
  <si>
    <t>Lisik, Juliana, Department of Physics, Simon Fraser University, Burnaby, BC, Canada; Rojas, Manuel, Department of Physics, Simon Fraser University, Burnaby, BC, Canada; Myrtle, Spencer, Department of Physics, Simon Fraser University, Burnaby, BC, Canada; Ryan, Dominic H., Centre for the Physics of Materials, Université McGill, Montreal, QC, Canada; Hübner, René, HZDR - Helmholtz-Zentrum Dresden-Rossendorf, Dresden, Sachsen, Germany; Omelchenko, Paul, Department of Physics, Simon Fraser University, Burnaby, BC, Canada; Abert, Claas, Physics of Functional Materials, Universität Wien, Vienna, Vienna, Austria; Ducevic, Amil, Physics of Functional Materials, Universität Wien, Vienna, Vienna, Austria; Suess, Dieter, Physics of Functional Materials, Universität Wien, Vienna, Vienna, Austria; Soldatov, Ivan V., Leibniz-Institut für Festkörper- und Werkstoffforschung Dresden, Dresden, Sachsen, Germany; Schäefer, Rudolf, Leibniz-Institut für Festkörper- und Werkstoffforschung Dresden, Dresden, Sachsen, Germany; Seyd, Johannes, Institute of Physics, Universität Augsburg, Augsburg, Bayern, Germany; Albrecht, Manfred, Institute of Physics, Universität Augsburg, Augsburg, Bayern, Germany; Girt, Erol, Department of Physics, Simon Fraser University, Burnaby, BC, Canada</t>
  </si>
  <si>
    <t>M. Rojas; Department of Physics, Simon Fraser University, Burnaby, 8888 University Drive, V5A 1S6, Canada; email: mrojas@sfu.ca; ; E. Girt; Department of Physics, Simon Fraser University, Burnaby, 8888 University Drive, V5A 1S6, Canada; email: egirt@sfu.ca; D.H. Ryan; Physics Department, Centre for the Physics of Materials, McGill University, Montreal, 3600 University Street, H3A 2T8, Canada; email: dhryan@physics.mcgill.ca</t>
  </si>
  <si>
    <t>American Physical Society</t>
  </si>
  <si>
    <t>Phys. Rev. B</t>
  </si>
  <si>
    <t>2-s2.0-85205138677</t>
  </si>
  <si>
    <t>Energy Conversion and Management</t>
  </si>
  <si>
    <t>10.1016/j.enconman.2024.118780</t>
  </si>
  <si>
    <t>https://www.scopus.com/inward/record.uri?eid=2-s2.0-85198138848&amp;doi=10.1016%2Fj.enconman.2024.118780&amp;partnerID=40&amp;md5=187a85786acc256724b43c154ef60450</t>
  </si>
  <si>
    <t>ECMAD</t>
  </si>
  <si>
    <t>Energy Convers. Manage.</t>
  </si>
  <si>
    <t>2-s2.0-85198138848</t>
  </si>
  <si>
    <t>Winther, K.; Nunn, Z.R.; Lisik, J.; Arapan, S.; Legut, D.; Schulz, F.; Goering, E.; McKinnon, T.; Myrtle, S.; Girt, E.</t>
  </si>
  <si>
    <t>Winther, Kevin (59301511100); Nunn, Zachary R. (56940777700); Lisik, Juliana (59005130600); Arapan, Sergiu C. (6508381982); Legut, Dominik (17434490500); Schulz, Frank (57223028908); Goering, Eberhard J. (7003473950); McKinnon, Tommy (56007759300); Myrtle, Spencer (58238209400); Girt, Erol (7004753025)</t>
  </si>
  <si>
    <t>59301511100; 56940777700; 59005130600; 6508381982; 17434490500; 57223028908; 7003473950; 56007759300; 58238209400; 7004753025</t>
  </si>
  <si>
    <t>Physical Review Applied</t>
  </si>
  <si>
    <t>10.1103/PhysRevApplied.22.024058</t>
  </si>
  <si>
    <t>https://www.scopus.com/inward/record.uri?eid=2-s2.0-85202295964&amp;doi=10.1103%2FPhysRevApplied.22.024058&amp;partnerID=40&amp;md5=4ae2d114aa1452eae5124322aa753df1</t>
  </si>
  <si>
    <t>Simon Fraser University, Burnaby, BC, Canada; IT4Innovations, VSB – Technical University of Ostrava, Ostrava, Moravian-Silesian Region, Czech Republic; Department of Condensed Matter Physics, Charles University, Prague, Czech Republic; Max Planck Institute for Intelligent Systems, Tubingen, Baden-Wurttemberg, Germany</t>
  </si>
  <si>
    <t>Winther, Kevin, Simon Fraser University, Burnaby, BC, Canada; Nunn, Zachary R., Simon Fraser University, Burnaby, BC, Canada; Lisik, Juliana, Simon Fraser University, Burnaby, BC, Canada; Arapan, Sergiu C., IT4Innovations, VSB – Technical University of Ostrava, Ostrava, Moravian-Silesian Region, Czech Republic; Legut, Dominik, IT4Innovations, VSB – Technical University of Ostrava, Ostrava, Moravian-Silesian Region, Czech Republic, Department of Condensed Matter Physics, Charles University, Prague, Czech Republic; Schulz, Frank, Max Planck Institute for Intelligent Systems, Tubingen, Baden-Wurttemberg, Germany; Goering, Eberhard J., Max Planck Institute for Intelligent Systems, Tubingen, Baden-Wurttemberg, Germany; McKinnon, Tommy, Simon Fraser University, Burnaby, BC, Canada; Myrtle, Spencer, Simon Fraser University, Burnaby, BC, Canada; Girt, Erol, Simon Fraser University, Burnaby, BC, Canada</t>
  </si>
  <si>
    <t>K. Winther; Simon Fraser University, Burnaby, 8888 University Drive, V5A 1S6, Canada; email: kevin_winther@sfu.ca; Z.R. Nunn; Simon Fraser University, Burnaby, 8888 University Drive, V5A 1S6, Canada; email: znunn@sfu.ca; J. Lisik; Simon Fraser University, Burnaby, 8888 University Drive, V5A 1S6, Canada; email: jbesler@sfu.ca; E. Girt; Simon Fraser University, Burnaby, 8888 University Drive, V5A 1S6, Canada; email: egirt@sfu.ca; S. Arapan; IT4Innovations, VŠB - Technical University of Ostrava, Ostrava, 17 listopadu 3172/15, 70800, Czech Republic; email: sergiu.arapan@gmail.com</t>
  </si>
  <si>
    <t>Phys. Rev. Appl.</t>
  </si>
  <si>
    <t>2-s2.0-85202295964</t>
  </si>
  <si>
    <t>Yang, H.; Zhang, N.; Xie, S.; Faraji, M.; Pinto, R.M.R.; Silva, P.M.; Ren, W.; Ye, Z.-G.; Cerqueira, M.A.; Vinayakumar, K.B.</t>
  </si>
  <si>
    <t>Yang, Hao (57218295059); Zhang, Nan (26023886900); Xie, Shanshan (57222484264); Faraji, Mohammad Mahdi (56898776500); Pinto, Rui M.R. (57209247586); Silva, P. Miguel (57199015415); Ren, Wei (57201421397); Ye, Zuo Guang (24443034100); Cerqueira, Miguel Ângelo (57203910389); Vinayakumar, K. B. (57202060410)</t>
  </si>
  <si>
    <t>57218295059; 26023886900; 57222484264; 56898776500; 57209247586; 57199015415; 57201421397; 24443034100; 57203910389; 57202060410</t>
  </si>
  <si>
    <t>Materials Today Communications</t>
  </si>
  <si>
    <t>10.1016/j.mtcomm.2024.109928</t>
  </si>
  <si>
    <t>https://www.scopus.com/inward/record.uri?eid=2-s2.0-85201100201&amp;doi=10.1016%2Fj.mtcomm.2024.109928&amp;partnerID=40&amp;md5=8b2fbafd3c3d26c93e98582d6922c31e</t>
  </si>
  <si>
    <t>China Southern Power Grid, Guangzhou, Guangdong, China; International Iberian Nanotechnology Laboratory, Braga, Minho, Portugal; Electronic Materials Research Laboratory, Xi'an Jiaotong University, Xi'an, Shaanxi, China; Department of Chemistry and 4D LABS, Simon Fraser University, Burnaby, BC, Canada; Birla Institute of Technology and Science, Pilani, Pilani, RJ, India</t>
  </si>
  <si>
    <t>Yang, Hao, China Southern Power Grid, Guangzhou, Guangdong, China, International Iberian Nanotechnology Laboratory, Braga, Minho, Portugal, Electronic Materials Research Laboratory, Xi'an Jiaotong University, Xi'an, Shaanxi, China; Zhang, Nan, Electronic Materials Research Laboratory, Xi'an Jiaotong University, Xi'an, Shaanxi, China; Xie, Shanshan, Electronic Materials Research Laboratory, Xi'an Jiaotong University, Xi'an, Shaanxi, China; Faraji, Mohammad Mahdi, International Iberian Nanotechnology Laboratory, Braga, Minho, Portugal; Pinto, Rui M.R., International Iberian Nanotechnology Laboratory, Braga, Minho, Portugal; Silva, P. Miguel, International Iberian Nanotechnology Laboratory, Braga, Minho, Portugal; Ren, Wei, Electronic Materials Research Laboratory, Xi'an Jiaotong University, Xi'an, Shaanxi, China; Ye, Zuo Guang, Department of Chemistry and 4D LABS, Simon Fraser University, Burnaby, BC, Canada; Cerqueira, Miguel Ângelo, International Iberian Nanotechnology Laboratory, Braga, Minho, Portugal; Vinayakumar, K. B., International Iberian Nanotechnology Laboratory, Braga, Minho, Portugal, Birla Institute of Technology and Science, Pilani, Pilani, RJ, India</t>
  </si>
  <si>
    <t>M.A. Cerqueira; International Iberian Nanotechnology Laboratory, Braga, Av. Mestre Jose Veiga, 4715-330, Portugal; email: Miguel.Cerqueira@inl.int</t>
  </si>
  <si>
    <t>Mater. Today Commun.</t>
  </si>
  <si>
    <t>2-s2.0-85201100201</t>
  </si>
  <si>
    <t>McCoombs, J.S.R.; MacNeil, B.D.; Askarpour, V.; Myra, J.; Herdin, H.; Pula, M.; Robertson, M.D.; Luke, G.M.; Kavanagh, K.L.; Maassen, J.; Monchesky, T.L.</t>
  </si>
  <si>
    <t>McCoombs, J. S.R. (57219586303); MacNeil, Brett Daniel (57219583879); Askarpour, Vahid (6508125905); Myra, James R. (7004139188); Herdin, H. (58718241300); Pula, Mathew (57221308183); Robertson, Michael D. (7401592155); Luke, Graeme M. (7006469903); Kavanagh, Karen L. (35433107700); Maassen, Jesse (35115128300); Monchesky, Theodore L. (6602591115)</t>
  </si>
  <si>
    <t>57219586303; 57219583879; 6508125905; 7004139188; 58718241300; 57221308183; 7401592155; 7006469903; 35433107700; 35115128300; 6602591115</t>
  </si>
  <si>
    <t>Giant anomalous Hall effect in epitaxial Mn3.2Ge films with a cubic kagome structure</t>
  </si>
  <si>
    <t>10.1103/PhysRevB.110.064401</t>
  </si>
  <si>
    <t>https://www.scopus.com/inward/record.uri?eid=2-s2.0-85200491432&amp;doi=10.1103%2FPhysRevB.110.064401&amp;partnerID=40&amp;md5=3a767aa5c740c638fd47d8c1d320dba2</t>
  </si>
  <si>
    <t>Department of Physics and Atmospheric Science, Dalhousie University, Halifax, NS, Canada; Department of Physics, Simon Fraser University, Burnaby, BC, Canada; McMaster University, Faculty of Science, Hamilton, ON, Canada; Department of Physics, Acadia University, Wolfville, NS, Canada</t>
  </si>
  <si>
    <t>McCoombs, J. S.R., Department of Physics and Atmospheric Science, Dalhousie University, Halifax, NS, Canada; MacNeil, Brett Daniel, Department of Physics and Atmospheric Science, Dalhousie University, Halifax, NS, Canada; Askarpour, Vahid, Department of Physics and Atmospheric Science, Dalhousie University, Halifax, NS, Canada; Myra, James R., Department of Physics and Atmospheric Science, Dalhousie University, Halifax, NS, Canada; Herdin, H., Department of Physics, Simon Fraser University, Burnaby, BC, Canada; Pula, Mathew, McMaster University, Faculty of Science, Hamilton, ON, Canada; Robertson, Michael D., Department of Physics, Acadia University, Wolfville, NS, Canada; Luke, Graeme M., McMaster University, Faculty of Science, Hamilton, ON, Canada; Kavanagh, Karen L., Department of Physics, Simon Fraser University, Burnaby, BC, Canada; Maassen, Jesse, Department of Physics and Atmospheric Science, Dalhousie University, Halifax, NS, Canada; Monchesky, Theodore L., Department of Physics and Atmospheric Science, Dalhousie University, Halifax, NS, Canada</t>
  </si>
  <si>
    <t>2-s2.0-85200491432</t>
  </si>
  <si>
    <t>Jung, S.-G.; Han, Y.; Kim, J.H.; Hidayati, R.; Rhyee, J.-S.; Kim, S.; Mun, E.; Choi, J.H.; Park, T.</t>
  </si>
  <si>
    <t>Jung, Soon-gil (15128724200); Han, Yoonseok (57220549174); Kim, Jinhee (57194613785); Hidayati, Rahmatul (57682328600); Rhyee, Jongsoo (6603282348); Kim, Suyoung (57211871654); Mun, Eundeok (17346654700); Choi, Jun-hyuk (57203864038); Park, Tuson (8251575700)</t>
  </si>
  <si>
    <t>15128724200; 57220549174; 57194613785; 57682328600; 6603282348; 57211871654; 17346654700; 57203864038; 8251575700</t>
  </si>
  <si>
    <t>10.1016/j.jallcom.2024.174816</t>
  </si>
  <si>
    <t>https://www.scopus.com/inward/record.uri?eid=2-s2.0-85192982570&amp;doi=10.1016%2Fj.jallcom.2024.174816&amp;partnerID=40&amp;md5=a675efc70c74b86daabd5b3cc0b07d16</t>
  </si>
  <si>
    <t>Department of Physical Education, Sunchon National University, Suncheon, Jeollanam-do, South Korea; Sungkyunkwan University, Seoul, South Korea; Department of Applied Physics, Kyung Hee University, Seoul, South Korea; Department of Physics, Simon Fraser University, Burnaby, BC, Canada; Ltd., Daejeon, South Korea</t>
  </si>
  <si>
    <t>Jung, Soon-gil, Department of Physical Education, Sunchon National University, Suncheon, Jeollanam-do, South Korea; Han, Yoonseok, Sungkyunkwan University, Seoul, South Korea; Kim, Jinhee, Department of Applied Physics, Kyung Hee University, Seoul, South Korea; Hidayati, Rahmatul, Department of Applied Physics, Kyung Hee University, Seoul, South Korea; Rhyee, Jongsoo, Department of Applied Physics, Kyung Hee University, Seoul, South Korea; Kim, Suyoung, Department of Physics, Simon Fraser University, Burnaby, BC, Canada; Mun, Eundeok, Department of Physics, Simon Fraser University, Burnaby, BC, Canada; Choi, Jun-hyuk, Ltd., Daejeon, South Korea; Park, Tuson, Sungkyunkwan University, Seoul, South Korea</t>
  </si>
  <si>
    <t>S.-G. Jung; Department of Physics Education, Sunchon National University, Suncheon, 57922, South Korea; email: sgjung@scnu.ac.kr</t>
  </si>
  <si>
    <t>2-s2.0-85192982570</t>
  </si>
  <si>
    <t>de Souza, A.G.N.; da Silva, Y.B.; Rodrigues, R.R.; Menandro, A.S.; Péres, L.O.</t>
  </si>
  <si>
    <t>de Souza, Agnaldo G.N. (58976058900); da Silva, Yasmin B. (58976728300); Rodrigues, Rebeca Da Rocha (57217865467); Menandro, Alessandra Stacchini (57206178556); Péres, Laura Oliveira (7003409178)</t>
  </si>
  <si>
    <t>58976058900; 58976728300; 57217865467; 57206178556; 7003409178</t>
  </si>
  <si>
    <t>Macromolecular Research</t>
  </si>
  <si>
    <t>10.1007/s13233-024-00261-x</t>
  </si>
  <si>
    <t>https://www.scopus.com/inward/record.uri?eid=2-s2.0-85189817181&amp;doi=10.1007%2Fs13233-024-00261-x&amp;partnerID=40&amp;md5=066530559f426874e4c45fe6092ab0ea</t>
  </si>
  <si>
    <t>Laboratory of Hybrid Materials, Universidade Federal de São Paulo, Sao Paulo, SP, Brazil; Simon Fraser University, Burnaby, BC, Canada</t>
  </si>
  <si>
    <t>de Souza, Agnaldo G.N., Laboratory of Hybrid Materials, Universidade Federal de São Paulo, Sao Paulo, SP, Brazil; da Silva, Yasmin B., Laboratory of Hybrid Materials, Universidade Federal de São Paulo, Sao Paulo, SP, Brazil; Rodrigues, Rebeca Da Rocha, Laboratory of Hybrid Materials, Universidade Federal de São Paulo, Sao Paulo, SP, Brazil; Menandro, Alessandra Stacchini, Simon Fraser University, Burnaby, BC, Canada; Péres, Laura Oliveira, Laboratory of Hybrid Materials, Universidade Federal de São Paulo, Sao Paulo, SP, Brazil</t>
  </si>
  <si>
    <t>R.R. Rodrigues; Laboratory of Hybrid Materials, Federal University of São Paulo, Diadema, SP, Brazil; email: rebeca.rodrigues@unifesp.br</t>
  </si>
  <si>
    <t>Polymer Society of Korea</t>
  </si>
  <si>
    <t>Macromol. Res.</t>
  </si>
  <si>
    <t>2-s2.0-85189817181</t>
  </si>
  <si>
    <t>Kaur, S.; D’Souza, R.M.; Kelly, T.L.; Williams, V.E.; Kaake, L.G.</t>
  </si>
  <si>
    <t>Kaur, Simranjeet (59232268700); D’Souza, Renita M. (57196058588); Kelly, Timothy L. (7403230815); Williams, Vance E. (7102894408); Kaake, Loren G. (16679060400)</t>
  </si>
  <si>
    <t>59232268700; 57196058588; 7403230815; 7102894408; 16679060400</t>
  </si>
  <si>
    <t>ACS Applied Materials and Interfaces</t>
  </si>
  <si>
    <t>10.1021/acsami.4c01045</t>
  </si>
  <si>
    <t>https://www.scopus.com/inward/record.uri?eid=2-s2.0-85199450311&amp;doi=10.1021%2Facsami.4c01045&amp;partnerID=40&amp;md5=cd52024c60dce29ad04a8002a8a5b113</t>
  </si>
  <si>
    <t>Simon Fraser University, Burnaby, BC, Canada; University of Saskatchewan, Saskatoon, SK, Canada</t>
  </si>
  <si>
    <t>Kaur, Simranjeet, Simon Fraser University, Burnaby, BC, Canada; D’Souza, Renita M., University of Saskatchewan, Saskatoon, SK, Canada; Kelly, Timothy L., University of Saskatchewan, Saskatoon, SK, Canada; Williams, Vance E., Simon Fraser University, Burnaby, BC, Canada; Kaake, Loren G., Simon Fraser University, Burnaby, BC, Canada</t>
  </si>
  <si>
    <t>L.G. Kaake; Department of Chemistry, Simon Fraser University, Burnaby, 8888 University Drive, V5A 1S6, Canada; email: lkaake@sfu.ca</t>
  </si>
  <si>
    <t>ACS Appl. Mater. Interfaces</t>
  </si>
  <si>
    <t>2-s2.0-85199450311</t>
  </si>
  <si>
    <t>Lucchetti, L.E.B.; de Almeida, J.M.; Siahrostami, S.</t>
  </si>
  <si>
    <t>Lucchetti, Lanna E.B. (57214180095); de Almeida, James Moraes (35208202100); Siahrostami, Samira (25224903500)</t>
  </si>
  <si>
    <t>57214180095; 35208202100; 25224903500</t>
  </si>
  <si>
    <t>EES Catalysis</t>
  </si>
  <si>
    <t>10.1039/d4ey00104d</t>
  </si>
  <si>
    <t>https://www.scopus.com/inward/record.uri?eid=2-s2.0-85200322622&amp;doi=10.1039%2Fd4ey00104d&amp;partnerID=40&amp;md5=1a434583222cf3c36b21d42d9e6a0a86</t>
  </si>
  <si>
    <t>Simon Fraser University, Burnaby, BC, Canada; Ilum School of Science, Centro Nacional de Pesquisa em Energia e Materiais, Campinas, Brazil</t>
  </si>
  <si>
    <t>Lucchetti, Lanna E.B., Simon Fraser University, Burnaby, BC, Canada; de Almeida, James Moraes, Ilum School of Science, Centro Nacional de Pesquisa em Energia e Materiais, Campinas, Brazil; Siahrostami, Samira, Simon Fraser University, Burnaby, BC, Canada</t>
  </si>
  <si>
    <t>S. Siahrostami; Department of Chemistry, Simon Fraser University, Burnaby, 8888 University Drive, V5A 1S6, Canada; email: samira_siahrostami@sfu.ca</t>
  </si>
  <si>
    <t>Royal Society of Chemistry</t>
  </si>
  <si>
    <t>EES Catal.</t>
  </si>
  <si>
    <t>2-s2.0-85200322622</t>
  </si>
  <si>
    <t>Kumar, P.; Askar, A.; Wang, J.; Roy, S.; Kancharlapalli, S.; Wang, X.; Joshi, V.; Hu, H.; Kannimuthu, K.; Trivedi, D.; Bollini, P.; Wu, Y.A.; Ajayan, P.M.; Adachi, M.M.; Hu, J.; Kibria, M.G.</t>
  </si>
  <si>
    <t>Kumar, Pawan (57192194417); Askar, Abdelrahman M. (56699722300); Wang, Jiu (57216982194); Roy, Soumyabrata (57213545826); Kancharlapalli, Srinivasu (25032097600); Wang, Xiyang (57192627377); Joshi, Varad V. (58941777800); Hu, Hangtian (58941967100); Kannimuthu, Karthick (57221399468); Trivedi, Dhwanil B. (58435900500); Bollini, Praveen P. (36859347500); Wu, Yimin A. (36783832700); Ajayan, Pulickel Madhava (35492852400); Adachi, Michael M. (16432591400); Hu, Jinguang (49663273100); Kibria, Md Golam (57211039036)</t>
  </si>
  <si>
    <t>57192194417; 56699722300; 57216982194; 57213545826; 25032097600; 57192627377; 58941777800; 58941967100; 57221399468; 58435900500; 36859347500; 36783832700; 35492852400; 16432591400; 49663273100; 57211039036</t>
  </si>
  <si>
    <t>Isolated Iridium Sites on Potassium-Doped Carbon-nitride wrapped Tellurium Nanostructures for Enhanced Glycerol Photooxidation</t>
  </si>
  <si>
    <t>Advanced Functional Materials</t>
  </si>
  <si>
    <t>10.1002/adfm.202313793</t>
  </si>
  <si>
    <t>https://www.scopus.com/inward/record.uri?eid=2-s2.0-85187932097&amp;doi=10.1002%2Fadfm.202313793&amp;partnerID=40&amp;md5=23a507be8a9c6a3d50df522e8ab961d0</t>
  </si>
  <si>
    <t>Department of Chemical and Petroleum Engineering, University of Calgary, Calgary, AB, Canada; School of Engineering Science, Simon Fraser University, Burnaby, BC, Canada; George R. Brown School of Engineering and Computing, Houston, TX, United States; Theoretical Chemistry Section, Bhabha Atomic Research Centre, Mumbai, MH, India; Homi Bhabha National Institute, Mumbai, MH, India; Department of Mechanical and Mechatronics Engineering, Waterloo Institute for Nanotechnology, Waterloo, ON, Canada; Cullen College of Engineering, Houston, TX, United States</t>
  </si>
  <si>
    <t>Kumar, Pawan, Department of Chemical and Petroleum Engineering, University of Calgary, Calgary, AB, Canada; Askar, Abdelrahman M., School of Engineering Science, Simon Fraser University, Burnaby, BC, Canada; Wang, Jiu, Department of Chemical and Petroleum Engineering, University of Calgary, Calgary, AB, Canada; Roy, Soumyabrata, George R. Brown School of Engineering and Computing, Houston, TX, United States; Kancharlapalli, Srinivasu, Theoretical Chemistry Section, Bhabha Atomic Research Centre, Mumbai, MH, India, Homi Bhabha National Institute, Mumbai, MH, India; Wang, Xiyang, Department of Mechanical and Mechatronics Engineering, Waterloo Institute for Nanotechnology, Waterloo, ON, Canada; Joshi, Varad V., Cullen College of Engineering, Houston, TX, United States; Hu, Hangtian, Department of Chemical and Petroleum Engineering, University of Calgary, Calgary, AB, Canada; Kannimuthu, Karthick, Department of Chemical and Petroleum Engineering, University of Calgary, Calgary, AB, Canada; Trivedi, Dhwanil B., Department of Chemical and Petroleum Engineering, University of Calgary, Calgary, AB, Canada; Bollini, Praveen P., Cullen College of Engineering, Houston, TX, United States; Wu, Yimin A., Department of Mechanical and Mechatronics Engineering, Waterloo Institute for Nanotechnology, Waterloo, ON, Canada; Ajayan, Pulickel Madhava, George R. Brown School of Engineering and Computing, Houston, TX, United States; Adachi, Michael M., School of Engineering Science, Simon Fraser University, Burnaby, BC, Canada; Hu, Jinguang, Department of Chemical and Petroleum Engineering, University of Calgary, Calgary, AB, Canada; Kibria, Md Golam, Department of Chemical and Petroleum Engineering, University of Calgary, Calgary, AB, Canada</t>
  </si>
  <si>
    <t>J. Hu; Department of Chemical and Petroleum Engineering, University of Calgary, Calgary, 2500 University Drive, NW, T2N 1N4, Canada; email: jinguang.hu@ucalgary.ca; M.G. Kibria; Department of Chemical and Petroleum Engineering, University of Calgary, Calgary, 2500 University Drive, NW, T2N 1N4, Canada; email: md.kibria@ucalgary.ca; M.M. Adachi; School of Engineering Science, Simon Fraser University, Burnaby, V5A 1S6, Canada; email: mmadachi@sfu.ca</t>
  </si>
  <si>
    <t>1616301X</t>
  </si>
  <si>
    <t>AFMDC</t>
  </si>
  <si>
    <t>Adv. Funct. Mater.</t>
  </si>
  <si>
    <t>2-s2.0-85187932097</t>
  </si>
  <si>
    <t>V Grayli, S.; Zhang, X.; Star, D.; Leach, G.W.</t>
  </si>
  <si>
    <t>V Grayli, Sasan (57217331969); Zhang, Xin (57192507717); Star, Dmitry (6507068072); Leach, Gary W. (7102871900)</t>
  </si>
  <si>
    <t>57217331969; 57192507717; 6507068072; 7102871900</t>
  </si>
  <si>
    <t>Tailoring Plasmonic Fields with Shape-Controlled Single-Crystal Gold Metasurfaces</t>
  </si>
  <si>
    <t>10.1021/acsami.3c17745</t>
  </si>
  <si>
    <t>https://www.scopus.com/inward/record.uri?eid=2-s2.0-85197645539&amp;doi=10.1021%2Facsami.3c17745&amp;partnerID=40&amp;md5=78f2d444a9d8f75e17ee4443c201600d</t>
  </si>
  <si>
    <t>University of Waterloo, Waterloo, ON, Canada; Institute for Quantum Computing, University of Waterloo, Waterloo, ON, Canada; Simon Fraser University, Burnaby, BC, Canada; Simon Fraser University, Burnaby, BC, Canada; Laboratory for Advanced Spectroscopy and Imaging Research, Simon Fraser University, Burnaby, BC, Canada</t>
  </si>
  <si>
    <t>V Grayli, Sasan, University of Waterloo, Waterloo, ON, Canada, Institute for Quantum Computing, University of Waterloo, Waterloo, ON, Canada; Zhang, Xin, Simon Fraser University, Burnaby, BC, Canada; Star, Dmitry, Simon Fraser University, Burnaby, BC, Canada, Simon Fraser University, Burnaby, BC, Canada, Laboratory for Advanced Spectroscopy and Imaging Research, Simon Fraser University, Burnaby, BC, Canada; Leach, Gary W., Simon Fraser University, Burnaby, BC, Canada, Simon Fraser University, Burnaby, BC, Canada, Laboratory for Advanced Spectroscopy and Imaging Research, Simon Fraser University, Burnaby, BC, Canada</t>
  </si>
  <si>
    <t>G.W. Leach; 4D LABS, Simon Fraser University, Burnaby, V5A 1S6, Canada; email: gleach@sfu.ca</t>
  </si>
  <si>
    <t>2-s2.0-85197645539</t>
  </si>
  <si>
    <t>Gautam, S.; Chugh, S.; Gates, B.D.</t>
  </si>
  <si>
    <t>Gautam, Sakshi (57909864800); Chugh, Sachin (53463270200); Gates, Byron D. (7102128759)</t>
  </si>
  <si>
    <t>57909864800; 53463270200; 7102128759</t>
  </si>
  <si>
    <t>Electrodeposition of PdPt Nanoparticles on Edges and S-Vacancies in Exfoliated MoS2 Nanosheets for Enhanced Hydrogen Evolution Activity</t>
  </si>
  <si>
    <t>ChemSusChem</t>
  </si>
  <si>
    <t>e202301922</t>
  </si>
  <si>
    <t>10.1002/cssc.202301922</t>
  </si>
  <si>
    <t>https://www.scopus.com/inward/record.uri?eid=2-s2.0-85186856178&amp;doi=10.1002%2Fcssc.202301922&amp;partnerID=40&amp;md5=9f89c99175151c39ea61b217f8c38f3c</t>
  </si>
  <si>
    <t>Simon Fraser University, Burnaby, BC, Canada; Alternate Energy Department, Sector-13, Faridabad, India</t>
  </si>
  <si>
    <t>Gautam, Sakshi, Simon Fraser University, Burnaby, BC, Canada, Alternate Energy Department, Sector-13, Faridabad, India; Chugh, Sachin, Alternate Energy Department, Sector-13, Faridabad, India; Gates, Byron D., Simon Fraser University, Burnaby, BC, Canada</t>
  </si>
  <si>
    <t>B.D. Gates; Department of Chemistry, Simon Fraser University, Burnaby, 8888 University Drive, V5A 1S6, Canada; email: bgates@sfu.ca</t>
  </si>
  <si>
    <t>CHEMI</t>
  </si>
  <si>
    <t>2-s2.0-85186856178</t>
  </si>
  <si>
    <t>Sajadi, P.; Rahmani Dehaghani, M.; Tang, Y.; Wang, G.G.</t>
  </si>
  <si>
    <t>Sajadi, Pouyan (58668997300); Rahmani Dehaghani, Mostafa (57980243500); Tang, Yifan (57203408641); Wang, G. Gary (55599185800)</t>
  </si>
  <si>
    <t>58668997300; 57980243500; 57203408641; 55599185800</t>
  </si>
  <si>
    <t>Materials</t>
  </si>
  <si>
    <t>10.3390/ma17133306</t>
  </si>
  <si>
    <t>https://www.scopus.com/inward/record.uri?eid=2-s2.0-85198392423&amp;doi=10.3390%2Fma17133306&amp;partnerID=40&amp;md5=793354d724bf3a1c4e2def321ecfeddc</t>
  </si>
  <si>
    <t>Product Design and Optimization Laboratory, Simon Fraser University, Burnaby, BC, Canada</t>
  </si>
  <si>
    <t>Sajadi, Pouyan, Product Design and Optimization Laboratory, Simon Fraser University, Burnaby, BC, Canada; Rahmani Dehaghani, Mostafa, Product Design and Optimization Laboratory, Simon Fraser University, Burnaby, BC, Canada; Tang, Yifan, Product Design and Optimization Laboratory, Simon Fraser University, Burnaby, BC, Canada; Wang, G. Gary, Product Design and Optimization Laboratory, Simon Fraser University, Burnaby, BC, Canada</t>
  </si>
  <si>
    <t>G.G. Wang; Product Design and Optimization Laboratory, Simon Fraser University, Surrey, V3T 0A3, Canada; email: gary_wang@sfu.ca</t>
  </si>
  <si>
    <t>Multidisciplinary Digital Publishing Institute (MDPI)</t>
  </si>
  <si>
    <t>Mater.</t>
  </si>
  <si>
    <t>2-s2.0-85198392423</t>
  </si>
  <si>
    <t>Robb, K.A.; Ryan, M.B.</t>
  </si>
  <si>
    <t>Robb, Kelly A. (57210164444); Ryan, Michael B. (7403184356)</t>
  </si>
  <si>
    <t>57210164444; 7403184356</t>
  </si>
  <si>
    <t>Metatarsalgia: Clinical Profile and Comfort from Foot Orthoses Treatment</t>
  </si>
  <si>
    <t>Journal of Prosthetics and Orthotics</t>
  </si>
  <si>
    <t>e75</t>
  </si>
  <si>
    <t>e81</t>
  </si>
  <si>
    <t>10.1097/JPO.0000000000000512</t>
  </si>
  <si>
    <t>https://www.scopus.com/inward/record.uri?eid=2-s2.0-85196214563&amp;doi=10.1097%2FJPO.0000000000000512&amp;partnerID=40&amp;md5=94f2afb2990e3f81050b7a7c3d3e03b7</t>
  </si>
  <si>
    <t>Kintec Footlabs Inc, Surrey, BC, Canada; School of Mechatronic Systems Engineering, Simon Fraser University, Burnaby, BC, Canada; Department of Kinesiology and Physical Education, Wilfrid Laurier University, Waterloo, ON, Canada</t>
  </si>
  <si>
    <t>Robb, Kelly A., Kintec Footlabs Inc, Surrey, BC, Canada, Department of Kinesiology and Physical Education, Wilfrid Laurier University, Waterloo, ON, Canada; Ryan, Michael B., Kintec Footlabs Inc, Surrey, BC, Canada, School of Mechatronic Systems Engineering, Simon Fraser University, Burnaby, BC, Canada</t>
  </si>
  <si>
    <t>K.A. Robb; Kintec Footlabs Inc, Surrey, Canada; email: krobb@kintec.net</t>
  </si>
  <si>
    <t>Lippincott Williams and Wilkins</t>
  </si>
  <si>
    <t>J. Prosthet. Orthot.</t>
  </si>
  <si>
    <t>2-s2.0-85196214563</t>
  </si>
  <si>
    <t>Mikestikova, M.; Fadeyev, V.; Federičová, P.; Fernandez-Tejero, J.; Fleta, C.; Gallus, P.; Jessiman, C.; Keller, J.; Klein, C.; Koffas, T.; Kroll, J.; Kvasnička, J.; Staats, E.; Tůma, P.; Ullán, M.; Unno, Y.</t>
  </si>
  <si>
    <t>Mikestikova, Marcela (16745277000); Fadeyev, Vitaliy (55184573100); Federičová, Pavla (57193682371); Fernandez-Tejero, J. (56418611300); Fleta, C. (8676539800); Gallus, Petr (28067701500); Jessiman, C. E. (57204239724); Keller, John Stakely (35221647600); Klein, Christoph Thomas (57220791846); Koffas, Thomas (6602918957); Kroll, Jiri (35227513500); Kvasnička, Jiri (57953236000); Staats, E. J. (57218214535); Tůma, P. (57984468300); Ullán, Miguel (10044839800); Unno, Yoshinobu (56438958100)</t>
  </si>
  <si>
    <t>16745277000; 55184573100; 57193682371; 56418611300; 8676539800; 28067701500; 57204239724; 35221647600; 57220791846; 6602918957; 35227513500; 57953236000; 57218214535; 57984468300; 10044839800; 56438958100</t>
  </si>
  <si>
    <t>Gamma irradiation of ATLAS18 ITk strip sensors affected by static charge</t>
  </si>
  <si>
    <t>Proceedings of Science</t>
  </si>
  <si>
    <t>https://www.scopus.com/inward/record.uri?eid=2-s2.0-85198371348&amp;partnerID=40&amp;md5=7c9a7c3a683a9eef8495896c746acb6a</t>
  </si>
  <si>
    <t>Institute of Physics of the Czech Academy of Sciences, Prague, Czech Republic; Santa Cruz Institute for Particle Physics, Santa Cruz, CA, United States; Department of Physics, Simon Fraser University, Burnaby, BC, Canada; TRIUMF, Vancouver, BC, Canada; UJP PRAHA a.s., Prague, Czech Republic; Carleton University, Ottawa, ON, Canada; CSIC - Instituto de Microelectronica de Barcelona (IMB-CNM), Cerdanyola del Valles, Barcelona, Spain; High Energy Accelerator Research Organization, Institute of Particle and Nuclear Physics, Tsukuba, Ibaraki, Japan</t>
  </si>
  <si>
    <t>Mikestikova, Marcela, Institute of Physics of the Czech Academy of Sciences, Prague, Czech Republic; Fadeyev, Vitaliy, Santa Cruz Institute for Particle Physics, Santa Cruz, CA, United States; Federičová, Pavla, Institute of Physics of the Czech Academy of Sciences, Prague, Czech Republic; Fernandez-Tejero, J., Department of Physics, Simon Fraser University, Burnaby, BC, Canada, TRIUMF, Vancouver, BC, Canada; Fleta, C., CSIC - Instituto de Microelectronica de Barcelona (IMB-CNM), Cerdanyola del Valles, Barcelona, Spain; Gallus, Petr, UJP PRAHA a.s., Prague, Czech Republic; Jessiman, C. E., Carleton University, Ottawa, ON, Canada; Keller, John Stakely, Carleton University, Ottawa, ON, Canada; Klein, Christoph Thomas, Carleton University, Ottawa, ON, Canada; Koffas, Thomas, Carleton University, Ottawa, ON, Canada; Kroll, Jiri, Institute of Physics of the Czech Academy of Sciences, Prague, Czech Republic; Kvasnička, Jiri, Institute of Physics of the Czech Academy of Sciences, Prague, Czech Republic; Staats, E. J., Carleton University, Ottawa, ON, Canada; Tůma, P., Institute of Physics of the Czech Academy of Sciences, Prague, Czech Republic; Ullán, Miguel, CSIC - Instituto de Microelectronica de Barcelona (IMB-CNM), Cerdanyola del Valles, Barcelona, Spain; Unno, Yoshinobu, High Energy Accelerator Research Organization, Institute of Particle and Nuclear Physics, Tsukuba, Ibaraki, Japan</t>
  </si>
  <si>
    <t>M. Mikestikova; Institute of Physics, CAS, Prague 8, Na Slovance 2, 18200, Czech Republic; email: marcela.mikestikova@cern.ch</t>
  </si>
  <si>
    <t>Sissa Medialab Srl</t>
  </si>
  <si>
    <t>Proc. Sci.</t>
  </si>
  <si>
    <t>2-s2.0-85198371348</t>
  </si>
  <si>
    <t>Shirmohammadli, V.; Bahreyni, B.</t>
  </si>
  <si>
    <t>Shirmohammadli, Vahideh (56178271900); Bahreyni, Behraad (7801341985)</t>
  </si>
  <si>
    <t>56178271900; 7801341985</t>
  </si>
  <si>
    <t>Physical Review Research</t>
  </si>
  <si>
    <t>10.1103/PhysRevResearch.6.033055</t>
  </si>
  <si>
    <t>https://www.scopus.com/inward/record.uri?eid=2-s2.0-85198570765&amp;doi=10.1103%2FPhysRevResearch.6.033055&amp;partnerID=40&amp;md5=427e8cb39cca0b7d38082d6f4608ed63</t>
  </si>
  <si>
    <t>Faculty of Applied Sciences, Simon Fraser University, Burnaby, BC, Canada</t>
  </si>
  <si>
    <t>Shirmohammadli, Vahideh, Faculty of Applied Sciences, Simon Fraser University, Burnaby, BC, Canada; Bahreyni, Behraad, Faculty of Applied Sciences, Simon Fraser University, Burnaby, BC, Canada</t>
  </si>
  <si>
    <t>B. Bahreyni; Faculty of Applied Sciences, Simon Fraser University, V3T 0A3, Canada; email: behraad_bahreyni@sfu.ca</t>
  </si>
  <si>
    <t>Phys. Rev. Res.</t>
  </si>
  <si>
    <t>2-s2.0-85198570765</t>
  </si>
  <si>
    <t>Almonacid, J.A.; Domínguez-Rivera, S.A.; Konno, R.N.; Nigam, N.; Ross, S.A.; Tam, C.; Wakeling, J.M.</t>
  </si>
  <si>
    <t>Almonacid, Javier A. (57203458778); Domínguez-Rivera, Sebastián A. (56966316300); Konno, Ryan N. (57211986800); Nigam, Nilima A. (6701732470); Ross, Stephanie A. (57193016869); Tam, Cassidy (57211935349); Wakeling, James M. (7004442395)</t>
  </si>
  <si>
    <t>57203458778; 56966316300; 57211986800; 6701732470; 57193016869; 57211935349; 7004442395</t>
  </si>
  <si>
    <t>A THREE-DIMENSIONAL MODEL OF SKELETAL MUSCLE TISSUES</t>
  </si>
  <si>
    <t>SIAM Journal on Applied Mathematics</t>
  </si>
  <si>
    <t>S538</t>
  </si>
  <si>
    <t>S566</t>
  </si>
  <si>
    <t>10.1137/22M1506985</t>
  </si>
  <si>
    <t>https://www.scopus.com/inward/record.uri?eid=2-s2.0-85197560423&amp;doi=10.1137%2F22M1506985&amp;partnerID=40&amp;md5=e6fe34bdd4432abf6b889a146fe1b5e5</t>
  </si>
  <si>
    <t>Simon Fraser University, Burnaby, BC, Canada; Department of Mathematics and Statistics, University of Saskatchewan, Saskatoon, SK, Canada; Department of Physical Therapy, The University of British Columbia, Vancouver, BC, Canada; Department of Biomedical Physiology and Kinesiology, Simon Fraser University, Burnaby, BC, Canada</t>
  </si>
  <si>
    <t>Almonacid, Javier A., Simon Fraser University, Burnaby, BC, Canada; Domínguez-Rivera, Sebastián A., Department of Mathematics and Statistics, University of Saskatchewan, Saskatoon, SK, Canada; Konno, Ryan N., Simon Fraser University, Burnaby, BC, Canada; Nigam, Nilima A., Simon Fraser University, Burnaby, BC, Canada; Ross, Stephanie A., Department of Physical Therapy, The University of British Columbia, Vancouver, BC, Canada; Tam, Cassidy, Simon Fraser University, Burnaby, BC, Canada; Wakeling, James M., Department of Biomedical Physiology and Kinesiology, Simon Fraser University, Burnaby, BC, Canada</t>
  </si>
  <si>
    <t>Society for Industrial and Applied Mathematics Publications</t>
  </si>
  <si>
    <t>SMJMA</t>
  </si>
  <si>
    <t>SIAM J Appl Math</t>
  </si>
  <si>
    <t>2-s2.0-85197560423</t>
  </si>
  <si>
    <t>Lertzman-Lepofsky, G.; Terko, A.; Koraltan, S.; Suess, D.; Girt, E.; Abert, C.</t>
  </si>
  <si>
    <t>Lertzman-Lepofsky, George (58933178400); Terko, Afan (58931826700); Koraltan, Sabri (57218708417); Suess, Dieter (7004076065); Girt, Erol (7004753025); Abert, Claas (55084839600)</t>
  </si>
  <si>
    <t>58933178400; 58931826700; 57218708417; 7004076065; 7004753025; 55084839600</t>
  </si>
  <si>
    <t>10.1103/PhysRevB.109.224421</t>
  </si>
  <si>
    <t>https://www.scopus.com/inward/record.uri?eid=2-s2.0-85196404184&amp;doi=10.1103%2FPhysRevB.109.224421&amp;partnerID=40&amp;md5=4050e3053e44c295ae362e9fe8f15a54</t>
  </si>
  <si>
    <t>Department of Physics, Simon Fraser University, Burnaby, BC, Canada; Faculty of Physics, Universität Wien, Vienna, Vienna, Austria</t>
  </si>
  <si>
    <t>Lertzman-Lepofsky, George, Department of Physics, Simon Fraser University, Burnaby, BC, Canada; Terko, Afan, Department of Physics, Simon Fraser University, Burnaby, BC, Canada; Koraltan, Sabri, Faculty of Physics, Universität Wien, Vienna, Vienna, Austria; Suess, Dieter, Faculty of Physics, Universität Wien, Vienna, Vienna, Austria; Girt, Erol, Department of Physics, Simon Fraser University, Burnaby, BC, Canada; Abert, Claas, Faculty of Physics, Universität Wien, Vienna, Vienna, Austria</t>
  </si>
  <si>
    <t>2-s2.0-85196404184</t>
  </si>
  <si>
    <t>Aftab, S.; Li, X.; Kabir, F.; Akman, E.; Aslam, M.; Pallavolu, M.R.; Ganesh, G.; Assiri, M.A.; Rajpar, A.H.</t>
  </si>
  <si>
    <t>Aftab, Sikandar (57200114034); Li, Xin (56098157600); Kabir, Fahmid (57204906651); Akman, Erdi (56304768400); Aslam, Muhammad Zeeshan (59800219300); Pallavolu, Mohan Reddy (57201352403); Ganesh, Koyyada (55843979000); Assiri, Mohammed Ail (57195309416); Rajpar, A. H. (16550858500)</t>
  </si>
  <si>
    <t>57200114034; 56098157600; 57204906651; 56304768400; 59800219300; 57201352403; 55843979000; 57195309416; 16550858500</t>
  </si>
  <si>
    <t>Lighting the future: Perovskite nanorods and their advances across applications</t>
  </si>
  <si>
    <t>Nano Energy</t>
  </si>
  <si>
    <t>10.1016/j.nanoen.2024.109504</t>
  </si>
  <si>
    <t>https://www.scopus.com/inward/record.uri?eid=2-s2.0-85189500418&amp;doi=10.1016%2Fj.nanoen.2024.109504&amp;partnerID=40&amp;md5=70116e7c703021a39e4e42076db851da</t>
  </si>
  <si>
    <t>Department of Semiconductor Systems Engineering, Sejong University, Seoul, South Korea; Department of Artificial Intelligence, Sejong University, Seoul, South Korea; National University of Defense Technology China, Changsha, Hunan, China; Advanced Laser Technology Laboratory of Anhui Province, Hefei, Anhui, China; School of Engineering Sciences, Simon Fraser University, Burnaby, BC, Canada; Scientific and Technological Research &amp; Application Center, Karamanoğlu Mehmetbey Üniversitesi, Karaman, Karaman, Turkey; Institute of Physics and Technology, Yekaterinburg, Sverdlovskaya, Russian Federation; School of Chemical Engineering, Yeungnam University, Gyeongsan, Gyeongsangbuk-do, South Korea; Department of Chemistry, K L Deemed to be University, Vaddeswaram, AP, India; Department of Chemistry, King Khalid University, Abha, Asir, Saudi Arabia; Department of Mechanical Engineering, Jouf University, Sakakah, Al Jawf, Saudi Arabia</t>
  </si>
  <si>
    <t>Aftab, Sikandar, Department of Semiconductor Systems Engineering, Sejong University, Seoul, South Korea, Department of Artificial Intelligence, Sejong University, Seoul, South Korea; Li, Xin, National University of Defense Technology China, Changsha, Hunan, China, Advanced Laser Technology Laboratory of Anhui Province, Hefei, Anhui, China; Kabir, Fahmid, School of Engineering Sciences, Simon Fraser University, Burnaby, BC, Canada; Akman, Erdi, Scientific and Technological Research &amp; Application Center, Karamanoğlu Mehmetbey Üniversitesi, Karaman, Karaman, Turkey; Aslam, Muhammad Zeeshan, Institute of Physics and Technology, Yekaterinburg, Sverdlovskaya, Russian Federation; Pallavolu, Mohan Reddy, School of Chemical Engineering, Yeungnam University, Gyeongsan, Gyeongsangbuk-do, South Korea; Ganesh, Koyyada, School of Chemical Engineering, Yeungnam University, Gyeongsan, Gyeongsangbuk-do, South Korea, Department of Chemistry, K L Deemed to be University, Vaddeswaram, AP, India; Assiri, Mohammed Ail, Department of Chemistry, King Khalid University, Abha, Asir, Saudi Arabia; Rajpar, A. H., Department of Mechanical Engineering, Jouf University, Sakakah, Al Jawf, Saudi Arabia</t>
  </si>
  <si>
    <t>S. Aftab; Department of Semiconductor Systems Engineering and Clean Energy, Sejong University, Seoul, 05006, South Korea; email: physics.sikandar@gmail.com; X. Li; State Key Laboratory of Pulsed Power Laser Technology, National University of Defense Technology, Hefei, Anhui, 230037, China; email: lixinkiller@nudt.edu.cn; M.R. Pallavolu; School of Chemical Engineering, Yeungnam University, Gyeongsan, 38541, South Korea; email: pmreddy@yu.ac.kr; G. Koyyada; School of Chemical Engineering, Yeungnam University, Gyeongsan, 38541, South Korea; email: ganeshkoyyada@gmail.com</t>
  </si>
  <si>
    <t>All Open Access; Green Accepted Open Access; Green Open Access</t>
  </si>
  <si>
    <t>2-s2.0-85189500418</t>
  </si>
  <si>
    <t>Shi, Y.; Li, C.; Su, Y.; Yang, X.-D.; Wu, T.-Y.</t>
  </si>
  <si>
    <t>Shi, Yonghao (58735651200); Li, Chenzheng (59152165700); Su, Yuning (58734200500); Yang, Xingdong (14036728900); Wu, Te Yen (57188750586)</t>
  </si>
  <si>
    <t>58735651200; 59152165700; 58734200500; 14036728900; 57188750586</t>
  </si>
  <si>
    <t>WooDowel: Enhancing Triboelectric Plywood Sensors with Electromagnetic Shielding</t>
  </si>
  <si>
    <t>Conference on Human Factors in Computing Systems - Proceedings</t>
  </si>
  <si>
    <t>10.1145/3613904.3642304</t>
  </si>
  <si>
    <t>https://www.scopus.com/inward/record.uri?eid=2-s2.0-85194860349&amp;doi=10.1145%2F3613904.3642304&amp;partnerID=40&amp;md5=e013749e29f29fe2b3efc86929437f44</t>
  </si>
  <si>
    <t>Simon Fraser University, Burnaby, BC, Canada; Florida State University, Tallahassee, FL, United States</t>
  </si>
  <si>
    <t>Shi, Yonghao, Simon Fraser University, Burnaby, BC, Canada; Li, Chenzheng, Simon Fraser University, Burnaby, BC, Canada; Su, Yuning, Simon Fraser University, Burnaby, BC, Canada; Yang, Xingdong, Simon Fraser University, Burnaby, BC, Canada; Wu, Te Yen, Florida State University, Tallahassee, FL, United States</t>
  </si>
  <si>
    <t>1581132484; 0897913833; 9781595936424; 1581136374; 9781450346559; 9781595930026; 9781605589312; 9781450356206; 9781450310161; 9781581137033</t>
  </si>
  <si>
    <t>Conf Hum Fact Comput Syst Proc</t>
  </si>
  <si>
    <t>2-s2.0-85194860349</t>
  </si>
  <si>
    <t>Su, Y.; Zhang, T.; Feng, J.; Shi, Y.; Yang, X.-D.; Wu, T.-Y.</t>
  </si>
  <si>
    <t>Su, Yuning (58734200500); Zhang, Tingyu (59151047800); Feng, Jiuen (59152182400); Shi, Yonghao (58735651200); Yang, Xingdong (14036728900); Wu, Te Yen (57188750586)</t>
  </si>
  <si>
    <t>58734200500; 59151047800; 59152182400; 58735651200; 14036728900; 57188750586</t>
  </si>
  <si>
    <t>Tagnoo: Enabling Room-Scale Smart Environments with RFID-Augmented Plywood</t>
  </si>
  <si>
    <t>10.1145/3613904.3642356</t>
  </si>
  <si>
    <t>https://www.scopus.com/inward/record.uri?eid=2-s2.0-85194842742&amp;doi=10.1145%2F3613904.3642356&amp;partnerID=40&amp;md5=ac8529ba178770e121098e4e721f8007</t>
  </si>
  <si>
    <t>Su, Yuning, Simon Fraser University, Burnaby, BC, Canada; Zhang, Tingyu, Simon Fraser University, Burnaby, BC, Canada; Feng, Jiuen, Simon Fraser University, Burnaby, BC, Canada; Shi, Yonghao, Simon Fraser University, Burnaby, BC, Canada; Yang, Xingdong, Simon Fraser University, Burnaby, BC, Canada; Wu, Te Yen, Florida State University, Tallahassee, FL, United States</t>
  </si>
  <si>
    <t>2-s2.0-85194842742</t>
  </si>
  <si>
    <t>Belhaj Abdallah, B.; Andreu, I.; Perez, V.; Gates, B.D.</t>
  </si>
  <si>
    <t>Belhaj Abdallah, Bouchra (57195493247); Andreu, Irene (55257067900); Perez, Viridiana (57253155000); Gates, Byron D. (7102128759)</t>
  </si>
  <si>
    <t>57195493247; 55257067900; 57253155000; 7102128759</t>
  </si>
  <si>
    <t>Assessing the internalization pathways of Cr-Fe-Ni nanoparticles in native Dittrichia viscosa naturally exposed to industrial atmospheric fallout</t>
  </si>
  <si>
    <t>Environmental Science: Nano</t>
  </si>
  <si>
    <t>10.1039/d4en00064a</t>
  </si>
  <si>
    <t>https://www.scopus.com/inward/record.uri?eid=2-s2.0-85193281516&amp;doi=10.1039%2Fd4en00064a&amp;partnerID=40&amp;md5=a549ee7eedbd76e5f0b8f876d50fede6</t>
  </si>
  <si>
    <t>Belhaj Abdallah, Bouchra, Simon Fraser University, Burnaby, BC, Canada; Andreu, Irene, Simon Fraser University, Burnaby, BC, Canada; Perez, Viridiana, Simon Fraser University, Burnaby, BC, Canada; Gates, Byron D., Simon Fraser University, Burnaby, BC, Canada</t>
  </si>
  <si>
    <t>Environ. Sci. Nano</t>
  </si>
  <si>
    <t>2-s2.0-85193281516</t>
  </si>
  <si>
    <t>Stoll, J.; Jeong, J.; Huynh, P.; Kjeang, E.</t>
  </si>
  <si>
    <t>Stoll, Jonas (58712057900); Jeong, Jisung (58564688700); Huynh, Philip (59148698900); Kjeang, Erik (16066971400)</t>
  </si>
  <si>
    <t>58712057900; 58564688700; 59148698900; 16066971400</t>
  </si>
  <si>
    <t>Impacts of Catalyst Ink Composition and Wet Film Thickness on Fuel Cell Catalyst Layers Fabricated by Direct Film Coating Method</t>
  </si>
  <si>
    <t>Journal of the Electrochemical Society</t>
  </si>
  <si>
    <t>10.1149/1945-7111/ad4c11</t>
  </si>
  <si>
    <t>https://www.scopus.com/inward/record.uri?eid=2-s2.0-85194480228&amp;doi=10.1149%2F1945-7111%2Fad4c11&amp;partnerID=40&amp;md5=ef9afbb9523826ac86d7824d110a2d20</t>
  </si>
  <si>
    <t>Fuel Cell Research Laboratory (FCReL), Simon Fraser University, Burnaby, BC, Canada</t>
  </si>
  <si>
    <t>Stoll, Jonas, Fuel Cell Research Laboratory (FCReL), Simon Fraser University, Burnaby, BC, Canada; Jeong, Jisung, Fuel Cell Research Laboratory (FCReL), Simon Fraser University, Burnaby, BC, Canada; Huynh, Philip, Fuel Cell Research Laboratory (FCReL), Simon Fraser University, Burnaby, BC, Canada; Kjeang, Erik, Fuel Cell Research Laboratory (FCReL), Simon Fraser University, Burnaby, BC, Canada</t>
  </si>
  <si>
    <t>E. Kjeang; Fuel Cell Research Lab (FCReL), School of Mechatronic Systems Engineering, Simon Fraser University, Surrey, V3T 0A3, Canada; email: ekjeang@sfu.ca</t>
  </si>
  <si>
    <t>JESOA</t>
  </si>
  <si>
    <t>J Electrochem Soc</t>
  </si>
  <si>
    <t>2-s2.0-85194480228</t>
  </si>
  <si>
    <t>Short, L.; Holt, R.A.; Cullis, P.R.; Evgin, L.</t>
  </si>
  <si>
    <t>Short, Lauralie (58761774500); Holt, Robert A. (7402085535); Cullis, Pieter R. (7101856304); Evgin, Laura (35421820800)</t>
  </si>
  <si>
    <t>58761774500; 7402085535; 7101856304; 35421820800</t>
  </si>
  <si>
    <t>Trends in Pharmacological Sciences</t>
  </si>
  <si>
    <t>10.1016/j.tips.2024.03.004</t>
  </si>
  <si>
    <t>https://www.scopus.com/inward/record.uri?eid=2-s2.0-85190171601&amp;doi=10.1016%2Fj.tips.2024.03.004&amp;partnerID=40&amp;md5=0a33d1c815d193bafb481a6cb42d1060</t>
  </si>
  <si>
    <t>British Columbia Cancer Agency, Vancouver, BC, Canada; Interdisciplinary Oncology Program, The University of British Columbia, Vancouver, BC, Canada; Department of Medical Genetics, The University of British Columbia, Vancouver, BC, Canada; Department of Biochemistry and Molecular Biology, Simon Fraser University, Burnaby, BC, Canada; Department of Biochemistry and Molecular Biology, The University of British Columbia, Vancouver, BC, Canada</t>
  </si>
  <si>
    <t>Short, Lauralie, British Columbia Cancer Agency, Vancouver, BC, Canada, Interdisciplinary Oncology Program, The University of British Columbia, Vancouver, BC, Canada; Holt, Robert A., British Columbia Cancer Agency, Vancouver, BC, Canada, Interdisciplinary Oncology Program, The University of British Columbia, Vancouver, BC, Canada, Department of Medical Genetics, The University of British Columbia, Vancouver, BC, Canada, Department of Biochemistry and Molecular Biology, Simon Fraser University, Burnaby, BC, Canada; Cullis, Pieter R., Department of Biochemistry and Molecular Biology, The University of British Columbia, Vancouver, BC, Canada; Evgin, Laura, British Columbia Cancer Agency, Vancouver, BC, Canada, Interdisciplinary Oncology Program, The University of British Columbia, Vancouver, BC, Canada, Department of Medical Genetics, The University of British Columbia, Vancouver, BC, Canada</t>
  </si>
  <si>
    <t>TPHSD</t>
  </si>
  <si>
    <t>Trends Pharmacol. Sci.</t>
  </si>
  <si>
    <t>2-s2.0-85190171601</t>
  </si>
  <si>
    <t>Jafari, A.</t>
  </si>
  <si>
    <t>Jafari, Azadeh (56150012800)</t>
  </si>
  <si>
    <t>Advancements in self-assembling peptides: Bridging gaps in 3D cell culture and electronic device fabrication</t>
  </si>
  <si>
    <t>Journal of Biomaterials Applications</t>
  </si>
  <si>
    <t>10.1177/08853282241240139</t>
  </si>
  <si>
    <t>https://www.scopus.com/inward/record.uri?eid=2-s2.0-85188291617&amp;doi=10.1177%2F08853282241240139&amp;partnerID=40&amp;md5=18970bbd2de4d3e9f09cf91f0e7c2169</t>
  </si>
  <si>
    <t>Jafari, Azadeh, Faculty of Applied Sciences, Simon Fraser University, Burnaby, BC, Canada</t>
  </si>
  <si>
    <t>A. Jafari; Faculty of Applied Sciences, Simon Fraser University, Surrey, Canada; email: azadeh_jafari@sfu.ca</t>
  </si>
  <si>
    <t>SAGE Publications Ltd</t>
  </si>
  <si>
    <t>JBAPE</t>
  </si>
  <si>
    <t>J. Biomater. Appl.</t>
  </si>
  <si>
    <t>2-s2.0-85188291617</t>
  </si>
  <si>
    <t>Rea, A.J.G.; Zhang, X.; Mobrhan-Shafiee, N.; Wang, M.C.P.; Proulx, H.; Gates, B.D.</t>
  </si>
  <si>
    <t>Rea, Alex J.G. (57211936174); Zhang, Xin (57192507717); Mobrhan-Shafiee, Nazanin (58963938100); Wang, Michael C.P. (55806545700); Proulx, Howard (58963404700); Gates, Byron D. (7102128759)</t>
  </si>
  <si>
    <t>57211936174; 57192507717; 58963938100; 55806545700; 58963404700; 7102128759</t>
  </si>
  <si>
    <t>Microscale Contacts for Nanowire Characterization Using Microscope Projection Photolithography</t>
  </si>
  <si>
    <t>ACS Applied Nano Materials</t>
  </si>
  <si>
    <t>10.1021/acsanm.4c00173</t>
  </si>
  <si>
    <t>https://www.scopus.com/inward/record.uri?eid=2-s2.0-85189081839&amp;doi=10.1021%2Facsanm.4c00173&amp;partnerID=40&amp;md5=466c6f1198823cec120bd6867fb4d1e6</t>
  </si>
  <si>
    <t>Rea, Alex J.G., Simon Fraser University, Burnaby, BC, Canada; Zhang, Xin, Simon Fraser University, Burnaby, BC, Canada; Mobrhan-Shafiee, Nazanin, Simon Fraser University, Burnaby, BC, Canada; Wang, Michael C.P., Simon Fraser University, Burnaby, BC, Canada; Proulx, Howard, Simon Fraser University, Burnaby, BC, Canada; Gates, Byron D., Simon Fraser University, Burnaby, BC, Canada</t>
  </si>
  <si>
    <t>ACS Appl. Nano Mat.</t>
  </si>
  <si>
    <t>2-s2.0-85189081839</t>
  </si>
  <si>
    <t>Mohammadi, V.; Shahbad, R.; Hosseini, M.; Gholampour, M.H.; Ghidary, S.; Najafi, F.; Behboodi, A.</t>
  </si>
  <si>
    <t>Mohammadi, Vahid (57197731344); Shahbad, Ramin (58697307500); Hosseini, Mojtaba (57207194215); Gholampour, Mohammad Hossein (59003493600); Ghidary, Saeed Shiry (6602421510); Najafi, Farshid (12778996500); Behboodi, Ahad (57038784000)</t>
  </si>
  <si>
    <t>57197731344; 58697307500; 57207194215; 59003493600; 6602421510; 12778996500; 57038784000</t>
  </si>
  <si>
    <t>Sensors</t>
  </si>
  <si>
    <t>10.3390/s24082585</t>
  </si>
  <si>
    <t>https://www.scopus.com/inward/record.uri?eid=2-s2.0-85191386346&amp;doi=10.3390%2Fs24082585&amp;partnerID=40&amp;md5=d3413c893ce7f934cb5d8a557c01efc0</t>
  </si>
  <si>
    <t>Department of Biomechanics, University of Nebraska Omaha, Omaha, NE, United States; Universität Bonn, Bonn, Nordrhein-Westfalen, Germany; Frank Batten College of Engineering and Technology, Norfolk, VA, United States; Center for Health Psychology, University of Staffordshire, Stoke-on-Trent, Staffordshire, United Kingdom; School of Mechatronic Systems Engineering, Simon Fraser University, Burnaby, BC, Canada</t>
  </si>
  <si>
    <t>Mohammadi, Vahid, Department of Biomechanics, University of Nebraska Omaha, Omaha, NE, United States; Shahbad, Ramin, Department of Biomechanics, University of Nebraska Omaha, Omaha, NE, United States; Hosseini, Mojtaba, Universität Bonn, Bonn, Nordrhein-Westfalen, Germany; Gholampour, Mohammad Hossein, Frank Batten College of Engineering and Technology, Norfolk, VA, United States; Ghidary, Saeed Shiry, Center for Health Psychology, University of Staffordshire, Stoke-on-Trent, Staffordshire, United Kingdom; Najafi, Farshid, School of Mechatronic Systems Engineering, Simon Fraser University, Burnaby, BC, Canada; Behboodi, Ahad, Department of Biomechanics, University of Nebraska Omaha, Omaha, NE, United States</t>
  </si>
  <si>
    <t>A. Behboodi; Department of Biomechanics, University of Nebraska Omaha, Omaha, 68106, United States; email: abehboodi@unomaha.edu; F. Najafi; School of Mechatronic System Engineering, Simon Fraser University, Surrey, V5A 1S6, Canada; email: farshid_najafi@sfu.ca</t>
  </si>
  <si>
    <t>2-s2.0-85191386346</t>
  </si>
  <si>
    <t>Agron, D.J.; Kim, W.S.</t>
  </si>
  <si>
    <t>Agron, Danielle Jaye Segui (57202780357); Kim, Woo Soo (17136903100)</t>
  </si>
  <si>
    <t>57202780357; 17136903100</t>
  </si>
  <si>
    <t>Analytical Chemistry</t>
  </si>
  <si>
    <t>10.1021/acs.analchem.3c05190</t>
  </si>
  <si>
    <t>https://www.scopus.com/inward/record.uri?eid=2-s2.0-85187375673&amp;doi=10.1021%2Facs.analchem.3c05190&amp;partnerID=40&amp;md5=4a2859833cfdbe07b85b490d1925ff7c</t>
  </si>
  <si>
    <t>Additive Manufacturing Laboratory, Simon Fraser University, Burnaby, BC, Canada</t>
  </si>
  <si>
    <t>Agron, Danielle Jaye Segui, Additive Manufacturing Laboratory, Simon Fraser University, Burnaby, BC, Canada; Kim, Woo Soo, Additive Manufacturing Laboratory, Simon Fraser University, Burnaby, BC, Canada</t>
  </si>
  <si>
    <t>W.S. Kim; Additive Manufacturing Laboratory, School of Mechatronic Systems Engineering, Simon Fraser University, Burnaby, V3T 0N1, Canada; email: woosook@sfu.ca</t>
  </si>
  <si>
    <t>ANCHA</t>
  </si>
  <si>
    <t>Anal. Chem.</t>
  </si>
  <si>
    <t>2-s2.0-85187375673</t>
  </si>
  <si>
    <t>Courté, M.; Hoff, A.; Welch, G.C.; Kaake, L.G.</t>
  </si>
  <si>
    <t>Courté, Marc (56595198400); Hoff, Anderson (55937057500); Welch, Gregory Charles (12041090100); Kaake, Loren G. (16679060400)</t>
  </si>
  <si>
    <t>56595198400; 55937057500; 12041090100; 16679060400</t>
  </si>
  <si>
    <t>Organic heterojunction charge-transfer chemical sensors</t>
  </si>
  <si>
    <t>Journal of Materials Chemistry C</t>
  </si>
  <si>
    <t>10.1039/d3tc03695b</t>
  </si>
  <si>
    <t>https://www.scopus.com/inward/record.uri?eid=2-s2.0-85188015769&amp;doi=10.1039%2Fd3tc03695b&amp;partnerID=40&amp;md5=7555c91db70b55e6fa2a1f96f30d2680</t>
  </si>
  <si>
    <t>Department of Chemistry, Simon Fraser University, Burnaby, BC, Canada; University of Calgary, Calgary, AB, Canada</t>
  </si>
  <si>
    <t>Courté, Marc, Department of Chemistry, Simon Fraser University, Burnaby, BC, Canada; Hoff, Anderson, University of Calgary, Calgary, AB, Canada; Welch, Gregory Charles, University of Calgary, Calgary, AB, Canada; Kaake, Loren G., Department of Chemistry, Simon Fraser University, Burnaby, BC, Canada</t>
  </si>
  <si>
    <t>M. Courté; Department of Chemistry, Simon Fraser University, Vancouver, V5A 1S6, Canada; email: mcourte@sfu.ca; L.G. Kaake; Department of Chemistry, Simon Fraser University, Vancouver, V5A 1S6, Canada; email: lkaake@sfu.ca</t>
  </si>
  <si>
    <t>20507526; 20507534</t>
  </si>
  <si>
    <t>JMCCC</t>
  </si>
  <si>
    <t>J. Mater. Chem. C</t>
  </si>
  <si>
    <t>2-s2.0-85188015769</t>
  </si>
  <si>
    <t>Fung, L.; Schmitt, N.</t>
  </si>
  <si>
    <t>Fung, Lloretta (24474812800); Schmitt, Nicolas (7103372272)</t>
  </si>
  <si>
    <t>24474812800; 7103372272</t>
  </si>
  <si>
    <t>On the Role of Import Intermediaries in Canada</t>
  </si>
  <si>
    <t>Canadian Public Policy</t>
  </si>
  <si>
    <t>10.3138/cpp.2022-079</t>
  </si>
  <si>
    <t>https://www.scopus.com/inward/record.uri?eid=2-s2.0-85188990504&amp;doi=10.3138%2Fcpp.2022-079&amp;partnerID=40&amp;md5=9a18d843872508768ad638bde8704a38</t>
  </si>
  <si>
    <t>National Tsing Hua University, Hsinchu, Taiwan; Simon Fraser University, Burnaby, BC, Canada</t>
  </si>
  <si>
    <t>Fung, Lloretta, National Tsing Hua University, Hsinchu, Taiwan; Schmitt, Nicolas, Simon Fraser University, Burnaby, BC, Canada</t>
  </si>
  <si>
    <t>University of Toronto Press</t>
  </si>
  <si>
    <t>Can. Public Policy</t>
  </si>
  <si>
    <t>2-s2.0-85188990504</t>
  </si>
  <si>
    <t>Rahmani Dehaghani, M.; Sahraeidolatkhaneh, A.; Nilsen, M.; Sikström, F.; Sajadi, P.; Tang, Y.; Wang, G.G.</t>
  </si>
  <si>
    <t>Rahmani Dehaghani, Mostafa (57980243500); Sahraeidolatkhaneh, Atieh (58668971500); Nilsen, Morgan (57194338633); Sikström, Fredrik (22981583900); Sajadi, Pouyan (58668997300); Tang, Yifan (57203408641); Wang, G. Gary (55599185800)</t>
  </si>
  <si>
    <t>57980243500; 58668971500; 57194338633; 22981583900; 58668997300; 57203408641; 55599185800</t>
  </si>
  <si>
    <t>Journal of Manufacturing Processes</t>
  </si>
  <si>
    <t>10.1016/j.jmapro.2024.01.029</t>
  </si>
  <si>
    <t>https://www.scopus.com/inward/record.uri?eid=2-s2.0-85182880993&amp;doi=10.1016%2Fj.jmapro.2024.01.029&amp;partnerID=40&amp;md5=7b1ab110df48d3750f01ef3b866d2398</t>
  </si>
  <si>
    <t>School of Mechatronic Systems Engineering, Simon Fraser University, Burnaby, BC, Canada; Department of Production Systems, Högskolan Väst, Trollhattan, Vastra Gotaland, Sweden</t>
  </si>
  <si>
    <t>Rahmani Dehaghani, Mostafa, School of Mechatronic Systems Engineering, Simon Fraser University, Burnaby, BC, Canada; Sahraeidolatkhaneh, Atieh, Department of Production Systems, Högskolan Väst, Trollhattan, Vastra Gotaland, Sweden; Nilsen, Morgan, Department of Production Systems, Högskolan Väst, Trollhattan, Vastra Gotaland, Sweden; Sikström, Fredrik, Department of Production Systems, Högskolan Väst, Trollhattan, Vastra Gotaland, Sweden; Sajadi, Pouyan, School of Mechatronic Systems Engineering, Simon Fraser University, Burnaby, BC, Canada; Tang, Yifan, School of Mechatronic Systems Engineering, Simon Fraser University, Burnaby, BC, Canada; Wang, G. Gary, School of Mechatronic Systems Engineering, Simon Fraser University, Burnaby, BC, Canada</t>
  </si>
  <si>
    <t>M. Rahmani Dehaghani; School of Mechatronic Systems Engineering, Simon Fraser University, Burnaby, Canada; email: mostafa_rahmani_dehaghani@sfu.ca</t>
  </si>
  <si>
    <t>J. Manuf. Processes</t>
  </si>
  <si>
    <t>2-s2.0-85182880993</t>
  </si>
  <si>
    <t>Stock, R.; Oldknow, K.; Magel, E.</t>
  </si>
  <si>
    <t>Stock, Richard (7102081768); Oldknow, Kevin D. (6507360376); Magel, Eric E. (7003651790)</t>
  </si>
  <si>
    <t>7102081768; 6507360376; 7003651790</t>
  </si>
  <si>
    <t>Addressing perceptions regarding the influence of relative hardness on wheel/rail performance</t>
  </si>
  <si>
    <t>Wear</t>
  </si>
  <si>
    <t>538-539</t>
  </si>
  <si>
    <t>10.1016/j.wear.2023.205225</t>
  </si>
  <si>
    <t>https://www.scopus.com/inward/record.uri?eid=2-s2.0-85182415883&amp;doi=10.1016%2Fj.wear.2023.205225&amp;partnerID=40&amp;md5=7070164fae8e46172fe87bbd9dc0cd30</t>
  </si>
  <si>
    <t>Institut de Recherche en Immunologie et en Cancérologie de l’Université de Montréal, Montreal, QC, Canada; Simon Fraser University, Burnaby, BC, Canada; National Research Council Canada, Ottawa, ON, Canada</t>
  </si>
  <si>
    <t>Stock, Richard, Institut de Recherche en Immunologie et en Cancérologie de l’Université de Montréal, Montreal, QC, Canada; Oldknow, Kevin D., Simon Fraser University, Burnaby, BC, Canada; Magel, Eric E., National Research Council Canada, Ottawa, ON, Canada</t>
  </si>
  <si>
    <t>R. Stock; Plasser Canada Inc., Montreal, 2705 Marcel Street, H4R 1A6, Canada; email: rstock@plausa.com</t>
  </si>
  <si>
    <t>WEARA</t>
  </si>
  <si>
    <t>2-s2.0-85182415883</t>
  </si>
  <si>
    <t>Federičová, P.; Affolder, A.; Beck, G.; Bevan, A.; Chen, Z.; Dawson, I.; Deshmukh, A.; Dowling, A.; Fadeyev, V.; Fernandez-Tejero, J.; Fournier, A.; Gonzalez, N.; Hommels, L.; Jessiman, C.; Kachiguin, S.; Klein, C.; Koffas, T.; Kroll, J.; Latonova, V.; Mikestikova, M.; Miyagawa, P.; O`Toole, S.; Paddock, Q.; Poley, L.; Staats, E.; Stelzer, B.; Tůma, P.; Ullán, M.; Unno, Y.; Zenz, S.</t>
  </si>
  <si>
    <t>Federičová, Pavla (57193682371); Affolder, Anthony A. (24400894800); Beck, Graham A. (7202764007); Bevan, Adrian J. (57208713878); Chen, Z. (58647178700); Dawson, Ian (55325102700); Deshmukh, Aware (58647338900); Dowling, A. (57953922500); Fadeyev, Vitaliy (55184573100); Fernandez-Tejero, J. (56418611300); Fournier, Andrew (57196548325); Gonzalez, N. (58647022900); Hommels, L. B.A.H. (35620251300); Jessiman, C. E. (57204239724); Kachiguin, S. (57219355436); Klein, Christoph Thomas (57220791846); Koffas, Thomas (6602918957); Kroll, Jiri (57220704757); Latonova, V. (57203753054); Mikestikova, Marcela (16745277000); Miyagawa, Paul S. (35227770700); O`Toole, S. (58862940500); Paddock, Quinn (58647099800); Poley, Luise (56050424300); Staats, E. J. (57218214535); Stelzer, Bernd (35227985000); Tůma, P. (57984468300); Ullán, Miguel (10044839800); Unno, Yoshinobu (57220572546); Zenz, S. C. (57204891647)</t>
  </si>
  <si>
    <t>57193682371; 24400894800; 7202764007; 57208713878; 58647178700; 55325102700; 58647338900; 57953922500; 55184573100; 56418611300; 57196548325; 58647022900; 35620251300; 57204239724; 57219355436; 57220791846; 6602918957; 57220704757; 57203753054; 16745277000; 35227770700; 58862940500; 58647099800; 56050424300; 57218214535; 35227985000; 57984468300; 10044839800; 57220572546; 57204891647</t>
  </si>
  <si>
    <t>Setups for eliminating static charge of the ATLAS18 strip sensors</t>
  </si>
  <si>
    <t>Journal of Instrumentation</t>
  </si>
  <si>
    <t>C02001</t>
  </si>
  <si>
    <t>10.1088/1748-0221/19/02/C02001</t>
  </si>
  <si>
    <t>https://www.scopus.com/inward/record.uri?eid=2-s2.0-85183943781&amp;doi=10.1088%2F1748-0221%2F19%2F02%2FC02001&amp;partnerID=40&amp;md5=9fb75389bcf65ba4f3595df3f114cc11</t>
  </si>
  <si>
    <t>Institute of Physics of the Czech Academy of Sciences, Prague, Czech Republic; Santa Cruz Institute for Particle Physics, Santa Cruz, CA, United States; Department of Physics, Simon Fraser University, Burnaby, BC, Canada; Department of Physics and Astronomy, Queen Mary University of London, London, United Kingdom; TRIUMF, Vancouver, BC, Canada; Department of Physics, Cambridge, Cambridgeshire, United Kingdom; Carleton University, Ottawa, ON, Canada; Campus UAB, CSIC - Instituto de Microelectronica de Barcelona (IMB-CNM), Cerdanyola del Valles, Barcelona, Spain; High Energy Accelerator Research Organization, Institute of Particle and Nuclear Physics, Tsukuba, Ibaraki, Japan</t>
  </si>
  <si>
    <t>Federičová, Pavla, Institute of Physics of the Czech Academy of Sciences, Prague, Czech Republic; Affolder, Anthony A., Santa Cruz Institute for Particle Physics, Santa Cruz, CA, United States; Beck, Graham A., Department of Physics and Astronomy, Queen Mary University of London, London, United Kingdom; Bevan, Adrian J., Department of Physics and Astronomy, Queen Mary University of London, London, United Kingdom; Chen, Z., Department of Physics and Astronomy, Queen Mary University of London, London, United Kingdom; Dawson, Ian, Department of Physics and Astronomy, Queen Mary University of London, London, United Kingdom; Deshmukh, Aware, Santa Cruz Institute for Particle Physics, Santa Cruz, CA, United States; Dowling, A., Santa Cruz Institute for Particle Physics, Santa Cruz, CA, United States; Fadeyev, Vitaliy, Santa Cruz Institute for Particle Physics, Santa Cruz, CA, United States; Fernandez-Tejero, J., Department of Physics, Simon Fraser University, Burnaby, BC, Canada, TRIUMF, Vancouver, BC, Canada; Fournier, Andrew, Department of Physics, Simon Fraser University, Burnaby, BC, Canada, TRIUMF, Vancouver, BC, Canada; Gonzalez, N., Santa Cruz Institute for Particle Physics, Santa Cruz, CA, United States; Hommels, L. B.A.H., Department of Physics, Cambridge, Cambridgeshire, United Kingdom; Jessiman, C. E., Carleton University, Ottawa, ON, Canada; Kachiguin, S., Santa Cruz Institute for Particle Physics, Santa Cruz, CA, United States; Klein, Christoph Thomas, Carleton University, Ottawa, ON, Canada; Koffas, Thomas, Carleton University, Ottawa, ON, Canada; Kroll, Jiri, Institute of Physics of the Czech Academy of Sciences, Prague, Czech Republic; Latonova, V., Institute of Physics of the Czech Academy of Sciences, Prague, Czech Republic; Mikestikova, Marcela, Institute of Physics of the Czech Academy of Sciences, Prague, Czech Republic; Miyagawa, Paul S., Department of Physics and Astronomy, Queen Mary University of London, London, United Kingdom; O`Toole, S., Department of Physics, Simon Fraser University, Burnaby, BC, Canada, TRIUMF, Vancouver, BC, Canada; Paddock, Quinn, Santa Cruz Institute for Particle Physics, Santa Cruz, CA, United States; Poley, Luise, Department of Physics, Simon Fraser University, Burnaby, BC, Canada, TRIUMF, Vancouver, BC, Canada; Staats, E. J., Carleton University, Ottawa, ON, Canada; Stelzer, Bernd, Department of Physics, Simon Fraser University, Burnaby, BC, Canada, TRIUMF, Vancouver, BC, Canada; Tůma, P., Institute of Physics of the Czech Academy of Sciences, Prague, Czech Republic; Ullán, Miguel, Campus UAB, CSIC - Instituto de Microelectronica de Barcelona (IMB-CNM), Cerdanyola del Valles, Barcelona, Spain; Unno, Yoshinobu, High Energy Accelerator Research Organization, Institute of Particle and Nuclear Physics, Tsukuba, Ibaraki, Japan; Zenz, S. C., Department of Physics and Astronomy, Queen Mary University of London, London, United Kingdom</t>
  </si>
  <si>
    <t>P. Federičová; Institute of Physics, Czech Academy of Sciences, Prague 8, Na Slovance 2, 18200, Czech Republic; email: pavla.federicova@cern.ch</t>
  </si>
  <si>
    <t>J. Instrum.</t>
  </si>
  <si>
    <t>2-s2.0-85183943781</t>
  </si>
  <si>
    <t>Oraá-Poblete, B.; Pérez-Antolin, D.; Maurice, A.A.; Palma, J.; Kjeang, E.; Quintero, A.E.</t>
  </si>
  <si>
    <t>Oraá-Poblete, Beatriz (58704489200); Pérez-Antolin, Daniel (57208420821); Maurice, Ange A. (57014947800); Palma, Jesús (35791418500); Kjeang, Erik (16066971400); Quintero, Alberto E. (55973429700)</t>
  </si>
  <si>
    <t>58704489200; 57208420821; 57014947800; 35791418500; 16066971400; 55973429700</t>
  </si>
  <si>
    <t>Batteries and Supercaps</t>
  </si>
  <si>
    <t>e202300367</t>
  </si>
  <si>
    <t>10.1002/batt.202300367</t>
  </si>
  <si>
    <t>https://www.scopus.com/inward/record.uri?eid=2-s2.0-85177427371&amp;doi=10.1002%2Fbatt.202300367&amp;partnerID=40&amp;md5=19967825c39e81b1e9809006a8fb743f</t>
  </si>
  <si>
    <t>Department of Research and Development, Micro Electrochemical Technologies S.L., Madrid, Spain; Departamento de Ingeniería Química Industrial y del Medio Ambiente, Universidad Politécnica de Madrid, Madrid, Madrid, Spain; Departamento de Ingeniería Térmica y de Fluidos, Universidad Carlos III de Madrid, Getafe, Madrid, Spain; Instituto IMDEA Energía, Mostoles, Madrid, Spain; School of Mechatronic Systems Engineering, Simon Fraser University, Burnaby, BC, Canada</t>
  </si>
  <si>
    <t>Oraá-Poblete, Beatriz, Department of Research and Development, Micro Electrochemical Technologies S.L., Madrid, Spain, Departamento de Ingeniería Química Industrial y del Medio Ambiente, Universidad Politécnica de Madrid, Madrid, Madrid, Spain; Pérez-Antolin, Daniel, Department of Research and Development, Micro Electrochemical Technologies S.L., Madrid, Spain; Maurice, Ange A., Departamento de Ingeniería Térmica y de Fluidos, Universidad Carlos III de Madrid, Getafe, Madrid, Spain; Palma, Jesús, Instituto IMDEA Energía, Mostoles, Madrid, Spain; Kjeang, Erik, School of Mechatronic Systems Engineering, Simon Fraser University, Burnaby, BC, Canada; Quintero, Alberto E., Department of Research and Development, Micro Electrochemical Technologies S.L., Madrid, Spain, Departamento de Ingeniería Térmica y de Fluidos, Universidad Carlos III de Madrid, Getafe, Madrid, Spain</t>
  </si>
  <si>
    <t>A.E. Quintero; R&amp;D Department, Micro Electrochemical Technologies S.L., Madrid, Avenida Juan Caramuel 1, Leganés, 28918, Spain; email: alberto.quintero@b5tec.com</t>
  </si>
  <si>
    <t>2-s2.0-85177427371</t>
  </si>
  <si>
    <t>Cadieux, KellyE.C.; Zhou, J.H.W.; Gates, B.D.</t>
  </si>
  <si>
    <t>Cadieux, Kelly E.C. (6505846224); Zhou, James H.W. (55930560800); Gates, Byron D. (7102128759)</t>
  </si>
  <si>
    <t>6505846224; 55930560800; 7102128759</t>
  </si>
  <si>
    <t>ACS Chemical Health and Safety</t>
  </si>
  <si>
    <t>10.1021/acs.chas.3c00072</t>
  </si>
  <si>
    <t>https://www.scopus.com/inward/record.uri?eid=2-s2.0-85179613839&amp;doi=10.1021%2Facs.chas.3c00072&amp;partnerID=40&amp;md5=4d90e89bb2f2e09fc3f09d5e6491e73f</t>
  </si>
  <si>
    <t>Cadieux, Kelly E.C., Simon Fraser University, Burnaby, BC, Canada; Zhou, James H.W., Simon Fraser University, Burnaby, BC, Canada; Gates, Byron D., Simon Fraser University, Burnaby, BC, Canada</t>
  </si>
  <si>
    <t>B.D. Gates; Department of Chemistry, Simon Fraser University, Burnaby, V5A 1S6, Canada; email: bgates@sfu.ca</t>
  </si>
  <si>
    <t>18715532; 18780504</t>
  </si>
  <si>
    <t>ACS Chem. Health Saf.</t>
  </si>
  <si>
    <t>2-s2.0-85179613839</t>
  </si>
  <si>
    <t>Pecunia, V.; Occhipinti, L.G.; Cloutier, S.G.; Sun, S.; Grace, A.N.; Leong, W.L.</t>
  </si>
  <si>
    <t>Pecunia, Vincenzo (36017327500); Occhipinti, Luigi G. (6701867669); Cloutier, Sylvain G. (8933574300); Sun, Shuhui (7404509926); Grace, Andrews Nirmala (26030388400); Leong, Wei Lin (55105483200)</t>
  </si>
  <si>
    <t>36017327500; 6701867669; 8933574300; 7404509926; 26030388400; 55105483200</t>
  </si>
  <si>
    <t>Nanotechnology</t>
  </si>
  <si>
    <t>10.1088/1361-6528/ad0410</t>
  </si>
  <si>
    <t>https://www.scopus.com/inward/record.uri?eid=2-s2.0-85176495386&amp;doi=10.1088%2F1361-6528%2Fad0410&amp;partnerID=40&amp;md5=e4c8fb45151ad05388ef4af547c9ae45</t>
  </si>
  <si>
    <t>School of Sustainable Energy Engineering, Simon Fraser University, Burnaby, BC, Canada; Department of Engineering, Cambridge, Cambridgeshire, United Kingdom; Department of Electrical Engineering, École de Technologie Supérieure, Montreal, QC, Canada; Centre Énergie Matériaux Télécommunications, Varennes, QC, Canada; Centre for Nanotechnology Research, Vellore Institute of Technology, Vellore, TN, India; School of Electrical and Electronic Engineering, Singapore City, Singapore</t>
  </si>
  <si>
    <t>Pecunia, Vincenzo, School of Sustainable Energy Engineering, Simon Fraser University, Burnaby, BC, Canada; Occhipinti, Luigi G., Department of Engineering, Cambridge, Cambridgeshire, United Kingdom; Cloutier, Sylvain G., Department of Electrical Engineering, École de Technologie Supérieure, Montreal, QC, Canada; Sun, Shuhui, Centre Énergie Matériaux Télécommunications, Varennes, QC, Canada; Grace, Andrews Nirmala, Centre for Nanotechnology Research, Vellore Institute of Technology, Vellore, TN, India; Leong, Wei Lin, School of Electrical and Electronic Engineering, Singapore City, Singapore</t>
  </si>
  <si>
    <t>V. Pecunia; School of Sustainable Energy Engineering, Simon Fraser University, Surrey, 5118 - 10285 University Drive, V3T 0N1, Canada; email: vincenzo_pecunia@sfu.ca</t>
  </si>
  <si>
    <t>NNOTE</t>
  </si>
  <si>
    <t>Editorial</t>
  </si>
  <si>
    <t>2-s2.0-85176495386</t>
  </si>
  <si>
    <t>Li, X.; Aftab, S.; Hussain, S.; Kabir, F.; Henaish, A.M.A.; Al-Sehemi, A.G.; Pallavolu, M.R.; Ganesh, G.</t>
  </si>
  <si>
    <t>Li, Xin (56098157600); Aftab, Sikandar (57200114034); Hussain, Sajjad Z. (56435246200); Kabir, Fahmid (57204906651); Henaish, A. M.A. (56524476600); Al-Sehemi, Abdullah G. (6507858932); Pallavolu, Mohan Reddy (57201352403); Ganesh, Koyyada (55843979000)</t>
  </si>
  <si>
    <t>56098157600; 57200114034; 56435246200; 57204906651; 56524476600; 6507858932; 57201352403; 55843979000</t>
  </si>
  <si>
    <t>Dimensional diversity (0D, 1D, 2D, and 3D) in perovskite solar cells: exploring the potential of mixed-dimensional integrations</t>
  </si>
  <si>
    <t>Journal of Materials Chemistry A</t>
  </si>
  <si>
    <t>10.1039/d3ta06953b</t>
  </si>
  <si>
    <t>https://www.scopus.com/inward/record.uri?eid=2-s2.0-85184412995&amp;doi=10.1039%2Fd3ta06953b&amp;partnerID=40&amp;md5=185ab9e781db04c445744d9690dac7c0</t>
  </si>
  <si>
    <t>National University of Defense Technology China, Changsha, Hunan, China; Advanced Laser Technology Laboratory of Anhui Province, Hefei, Anhui, China; Department of Intelligent Mechatronics Engineering, Sejong University, Seoul, South Korea; Department of Nanotechnology and Advanced Materials Engineering, Sejong University, Seoul, South Korea; School of Engineering Science, Simon Fraser University, Burnaby, BC, Canada; Department of Physics, Tanta University, Tanta, Gharbia, Egypt; NANOTECH Center, Ural Federal University, Yekaterinburg, Sverdlovskaya, Russian Federation; King Khalid University, Abha, Asir, Saudi Arabia; Department of Chemistry, King Khalid University, Abha, Asir, Saudi Arabia; School of Chemical Engineering, Yeungnam University, Gyeongsan, Gyeongsangbuk-do, South Korea; Department of Chemistry, K L Deemed to be University, Vaddeswaram, AP, India</t>
  </si>
  <si>
    <t>Li, Xin, National University of Defense Technology China, Changsha, Hunan, China, Advanced Laser Technology Laboratory of Anhui Province, Hefei, Anhui, China; Aftab, Sikandar, Department of Intelligent Mechatronics Engineering, Sejong University, Seoul, South Korea; Hussain, Sajjad Z., Department of Nanotechnology and Advanced Materials Engineering, Sejong University, Seoul, South Korea; Kabir, Fahmid, School of Engineering Science, Simon Fraser University, Burnaby, BC, Canada; Henaish, A. M.A., Department of Physics, Tanta University, Tanta, Gharbia, Egypt, NANOTECH Center, Ural Federal University, Yekaterinburg, Sverdlovskaya, Russian Federation; Al-Sehemi, Abdullah G., King Khalid University, Abha, Asir, Saudi Arabia, Department of Chemistry, King Khalid University, Abha, Asir, Saudi Arabia; Pallavolu, Mohan Reddy, School of Chemical Engineering, Yeungnam University, Gyeongsan, Gyeongsangbuk-do, South Korea; Ganesh, Koyyada, School of Chemical Engineering, Yeungnam University, Gyeongsan, Gyeongsangbuk-do, South Korea, Department of Chemistry, K L Deemed to be University, Vaddeswaram, AP, India</t>
  </si>
  <si>
    <t>S. Aftab; Department of Intelligent Mechatronics Engineering, Sejong University, Seoul, 05006, South Korea; email: aftab@sejong.ac.kr; M.R. Pallavolu; School of Chemical Engineering, Yeungnam University, Gyeongsan, 38541, South Korea; email: pmreddy@yu.ac.kr; G. Koyyada; School of Chemical Engineering, Yeungnam University, Gyeongsan, 38541, South Korea; email: ganeshkoyyada@gmail.com</t>
  </si>
  <si>
    <t>JMCAE</t>
  </si>
  <si>
    <t>J. Mater. Chem. A</t>
  </si>
  <si>
    <t>All Open Access; Bronze Open Access</t>
  </si>
  <si>
    <t>2-s2.0-85184412995</t>
  </si>
  <si>
    <t>Firoozy, P.; Haghighi, M.S.; Kanygin, M.; Esmaeili, E.; Bahreyni, B.</t>
  </si>
  <si>
    <t>Firoozy, Peyman (57192167682); Haghighi, Milad Seifnejad (57529993700); Kanygin, Mikhail A. (57211352034); Esmaeili, Emad (57510521200); Bahreyni, Behraad (7801341985)</t>
  </si>
  <si>
    <t>57192167682; 57529993700; 57211352034; 57510521200; 7801341985</t>
  </si>
  <si>
    <t>Proceedings of IEEE Sensors</t>
  </si>
  <si>
    <t>10.1109/SENSORS60989.2024.10784982</t>
  </si>
  <si>
    <t>https://www.scopus.com/inward/record.uri?eid=2-s2.0-85215286269&amp;doi=10.1109%2FSENSORS60989.2024.10784982&amp;partnerID=40&amp;md5=ea56d4a79a06524877cde25f85f5ff4a</t>
  </si>
  <si>
    <t>Firoozy, Peyman, Simon Fraser University, Burnaby, BC, Canada; Haghighi, Milad Seifnejad, Simon Fraser University, Burnaby, BC, Canada; Kanygin, Mikhail A., Simon Fraser University, Burnaby, BC, Canada; Esmaeili, Emad, Simon Fraser University, Burnaby, BC, Canada; Bahreyni, Behraad, Simon Fraser University, Burnaby, BC, Canada</t>
  </si>
  <si>
    <t>P. Firoozy; Simon Fraser University, Canada; email: pfa24@sfu.ca; B. Bahreyni; Simon Fraser University, Canada; email: bbal9@sfu.ca</t>
  </si>
  <si>
    <t>Institute of Electrical and Electronics Engineers Inc.</t>
  </si>
  <si>
    <t>9781665484640; 9780780390560; 0780390563; 9781728168012; 9781424403769; 1424403766; 9781424412617; 9781457717659; 9798350363517; 1424412617</t>
  </si>
  <si>
    <t>Proc. IEEE Sens.</t>
  </si>
  <si>
    <t>2-s2.0-85215286269</t>
  </si>
  <si>
    <t>Ng, T.N.; Mäntysalo, M.; Agarwala, S.; Tee, B.; Kim, W.S.; Grau, G.</t>
  </si>
  <si>
    <t>Ng, Tsenga Tina (7402229885); Mäntysalo, Matti (6507591743); Agarwala, Shweta (26538697500); Tee, Benjamin C.K. (59974118000); Kim, Woo Soo (17136903100); Grau, Gerd (56118299700)</t>
  </si>
  <si>
    <t>7402229885; 6507591743; 26538697500; 59974118000; 17136903100; 56118299700</t>
  </si>
  <si>
    <t>Guest Editorial for Special Issue on Papers From 2023 IEEE International Conference on Flexible Printable Sensors and Systems (FLEPS)</t>
  </si>
  <si>
    <t>IEEE Journal on Flexible Electronics</t>
  </si>
  <si>
    <t>10.1109/JFLEX.2024.3426128</t>
  </si>
  <si>
    <t>https://www.scopus.com/inward/record.uri?eid=2-s2.0-85214660040&amp;doi=10.1109%2FJFLEX.2024.3426128&amp;partnerID=40&amp;md5=416375be13d9d73ebc59f1275a5660e1</t>
  </si>
  <si>
    <t>Electrical and Computer Engineering Department, La Jolla, CA, United States; Department of Electrical Engineering, Tampere University, Tampere, Pirkanmaa, Finland; Department of Electrical &amp; Computer Engineering, Aarhus Universitet, Aarhus, Midtjylland, Denmark; Department of Materials Science and Engineering, National University of Singapore, Singapore City, Singapore; Mechatronic Systems Engineering, Simon Fraser University, Burnaby, BC, Canada; Department of Electrical Engineering and Computer Science, York University, Toronto, ON, Canada</t>
  </si>
  <si>
    <t>Ng, Tsenga Tina, Electrical and Computer Engineering Department, La Jolla, CA, United States; Mäntysalo, Matti, Department of Electrical Engineering, Tampere University, Tampere, Pirkanmaa, Finland; Agarwala, Shweta, Department of Electrical &amp; Computer Engineering, Aarhus Universitet, Aarhus, Midtjylland, Denmark; Tee, Benjamin C.K., Department of Materials Science and Engineering, National University of Singapore, Singapore City, Singapore; Kim, Woo Soo, Mechatronic Systems Engineering, Simon Fraser University, Burnaby, BC, Canada; Grau, Gerd, Department of Electrical Engineering and Computer Science, York University, Toronto, ON, Canada</t>
  </si>
  <si>
    <t>T.N. Ng; University of California at San Diego, Department of Electrical and Computer Engineering, La Jolla, 92093, United States; email: Tnn046@ucsd.edu</t>
  </si>
  <si>
    <t>Institute of Electrical and Electronics Engineers</t>
  </si>
  <si>
    <t>2768167X</t>
  </si>
  <si>
    <t>IEEE. J. Flex. Electron.</t>
  </si>
  <si>
    <t>2-s2.0-85214660040</t>
  </si>
  <si>
    <t>Nag, A.; Ozioko, O.; Kim, W.S.; Andrews, J.</t>
  </si>
  <si>
    <t>Nag, Anindya (56592028500); Ozioko, Oliver (57024098300); Kim, Woo Soo (17136903100); Andrews, Joseph B. (57189595199)</t>
  </si>
  <si>
    <t>56592028500; 57024098300; 17136903100; 57189595199</t>
  </si>
  <si>
    <t>10.1109/JFLEX.2024.3408001</t>
  </si>
  <si>
    <t>https://www.scopus.com/inward/record.uri?eid=2-s2.0-85214654976&amp;doi=10.1109%2FJFLEX.2024.3408001&amp;partnerID=40&amp;md5=57a3d3139980599ab03330f5c6a8ef6f</t>
  </si>
  <si>
    <t>Technische Universität Dresden, Dresden, Sachsen, Germany; Technische Universität Dresden, Dresden, Sachsen, Germany; Department of Electrical and Electronic Engineering, University of Derby, Derby, Derbyshire, United Kingdom; School of Mechatronic Systems Engineering, Simon Fraser University, Burnaby, BC, Canada; UW-Madison College of Engineering, Madison, WI, United States</t>
  </si>
  <si>
    <t>Nag, Anindya, Technische Universität Dresden, Dresden, Sachsen, Germany, Technische Universität Dresden, Dresden, Sachsen, Germany; Ozioko, Oliver, Department of Electrical and Electronic Engineering, University of Derby, Derby, Derbyshire, United Kingdom; Kim, Woo Soo, School of Mechatronic Systems Engineering, Simon Fraser University, Burnaby, BC, Canada; Andrews, Joseph B., UW-Madison College of Engineering, Madison, WI, United States</t>
  </si>
  <si>
    <t>A. Nag; Technische Universität Dresden, Faculty of Electrical and Computer Engineering, Dresden, 01062, Germany; email: anindya.nag@tu-dresden.de</t>
  </si>
  <si>
    <t>2-s2.0-85214654976</t>
  </si>
  <si>
    <t>Rahmani Dehaghani, M.; Sajadi, P.; Tang, Y.; Wang, G.G.</t>
  </si>
  <si>
    <t>Rahmani Dehaghani, Mostafa (57980243500); Sajadi, Pouyan (58668997300); Tang, Yifan (57203408641); Wang, G. Gary (55599185800)</t>
  </si>
  <si>
    <t>57980243500; 58668997300; 57203408641; 55599185800</t>
  </si>
  <si>
    <t>LOW-COST MELT POOL TEMPERATURE PREDICTION USING VISIBLE LIGHT CAMERA AND MACHINE LEARNING IN LASER HOT-WIRE DIRECTED ENERGY DEPOSITION</t>
  </si>
  <si>
    <t>Proceedings of the ASME Design Engineering Technical Conference</t>
  </si>
  <si>
    <t>2A-2024</t>
  </si>
  <si>
    <t>V02AT02A029</t>
  </si>
  <si>
    <t>10.1115/DETC2024-142944</t>
  </si>
  <si>
    <t>https://www.scopus.com/inward/record.uri?eid=2-s2.0-85210493376&amp;doi=10.1115%2FDETC2024-142944&amp;partnerID=40&amp;md5=526d78915b6f7c563a15bb43097fa8fb</t>
  </si>
  <si>
    <t>Rahmani Dehaghani, Mostafa, Simon Fraser University, Burnaby, BC, Canada; Sajadi, Pouyan, Simon Fraser University, Burnaby, BC, Canada; Tang, Yifan, Simon Fraser University, Burnaby, BC, Canada; Wang, G. Gary, Simon Fraser University, Burnaby, BC, Canada</t>
  </si>
  <si>
    <t>American Society of Mechanical Engineers (ASME)</t>
  </si>
  <si>
    <t>0791837033; 9780791888445; 9780791887363; 9780791888438; 9780791883938; 0791836215; 9780791887356; 9780791888339; 9780791886304; 9780791888353</t>
  </si>
  <si>
    <t>Proc. ASME Des. Eng. Tech. Conf.</t>
  </si>
  <si>
    <t>2-s2.0-85210493376</t>
  </si>
  <si>
    <t>Mankovska, N.; Dean, J.W.</t>
  </si>
  <si>
    <t>Mankovska, Nadiya (57201612992); Dean, James W. (37086223400)</t>
  </si>
  <si>
    <t>57201612992; 37086223400</t>
  </si>
  <si>
    <t>Relationships between Foreign Direct Investment and Trade Flows in a Transition Economy: The Case of Ukraine1</t>
  </si>
  <si>
    <t>Foreign Direct Investment in Central and Eastern Europe</t>
  </si>
  <si>
    <t>10.4324/9781003576846-7</t>
  </si>
  <si>
    <t>https://www.scopus.com/inward/record.uri?eid=2-s2.0-85208868738&amp;doi=10.4324%2F9781003576846-7&amp;partnerID=40&amp;md5=c6ad2c4a1c294dddfb0574f11ba96c74</t>
  </si>
  <si>
    <t>Institute for Economic Research, Ukraine; Simon Fraser University, Burnaby, BC, Canada</t>
  </si>
  <si>
    <t>Mankovska, Nadiya, Institute for Economic Research, Ukraine; Dean, James W., Simon Fraser University, Burnaby, BC, Canada</t>
  </si>
  <si>
    <t>Taylor and Francis</t>
  </si>
  <si>
    <t>9781138707580; 9781040286319</t>
  </si>
  <si>
    <t>Book chapter</t>
  </si>
  <si>
    <t>2-s2.0-85208868738</t>
  </si>
  <si>
    <t>Tüchler, S.; Adamou, A.; Akbari, P.; Copeland, C.D.</t>
  </si>
  <si>
    <t>Tüchler, Stefan (57203958060); Adamou, Adamos (57212036829); Akbari, Pejman (7801582766); Copeland, Colin D. (36136875400)</t>
  </si>
  <si>
    <t>57203958060; 57212036829; 7801582766; 36136875400</t>
  </si>
  <si>
    <t>DESIGN, ANALYSIS, AND TESTING OF AN ADDITIVELY MANUFACTURED CATALYTIC COMBUSTOR FOR A MICRO-WAVE ROTOR TURBINE</t>
  </si>
  <si>
    <t>Proceedings of the ASME Turbo Expo</t>
  </si>
  <si>
    <t>V009T18A014</t>
  </si>
  <si>
    <t>10.1115/GT2024-125961</t>
  </si>
  <si>
    <t>https://www.scopus.com/inward/record.uri?eid=2-s2.0-85204302264&amp;doi=10.1115%2FGT2024-125961&amp;partnerID=40&amp;md5=3e20f5c8c5125db3cca4a6a872c090f1</t>
  </si>
  <si>
    <t>University of Bath, Bath, Somerset, United Kingdom; California State Polytechnic University, Pomona, Pomona, CA, United States; Simon Fraser University, Burnaby, BC, Canada</t>
  </si>
  <si>
    <t>Tüchler, Stefan, University of Bath, Bath, Somerset, United Kingdom; Adamou, Adamos, University of Bath, Bath, Somerset, United Kingdom; Akbari, Pejman, California State Polytechnic University, Pomona, Pomona, CA, United States; Copeland, Colin D., Simon Fraser University, Burnaby, BC, Canada</t>
  </si>
  <si>
    <t>Proc. ASME Turbo Expo</t>
  </si>
  <si>
    <t>2-s2.0-85204302264</t>
  </si>
  <si>
    <t>Fung, A.; Malone, J.; Tanskanen, A.; Rehill, M.; Brace, E.; Lane, P.</t>
  </si>
  <si>
    <t>Fung, Anita (57194618898); Malone, Jeanie H. (57211385681); Tanskanen, Adrian S. (57192590636); Rehill, M. (59147329500); Brace, Eric (57203497614); Lane, Pierre M. (7202980331)</t>
  </si>
  <si>
    <t>57194618898; 57211385681; 57192590636; 59147329500; 57203497614; 7202980331</t>
  </si>
  <si>
    <t>Progress in Biomedical Optics and Imaging - Proceedings of SPIE</t>
  </si>
  <si>
    <t>10.1117/12.3003437</t>
  </si>
  <si>
    <t>https://www.scopus.com/inward/record.uri?eid=2-s2.0-85194398410&amp;doi=10.1117%2F12.3003437&amp;partnerID=40&amp;md5=ab95b2524fcc88c3d87d62f35375d9b4</t>
  </si>
  <si>
    <t>Department of Integrative Oncology, British Columbia Cancer Research Institute, Vancouver, BC, Canada; School of Biomedical Engineering, The University of British Columbia, Vancouver, BC, Canada; School of Engineering Science, Simon Fraser University, Burnaby, BC, Canada</t>
  </si>
  <si>
    <t>Fung, Anita, Department of Integrative Oncology, British Columbia Cancer Research Institute, Vancouver, BC, Canada, School of Biomedical Engineering, The University of British Columbia, Vancouver, BC, Canada; Malone, Jeanie H., Department of Integrative Oncology, British Columbia Cancer Research Institute, Vancouver, BC, Canada, School of Biomedical Engineering, The University of British Columbia, Vancouver, BC, Canada; Tanskanen, Adrian S., Department of Integrative Oncology, British Columbia Cancer Research Institute, Vancouver, BC, Canada, School of Biomedical Engineering, The University of British Columbia, Vancouver, BC, Canada; Rehill, M., Department of Integrative Oncology, British Columbia Cancer Research Institute, Vancouver, BC, Canada, School of Engineering Science, Simon Fraser University, Burnaby, BC, Canada; Brace, Eric, Department of Integrative Oncology, British Columbia Cancer Research Institute, Vancouver, BC, Canada, School of Engineering Science, Simon Fraser University, Burnaby, BC, Canada; Lane, Pierre M., Department of Integrative Oncology, British Columbia Cancer Research Institute, Vancouver, BC, Canada, School of Biomedical Engineering, The University of British Columbia, Vancouver, BC, Canada, School of Engineering Science, Simon Fraser University, Burnaby, BC, Canada</t>
  </si>
  <si>
    <t>E. Brace; Department of Integrative Oncology, British Columbia Cancer Research Institute, Vancouver, Canada; email: ebrace@bccrc.ca</t>
  </si>
  <si>
    <t>Vargas, G.; Hwang, J.; Pfefer, T.J.</t>
  </si>
  <si>
    <t>SPIE</t>
  </si>
  <si>
    <t>9781510605251; 9781510605497; 9781510669673; 9781510669833; 9781510607118; 0819464236; 9780819488763; 9781510605398; 9781510658233; 9781510671621</t>
  </si>
  <si>
    <t>Progr. Biomed. Opt. Imaging Proc. SPIE</t>
  </si>
  <si>
    <t>2-s2.0-85194398410</t>
  </si>
  <si>
    <t>Siahrostami, S.; Murray, N.</t>
  </si>
  <si>
    <t>Siahrostami, Samira (25224903500); Murray, Nicholas (59126397000)</t>
  </si>
  <si>
    <t>25224903500; 59126397000</t>
  </si>
  <si>
    <t>Canadian Journal of Chemistry</t>
  </si>
  <si>
    <t>10.1139/cjc-2023-0232</t>
  </si>
  <si>
    <t>https://www.scopus.com/inward/record.uri?eid=2-s2.0-85193027369&amp;doi=10.1139%2Fcjc-2023-0232&amp;partnerID=40&amp;md5=a33330b0bcb64e2176be7cdf3be6708e</t>
  </si>
  <si>
    <t>Siahrostami, Samira, Simon Fraser University, Burnaby, BC, Canada; Murray, Nicholas, Simon Fraser University, Burnaby, BC, Canada</t>
  </si>
  <si>
    <t>Canadian Science Publishing</t>
  </si>
  <si>
    <t>CJCHA</t>
  </si>
  <si>
    <t>Can. J. Chem.</t>
  </si>
  <si>
    <t>2-s2.0-85193027369</t>
  </si>
  <si>
    <t>Fleming, D.G.; McKenzie, I.; Percival, P.W.</t>
  </si>
  <si>
    <t>Fleming, Donald G. (7202941247); McKenzie, Iain D. (7202607692); Percival, Paul W. (7005407519)</t>
  </si>
  <si>
    <t>7202941247; 7202607692; 7005407519</t>
  </si>
  <si>
    <t>Muon Spin Spectroscopy: Methods and Applications in Chemistry and Materials Science</t>
  </si>
  <si>
    <t>https://www.scopus.com/inward/record.uri?eid=2-s2.0-85192494531&amp;partnerID=40&amp;md5=674b0ea28862ede62362b97863be0f46</t>
  </si>
  <si>
    <t>TRIUMF, Vancouver, BC, Canada; Centre for Molecular and Materials Science, TRIUMF, Vancouver, BC, Canada; Simon Fraser University, Burnaby, BC, Canada; Department of Physics and Astronomy, University of Waterloo, Waterloo, ON, Canada; Department of Chemistry, Simon Fraser University, Burnaby, BC, Canada</t>
  </si>
  <si>
    <t>Fleming, Donald G., TRIUMF, Vancouver, BC, Canada; McKenzie, Iain D., Centre for Molecular and Materials Science, TRIUMF, Vancouver, BC, Canada, Simon Fraser University, Burnaby, BC, Canada, Department of Physics and Astronomy, University of Waterloo, Waterloo, ON, Canada; Percival, Paul W., Department of Chemistry, Simon Fraser University, Burnaby, BC, Canada</t>
  </si>
  <si>
    <t>wiley</t>
  </si>
  <si>
    <t>9783527806058; 9783527342365</t>
  </si>
  <si>
    <t>Book</t>
  </si>
  <si>
    <t>2-s2.0-85192494531</t>
  </si>
  <si>
    <t>Chapman, G.H.; Aguilera, I.; Schilling, M.</t>
  </si>
  <si>
    <t>Chapman, Glenn H. (7202936504); Aguilera, Isabella (58996926300); Schilling, Matthew (58996382900)</t>
  </si>
  <si>
    <t>7202936504; 58996926300; 58996382900</t>
  </si>
  <si>
    <t>10.1117/12.3003941</t>
  </si>
  <si>
    <t>https://www.scopus.com/inward/record.uri?eid=2-s2.0-85190957817&amp;doi=10.1117%2F12.3003941&amp;partnerID=40&amp;md5=c0636ae2ca0dae5a37543a42acf3cdbb</t>
  </si>
  <si>
    <t>School of Engineering Science, Simon Fraser University, Burnaby, BC, Canada</t>
  </si>
  <si>
    <t>Chapman, Glenn H., School of Engineering Science, Simon Fraser University, Burnaby, BC, Canada; Aguilera, Isabella, School of Engineering Science, Simon Fraser University, Burnaby, BC, Canada; Schilling, Matthew, School of Engineering Science, Simon Fraser University, Burnaby, BC, Canada</t>
  </si>
  <si>
    <t>Linz, N.; Bixler, J.N.; Walsh, A.J.</t>
  </si>
  <si>
    <t>2-s2.0-85190957817</t>
  </si>
  <si>
    <t>Mani, A.; Budd, T.; Maine, E.</t>
  </si>
  <si>
    <t>Mani, Anahita (8258250900); Budd, Thomas (57389844900); Maine, Elicia M.A. (6701560668)</t>
  </si>
  <si>
    <t>8258250900; 57389844900; 6701560668</t>
  </si>
  <si>
    <t>Emissions-intensive and trade-exposed industries: technological innovation and climate policy solutions to achieve net-zero emissions by 2050</t>
  </si>
  <si>
    <t>RSC Sustainability</t>
  </si>
  <si>
    <t>10.1039/d3su00335c</t>
  </si>
  <si>
    <t>https://www.scopus.com/inward/record.uri?eid=2-s2.0-85183963710&amp;doi=10.1039%2Fd3su00335c&amp;partnerID=40&amp;md5=bfa6430d0cf82db2454a24f2904b18e7</t>
  </si>
  <si>
    <t>Mani, Anahita, Simon Fraser University, Burnaby, BC, Canada; Budd, Thomas, Simon Fraser University, Burnaby, BC, Canada; Maine, Elicia M.A., Simon Fraser University, Burnaby, BC, Canada</t>
  </si>
  <si>
    <t>RSC. Sustain.</t>
  </si>
  <si>
    <t>2-s2.0-85183963710</t>
  </si>
  <si>
    <t>Tang, Y.; Rahmani Dehaghani, M.; Sajadi, P.; Shahriar, S.B.; Dhalpe, A.; Panicker, S.; Wu, D.; Coatanea, E.; Wang, G.G.</t>
  </si>
  <si>
    <t>Tang, Yifan (57203408641); Rahmani Dehaghani, Mostafa (57980243500); Sajadi, Pouyan (58668997300); Shahriar, Bakrani Balani (57199229856); Dhalpe, Akshay (58614214300); Panicker, Suraj (57209685749); Wu, Di (59619524600); Coatanea, E. (6505895583); Wang, G. Gary (55599185800)</t>
  </si>
  <si>
    <t>57203408641; 57980243500; 58668997300; 57199229856; 58614214300; 57209685749; 59619524600; 6505895583; 55599185800</t>
  </si>
  <si>
    <t>Online thermal field prediction for metal additive manufacturing of thin walls</t>
  </si>
  <si>
    <t>10.1016/j.jmapro.2023.11.007</t>
  </si>
  <si>
    <t>https://www.scopus.com/inward/record.uri?eid=2-s2.0-85177209867&amp;doi=10.1016%2Fj.jmapro.2023.11.007&amp;partnerID=40&amp;md5=c8c833591129bfca0f16056e44e382b7</t>
  </si>
  <si>
    <t>Product Design and Optimization Laboratory, Simon Fraser University, Burnaby, BC, Canada; Automation Technology and Mechanical Engineering, Tampere University, Tampere, Pirkanmaa, Finland</t>
  </si>
  <si>
    <t>Tang, Yifan, Product Design and Optimization Laboratory, Simon Fraser University, Burnaby, BC, Canada; Rahmani Dehaghani, Mostafa, Product Design and Optimization Laboratory, Simon Fraser University, Burnaby, BC, Canada; Sajadi, Pouyan, Product Design and Optimization Laboratory, Simon Fraser University, Burnaby, BC, Canada; Shahriar, Bakrani Balani, Automation Technology and Mechanical Engineering, Tampere University, Tampere, Pirkanmaa, Finland; Dhalpe, Akshay, Automation Technology and Mechanical Engineering, Tampere University, Tampere, Pirkanmaa, Finland; Panicker, Suraj, Automation Technology and Mechanical Engineering, Tampere University, Tampere, Pirkanmaa, Finland; Wu, Di, Automation Technology and Mechanical Engineering, Tampere University, Tampere, Pirkanmaa, Finland; Coatanea, E., Automation Technology and Mechanical Engineering, Tampere University, Tampere, Pirkanmaa, Finland; Wang, G. Gary, Product Design and Optimization Laboratory, Simon Fraser University, Burnaby, BC, Canada</t>
  </si>
  <si>
    <t>G.G. Wang; Product Design and Optimization Laboratory, Simon Fraser University, Surrey, Canada; email: gary_wang@sfu.ca</t>
  </si>
  <si>
    <t>2-s2.0-85177209867</t>
  </si>
  <si>
    <t>Lyzwinski, L.; Elgendi, M.; Shokurov, A.V.; Cuthbert, T.J.; Ahmadizadeh, C.; Menon, C.</t>
  </si>
  <si>
    <t>Lyzwinski, Lynnette Nathalie (55791833900); Elgendi, Mohamed (58898892700); Shokurov, Alexander V. (55156164100); Cuthbert, Tyler J. (57211341414); Ahmadizadeh, Chakaveh (57196718058); Menon, Carlo (23989261600)</t>
  </si>
  <si>
    <t>55791833900; 58898892700; 55156164100; 57211341414; 57196718058; 23989261600</t>
  </si>
  <si>
    <t>Communications Engineering</t>
  </si>
  <si>
    <t>10.1038/s44172-023-00097-w</t>
  </si>
  <si>
    <t>https://www.scopus.com/inward/record.uri?eid=2-s2.0-85179318117&amp;doi=10.1038%2Fs44172-023-00097-w&amp;partnerID=40&amp;md5=ee721b93f263681a3ff296b6efcd86f0</t>
  </si>
  <si>
    <t>Menrva Research Group, Simon Fraser University, Burnaby, BC, Canada; Department of Health Sciences and Technology, ETH Zürich, Zurich, ZH, Switzerland</t>
  </si>
  <si>
    <t>Lyzwinski, Lynnette Nathalie, Menrva Research Group, Simon Fraser University, Burnaby, BC, Canada; Elgendi, Mohamed, Department of Health Sciences and Technology, ETH Zürich, Zurich, ZH, Switzerland; Shokurov, Alexander V., Department of Health Sciences and Technology, ETH Zürich, Zurich, ZH, Switzerland; Cuthbert, Tyler J., Department of Health Sciences and Technology, ETH Zürich, Zurich, ZH, Switzerland; Ahmadizadeh, Chakaveh, Department of Health Sciences and Technology, ETH Zürich, Zurich, ZH, Switzerland; Menon, Carlo, Menrva Research Group, Simon Fraser University, Burnaby, BC, Canada, Department of Health Sciences and Technology, ETH Zürich, Zurich, ZH, Switzerland</t>
  </si>
  <si>
    <t>C. Menon; Menrva Research Group, Schools of Mechatronic Systems Engineering and Engineering Science, Simon Fraser University, Metro Vancouver, Canada; email: carlo.menon@hest.ethz.ch; M. Elgendi; Biomedical and Mobile Health Technology Lab, Department of Health Sciences and Technology, ETH Zurich, Zurich, Switzerland; email: moe.elgendi@hest.ethz.ch</t>
  </si>
  <si>
    <t>Springer Nature</t>
  </si>
  <si>
    <t>Commun. Eng.</t>
  </si>
  <si>
    <t>2-s2.0-85179318117</t>
  </si>
  <si>
    <t>Rahmani Dehaghani, M.; Tang, Y.; Panicker, S.; Wu, D.; Coatanea, E.; Wang, G.G.</t>
  </si>
  <si>
    <t>Rahmani Dehaghani, Mostafa (57980243500); Tang, Yifan (57203408641); Panicker, Suraj (57209685749); Wu, Di (59619524600); Coatanea, E. (6505895583); Wang, G. Gary (55599185800)</t>
  </si>
  <si>
    <t>57980243500; 57203408641; 57209685749; 59619524600; 6505895583; 55599185800</t>
  </si>
  <si>
    <t>Modeling and optimization of height-related geometrical parameters for thin wall structures manufactured by metal additive manufacturing</t>
  </si>
  <si>
    <t>International Journal of Advanced Manufacturing Technology</t>
  </si>
  <si>
    <t>10.1007/s00170-023-12618-0</t>
  </si>
  <si>
    <t>https://www.scopus.com/inward/record.uri?eid=2-s2.0-85176139326&amp;doi=10.1007%2Fs00170-023-12618-0&amp;partnerID=40&amp;md5=9c77ee39a2dd8f2ddbb9a7ee43c2f2f9</t>
  </si>
  <si>
    <t>School of Mechatronic Systems Engineering, Simon Fraser University, Burnaby, BC, Canada; Automation Technology and Mechanical Engineering, Tampere University, Tampere, Pirkanmaa, Finland</t>
  </si>
  <si>
    <t>Rahmani Dehaghani, Mostafa, School of Mechatronic Systems Engineering, Simon Fraser University, Burnaby, BC, Canada; Tang, Yifan, School of Mechatronic Systems Engineering, Simon Fraser University, Burnaby, BC, Canada; Panicker, Suraj, Automation Technology and Mechanical Engineering, Tampere University, Tampere, Pirkanmaa, Finland; Wu, Di, Automation Technology and Mechanical Engineering, Tampere University, Tampere, Pirkanmaa, Finland; Coatanea, E., Automation Technology and Mechanical Engineering, Tampere University, Tampere, Pirkanmaa, Finland; Wang, G. Gary, School of Mechatronic Systems Engineering, Simon Fraser University, Burnaby, BC, Canada</t>
  </si>
  <si>
    <t>G.G. Wang; School of Mechatronic Systems Engineering, Simon Fraser University, Surrey, Canada; email: gary_wang@sfu.ca</t>
  </si>
  <si>
    <t>IJATE</t>
  </si>
  <si>
    <t>Int J Adv Manuf Technol</t>
  </si>
  <si>
    <t>2-s2.0-85176139326</t>
  </si>
  <si>
    <t>Ghaderi, E.; Bahreyni, B.</t>
  </si>
  <si>
    <t>Ghaderi, Erfan (58717877000); Bahreyni, Behraad (7801341985)</t>
  </si>
  <si>
    <t>58717877000; 7801341985</t>
  </si>
  <si>
    <t>Sensors and Actuators A: Physical</t>
  </si>
  <si>
    <t>10.1016/j.sna.2023.114728</t>
  </si>
  <si>
    <t>https://www.scopus.com/inward/record.uri?eid=2-s2.0-85173221212&amp;doi=10.1016%2Fj.sna.2023.114728&amp;partnerID=40&amp;md5=efac589198db4c8b331974898f3d36f9</t>
  </si>
  <si>
    <t>Ghaderi, Erfan, Faculty of Applied Sciences, Simon Fraser University, Burnaby, BC, Canada; Bahreyni, Behraad, Faculty of Applied Sciences, Simon Fraser University, Burnaby, BC, Canada</t>
  </si>
  <si>
    <t>B. Bahreyni; Faculty of Applied Sciences, Simon Fraser University, Surrey, 250-13450 102nd Ave, V3T 0A3, Canada; email: behraad@ieee.org</t>
  </si>
  <si>
    <t>SAAPE</t>
  </si>
  <si>
    <t>Sens Actuators A Phys</t>
  </si>
  <si>
    <t>2-s2.0-85173221212</t>
  </si>
  <si>
    <t>Askar, A.; Palacios, P.; Pasadas, F.; Saeed, M.; Mohammadzadeh, M.R.; Negra, R.; Adachi, M.M.</t>
  </si>
  <si>
    <t>Askar, Abdelrahman M. (56699722300); Palacios, Paula (57208685815); Pasadas, Francisco (57034089300); Saeed, Mohamed (59027516400); Mohammadzadeh, Mohammad Reza (60202275600); Negra, Renato Della (16480966800); Adachi, Michael M. (16432591400)</t>
  </si>
  <si>
    <t>56699722300; 57208685815; 57034089300; 59027516400; 60202275600; 16480966800; 16432591400</t>
  </si>
  <si>
    <t>npj 2D Materials and Applications</t>
  </si>
  <si>
    <t>10.1038/s41699-023-00433-w</t>
  </si>
  <si>
    <t>https://www.scopus.com/inward/record.uri?eid=2-s2.0-85173118745&amp;doi=10.1038%2Fs41699-023-00433-w&amp;partnerID=40&amp;md5=b9cd9b0c114280e1bf2e2076330beed4</t>
  </si>
  <si>
    <t>School of Engineering Science, Simon Fraser University, Burnaby, BC, Canada; Rheinisch-Westfälische Technische Hochschule Aachen, Aachen, Nordrhein-Westfalen, Germany; Departamento de Electrónica y Tecnología de Computadores, Universidad de Granada, Granada, Granada, Spain</t>
  </si>
  <si>
    <t>Askar, Abdelrahman M., School of Engineering Science, Simon Fraser University, Burnaby, BC, Canada; Palacios, Paula, Rheinisch-Westfälische Technische Hochschule Aachen, Aachen, Nordrhein-Westfalen, Germany; Pasadas, Francisco, Departamento de Electrónica y Tecnología de Computadores, Universidad de Granada, Granada, Granada, Spain; Saeed, Mohamed, Rheinisch-Westfälische Technische Hochschule Aachen, Aachen, Nordrhein-Westfalen, Germany; Mohammadzadeh, Mohammad Reza, School of Engineering Science, Simon Fraser University, Burnaby, BC, Canada; Negra, Renato Della, Rheinisch-Westfälische Technische Hochschule Aachen, Aachen, Nordrhein-Westfalen, Germany; Adachi, Michael M., School of Engineering Science, Simon Fraser University, Burnaby, BC, Canada</t>
  </si>
  <si>
    <t>A.M. Askar; School of Engineering Science, Simon Fraser University, Burnaby, 8888 University Drive, V5A 1S6, Canada; email: aaskar@sfu.ca; P. Palacios; Chair of High Frequency Electronics (HFE), RWTH Aachen University, Aachen, Koppernikusstr. 16, 52074, Germany; email: paula.palacios@hfe.rwth-aachen.de; F. Pasadas; Pervasive Electronics Advanced Research Laboratory (PEARL), Departamento de Electrónica y Tecnología de Computadores, Universidad de Granada, Granada, Campus de Fuentenueva, 18071, Spain; email: fpasadas@ugr.es</t>
  </si>
  <si>
    <t>npj 2D Mater. Appl.</t>
  </si>
  <si>
    <t>2-s2.0-85173118745</t>
  </si>
  <si>
    <t>Guo, Q.; Zhang, P.; Zhu, S.; Liu, J.</t>
  </si>
  <si>
    <t>Guo, Qi (56589328300); Zhang, Peng (56963027800); Zhu, Shengjun (27068080700); Liu, Junyang (57226455252)</t>
  </si>
  <si>
    <t>56589328300; 56963027800; 27068080700; 57226455252</t>
  </si>
  <si>
    <t>Export market relatedness, geographical diversification and regional export growth in China</t>
  </si>
  <si>
    <t>Structural Change and Economic Dynamics</t>
  </si>
  <si>
    <t>10.1016/j.strueco.2023.09.004</t>
  </si>
  <si>
    <t>https://www.scopus.com/inward/record.uri?eid=2-s2.0-85171201066&amp;doi=10.1016%2Fj.strueco.2023.09.004&amp;partnerID=40&amp;md5=16c01c69b8238904fe660543bcb28582</t>
  </si>
  <si>
    <t>Institute for Global Innovation and Development, East China Normal University, Shanghai, China; School of Geographic Sciences, East China Normal University, Shanghai, China; Beedie School of Business, Burnaby, BC, Canada; Peking University, Beijing, China; Laboratory for Earth Surface Processes Ministry of Education, Beijing, China</t>
  </si>
  <si>
    <t>Guo, Qi, Institute for Global Innovation and Development, East China Normal University, Shanghai, China, School of Geographic Sciences, East China Normal University, Shanghai, China; Zhang, Peng, Beedie School of Business, Burnaby, BC, Canada; Zhu, Shengjun, Peking University, Beijing, China, Laboratory for Earth Surface Processes Ministry of Education, Beijing, China; Liu, Junyang, Peking University, Beijing, China, Laboratory for Earth Surface Processes Ministry of Education, Beijing, China</t>
  </si>
  <si>
    <t>S. Zhu; College of Urban and Environmental Sciences, Peking University, Beijing, 100871, China; email: zhus@pku.edu.cn</t>
  </si>
  <si>
    <t>0954349X</t>
  </si>
  <si>
    <t>Struct. Change Econ. Dyn.</t>
  </si>
  <si>
    <t>2-s2.0-85171201066</t>
  </si>
  <si>
    <t>V Grayli, S.; Kamal, S.; Leach, G.W.</t>
  </si>
  <si>
    <t>V Grayli, Sasan (57217331969); Kamal, Saeid (57193363423); Leach, Gary W. (7102871900)</t>
  </si>
  <si>
    <t>57217331969; 57193363423; 7102871900</t>
  </si>
  <si>
    <t>High performance, single crystal gold bowtie nanoantennas fabricated via epitaxial electroless deposition</t>
  </si>
  <si>
    <t>Scientific Reports</t>
  </si>
  <si>
    <t>10.1038/s41598-023-38154-1</t>
  </si>
  <si>
    <t>https://www.scopus.com/inward/record.uri?eid=2-s2.0-85166785839&amp;doi=10.1038%2Fs41598-023-38154-1&amp;partnerID=40&amp;md5=d628f3077c6b360a64b466517040b772</t>
  </si>
  <si>
    <t>Laboratory for Advanced Spectroscopy and Imaging Research, Simon Fraser University, Burnaby, BC, Canada; 4D LABS, Simon Fraser University, Burnaby, BC, Canada; Institute for Quantum Computing, University of Waterloo, Waterloo, ON, Canada</t>
  </si>
  <si>
    <t>V Grayli, Sasan, Institute for Quantum Computing, University of Waterloo, Waterloo, ON, Canada; Kamal, Saeid, Laboratory for Advanced Spectroscopy and Imaging Research, Simon Fraser University, Burnaby, BC, Canada; Leach, Gary W., 4D LABS, Simon Fraser University, Burnaby, BC, Canada</t>
  </si>
  <si>
    <t>G.W. Leach; Laboratory for Advanced Spectroscopy and Imaging Research, and 4D LABS, Department of Chemistry, Simon Fraser University, Burnaby, 8888 University Dr, V5A 1S6, Canada; email: gleach@sfu.ca</t>
  </si>
  <si>
    <t>Sci. Rep.</t>
  </si>
  <si>
    <t>2-s2.0-85166785839</t>
  </si>
  <si>
    <t>McNeil, B.L.; Mastroianni, S.A.; McNeil, S.W.; Zeisler, S.; Kumlin, J.; Borjian, S.; McDonagh, A.W.; Cross, M.; Schaffer, P.; Ramogida, C.F.</t>
  </si>
  <si>
    <t>McNeil, Brooke L. (57198862611); Mastroianni, Simona A. (58411149100); McNeil, Scott W. (57948514800); Zeisler, Stephan Stefan (6701341930); Kumlin, Joel O. (56663146500); Borjian, Sogol (56319163400); McDonagh, Anthony W. (57226013100); Cross, Michael C. (57330664700); Schaffer, Paul (7102320285); Ramogida, Caterina Fortunata (37034801500)</t>
  </si>
  <si>
    <t>57198862611; 58411149100; 57948514800; 6701341930; 56663146500; 56319163400; 57226013100; 57330664700; 7102320285; 37034801500</t>
  </si>
  <si>
    <t>Optimized production, purification, and radiolabeling of the 203Pb/212Pb theranostic pair for nuclear medicine</t>
  </si>
  <si>
    <t>10.1038/s41598-023-37313-8</t>
  </si>
  <si>
    <t>https://www.scopus.com/inward/record.uri?eid=2-s2.0-85163758536&amp;doi=10.1038%2Fs41598-023-37313-8&amp;partnerID=40&amp;md5=5ac03e2d24acd742a4cf7b9ec1a58f4c</t>
  </si>
  <si>
    <t>Division of Life Sciences, TRIUMF, Vancouver, BC, Canada; Simon Fraser University, Burnaby, BC, Canada; ARTMS Inc., Burnaby, BC, Canada; Department of Radiology, The University of British Columbia, Vancouver, BC, Canada</t>
  </si>
  <si>
    <t>McNeil, Brooke L., Division of Life Sciences, TRIUMF, Vancouver, BC, Canada, Simon Fraser University, Burnaby, BC, Canada; Mastroianni, Simona A., Division of Life Sciences, TRIUMF, Vancouver, BC, Canada; McNeil, Scott W., Division of Life Sciences, TRIUMF, Vancouver, BC, Canada; Zeisler, Stephan Stefan, ARTMS Inc., Burnaby, BC, Canada; Kumlin, Joel O., ARTMS Inc., Burnaby, BC, Canada; Borjian, Sogol, ARTMS Inc., Burnaby, BC, Canada; McDonagh, Anthony W., Simon Fraser University, Burnaby, BC, Canada; Cross, Michael C., ARTMS Inc., Burnaby, BC, Canada; Schaffer, Paul, Division of Life Sciences, TRIUMF, Vancouver, BC, Canada, Simon Fraser University, Burnaby, BC, Canada, ARTMS Inc., Burnaby, BC, Canada, Department of Radiology, The University of British Columbia, Vancouver, BC, Canada; Ramogida, Caterina Fortunata, Division of Life Sciences, TRIUMF, Vancouver, BC, Canada, Simon Fraser University, Burnaby, BC, Canada</t>
  </si>
  <si>
    <t>C.F. Ramogida; Life Sciences Division, TRIUMF, Vancouver, V6T 2A3, Canada; email: caterina_ramogida@sfu.ca</t>
  </si>
  <si>
    <t>2-s2.0-85163758536</t>
  </si>
  <si>
    <t>Kaghad, A.; Panagopoulos, D.; Caballero-García, G.; Zhai, H.; Britton, R.</t>
  </si>
  <si>
    <t>Kaghad, Anissa (57221335994); Panagopoulos, Dimitrios (56950714200); Caballero-García, Guillermo (57189630734); Zhai, Huimin (56462108800); Britton, Robert A. (7101816384)</t>
  </si>
  <si>
    <t>57221335994; 56950714200; 57189630734; 56462108800; 7101816384</t>
  </si>
  <si>
    <t>An α-chloroaldehyde-based formal synthesis of eribulin</t>
  </si>
  <si>
    <t>10.1038/s41467-023-37346-7</t>
  </si>
  <si>
    <t>https://www.scopus.com/inward/record.uri?eid=2-s2.0-85151792185&amp;doi=10.1038%2Fs41467-023-37346-7&amp;partnerID=40&amp;md5=7f34c338cea2c6caaa3a904e7dd6bb5d</t>
  </si>
  <si>
    <t>Kaghad, Anissa, Simon Fraser University, Burnaby, BC, Canada; Panagopoulos, Dimitrios, Simon Fraser University, Burnaby, BC, Canada; Caballero-García, Guillermo, Simon Fraser University, Burnaby, BC, Canada; Zhai, Huimin, Simon Fraser University, Burnaby, BC, Canada; Britton, Robert A., Simon Fraser University, Burnaby, BC, Canada</t>
  </si>
  <si>
    <t>R. Britton; Department of Chemistry, Simon Fraser University, Burnaby, V5A 1S6, Canada; email: rbritton@sfu.ca</t>
  </si>
  <si>
    <t>2-s2.0-85151792185</t>
  </si>
  <si>
    <t>Zhang, Y.; Zhao, H.; Yan, T.; Ren, W.; Niu, G.; Jiang, Z.; Liu, Z.; Wu, H.; Wang, Z.; Ye, Z.-G.</t>
  </si>
  <si>
    <t>Zhang, Yijun (56338589500); Zhao, Huifeng (56604425800); Yan, Tianyi (57703457300); Ren, Wei (57201421397); Niu, Gang (55392353500); Jiang, Zhuangde (57203495930); Liu, Zenghui (56599407500); Wu, Heping (57211393978); Wang, Zhe (56308894200); Ye, Zuo Guang (24443034100)</t>
  </si>
  <si>
    <t>56338589500; 56604425800; 57703457300; 57201421397; 55392353500; 57203495930; 56599407500; 57211393978; 56308894200; 24443034100</t>
  </si>
  <si>
    <t>3D HfO2 Thin Film MEMS Capacitor with Superior Energy Storage Properties</t>
  </si>
  <si>
    <t>10.1002/adfm.202305733</t>
  </si>
  <si>
    <t>https://www.scopus.com/inward/record.uri?eid=2-s2.0-85164819851&amp;doi=10.1002%2Fadfm.202305733&amp;partnerID=40&amp;md5=a5e1e355191410229260b7c350eeb003</t>
  </si>
  <si>
    <t>Electronic Materials Research Laboratory, Xi'an Jiaotong University, Xi'an, Shaanxi, China; State Key Laboratory for Manufacturing Systems Engineering, Xi'an, Shaanxi, China; Department of Chemistry and 4D LABS, Simon Fraser University, Burnaby, BC, Canada; China Electronic Technology Group Corporation, Shanghai, Shanghai, China</t>
  </si>
  <si>
    <t>Zhang, Yijun, Electronic Materials Research Laboratory, Xi'an Jiaotong University, Xi'an, Shaanxi, China; Zhao, Huifeng, China Electronic Technology Group Corporation, Shanghai, Shanghai, China; Yan, Tianyi, Electronic Materials Research Laboratory, Xi'an Jiaotong University, Xi'an, Shaanxi, China; Ren, Wei, Electronic Materials Research Laboratory, Xi'an Jiaotong University, Xi'an, Shaanxi, China, State Key Laboratory for Manufacturing Systems Engineering, Xi'an, Shaanxi, China; Niu, Gang, Electronic Materials Research Laboratory, Xi'an Jiaotong University, Xi'an, Shaanxi, China, State Key Laboratory for Manufacturing Systems Engineering, Xi'an, Shaanxi, China; Jiang, Zhuangde, State Key Laboratory for Manufacturing Systems Engineering, Xi'an, Shaanxi, China; Liu, Zenghui, Electronic Materials Research Laboratory, Xi'an Jiaotong University, Xi'an, Shaanxi, China; Wu, Heping, Electronic Materials Research Laboratory, Xi'an Jiaotong University, Xi'an, Shaanxi, China; Wang, Zhe, Electronic Materials Research Laboratory, Xi'an Jiaotong University, Xi'an, Shaanxi, China; Ye, Zuo Guang, Department of Chemistry and 4D LABS, Simon Fraser University, Burnaby, BC, Canada</t>
  </si>
  <si>
    <t>Y. Zhang; Electronic Materials Research Laboratory, Key Laboratory of the Ministry of Education &amp; International Center for Dielectric Research, School of Electronic Science and Engineering, Xi'an Jiaotong University, Xi'an, 710049, China; email: zhangyj518@mail.xjtu.edu.cn; W. Ren; Electronic Materials Research Laboratory, Key Laboratory of the Ministry of Education &amp; International Center for Dielectric Research, School of Electronic Science and Engineering, Xi'an Jiaotong University, Xi'an, 710049, China; email: wren@mail.xjtu.edu.cn; G. Niu; Electronic Materials Research Laboratory, Key Laboratory of the Ministry of Education &amp; International Center for Dielectric Research, School of Electronic Science and Engineering, Xi'an Jiaotong University, Xi'an, 710049, China; email: gangniu@mail.xjtu.edu.cn; Z.-G. Ye; Department of Chemistry and 4D LABS, Simon Fraser University, Burnaby, V5A 1S6, Canada; email: zye@sfu.ca</t>
  </si>
  <si>
    <t>2-s2.0-85164819851</t>
  </si>
  <si>
    <t>Stoll, J.; Zhao, N.; Yuan, X.-Z.; Girard, F.; Kjeang, E.; Shi, Z.</t>
  </si>
  <si>
    <t>Stoll, Jonas (58712057900); Zhao, Nana (55770231000); Yuan, Xiao Zi (13907851100); Girard, François (57198208472); Kjeang, Erik (16066971400); Shi, Zhiqing (35788466700)</t>
  </si>
  <si>
    <t>58712057900; 55770231000; 13907851100; 57198208472; 16066971400; 35788466700</t>
  </si>
  <si>
    <t>Impacts of cathode catalyst layer defects on performance and durability in PEM fuel cells</t>
  </si>
  <si>
    <t>10.1016/j.jpowsour.2023.233565</t>
  </si>
  <si>
    <t>https://www.scopus.com/inward/record.uri?eid=2-s2.0-85169021330&amp;doi=10.1016%2Fj.jpowsour.2023.233565&amp;partnerID=40&amp;md5=2e5eaf1c7ec4a37b481a95be01dfa6f9</t>
  </si>
  <si>
    <t>Mining &amp; Environment Research Centre, National Research Council Canada, Ottawa, ON, Canada; Fuel Cell Research Laboratory (FCReL), Simon Fraser University, Burnaby, BC, Canada</t>
  </si>
  <si>
    <t>Stoll, Jonas, Mining &amp; Environment Research Centre, National Research Council Canada, Ottawa, ON, Canada, Fuel Cell Research Laboratory (FCReL), Simon Fraser University, Burnaby, BC, Canada; Zhao, Nana, Mining &amp; Environment Research Centre, National Research Council Canada, Ottawa, ON, Canada; Yuan, Xiao Zi, Mining &amp; Environment Research Centre, National Research Council Canada, Ottawa, ON, Canada; Girard, François, Mining &amp; Environment Research Centre, National Research Council Canada, Ottawa, ON, Canada; Kjeang, Erik, Fuel Cell Research Laboratory (FCReL), Simon Fraser University, Burnaby, BC, Canada; Shi, Zhiqing, Mining &amp; Environment Research Centre, National Research Council Canada, Ottawa, ON, Canada</t>
  </si>
  <si>
    <t>E. Kjeang; Fuel Cell Research Lab (FCReL), School of Mechatronic Systems Engineering, Simon Fraser University, Surrey, 250-13450 102 Avenue, V3T 0A3, Canada; email: ekjeang@sfu.ca; N. Zhao; Energy, Mining &amp; Environment Research Centre, National Research Council Canada, Vancouver, 4250 Wesbrook Mall, V6T 1W5, Canada; email: Nana.Zhao@nrc-cnrc.gc.ca; Z. Shi; Energy, Mining &amp; Environment Research Centre, National Research Council Canada, Vancouver, 4250 Wesbrook Mall, V6T 1W5, Canada; email: Zhiqing.Shi@nrc-cnrc.gc.ca</t>
  </si>
  <si>
    <t>2-s2.0-85169021330</t>
  </si>
  <si>
    <t>Sattari Sarebangholi, M.; Najafi, F.</t>
  </si>
  <si>
    <t>Sattari Sarebangholi, Milad (57669471000); Najafi, Farshid (12778996500)</t>
  </si>
  <si>
    <t>57669471000; 12778996500</t>
  </si>
  <si>
    <t>Kinematic and Dynamic Analysis of a Compliant Mechanism to Generate Different Flapping-Wing Paths Based on Vibration Characteristics</t>
  </si>
  <si>
    <t>Journal of Vibration Engineering and Technologies</t>
  </si>
  <si>
    <t>10.1007/s42417-022-00791-7</t>
  </si>
  <si>
    <t>https://www.scopus.com/inward/record.uri?eid=2-s2.0-85148359216&amp;doi=10.1007%2Fs42417-022-00791-7&amp;partnerID=40&amp;md5=1629973e07336fb555dce45e00b0714d</t>
  </si>
  <si>
    <t>Sattari Sarebangholi, Milad, School of Mechatronic Systems Engineering, Simon Fraser University, Burnaby, BC, Canada; Najafi, Farshid, School of Mechatronic Systems Engineering, Simon Fraser University, Burnaby, BC, Canada</t>
  </si>
  <si>
    <t>F. Najafi; School of Mechatronic Systems Engineering, Faculty of Applied Science, Simon Fraser University, Burnaby, Canada; email: farshid_najafi@sfu.ca</t>
  </si>
  <si>
    <t>J. Vib. Eng. Technol.</t>
  </si>
  <si>
    <t>2-s2.0-85148359216</t>
  </si>
  <si>
    <t>McFadden, R.M.L.; Asaduzzaman, M.; Buck, T.J.; Cortie, D.L.; Dehn, M.H.; Dunsiger, S.R.; Kiefl, R.F.; Laxdal, R.E.; Levy, C.D.P.; MacFarlane, W.A.; Morris, G.D.; Pearson, M.R.; Thoeng, E.; Junginger, T.</t>
  </si>
  <si>
    <t>McFadden, Ryan M.L. (14023173600); Asaduzzaman, Md (58003040200); Buck, Terry J. (56450369000); Cortie, David Laurence (39261280100); Dehn, Martin H. (57189831674); Dunsiger, Sarah R. (6701500745); Kiefl, Robert F. (7006481240); Laxdal, Robert Edward (7004612202); Levy, C. D.Philip (7202219233); MacFarlane, Andrew W. (7005655464); Morris, Gerald D. (57223622664); Pearson, Matthew R. (58426280900); Thoeng, Edward (55787319700); Junginger, Tobias (57190851384)</t>
  </si>
  <si>
    <t>14023173600; 58003040200; 56450369000; 39261280100; 57189831674; 6701500745; 7006481240; 7004612202; 7202219233; 7005655464; 57223622664; 58426280900; 55787319700; 57190851384</t>
  </si>
  <si>
    <t>Depth-resolved measurement of the Meissner screening profile in a niobium thin film from spin-lattice relaxation of the implanted β-emitter 8Li</t>
  </si>
  <si>
    <t>Journal of Applied Physics</t>
  </si>
  <si>
    <t>10.1063/5.0175532</t>
  </si>
  <si>
    <t>https://www.scopus.com/inward/record.uri?eid=2-s2.0-85175564558&amp;doi=10.1063%2F5.0175532&amp;partnerID=40&amp;md5=c87aa973137d3ea1d8adc64e19f223cf</t>
  </si>
  <si>
    <t>TRIUMF, Vancouver, BC, Canada; Department of Physics and Astronomy, University of Victoria, Victoria, BC, Canada; Department of Physics and Astronomy, The University of British Columbia, Vancouver, BC, Canada; The University of British Columbia, Vancouver, BC, Canada; The University of British Columbia, Vancouver, BC, Canada; Department of Physics, Simon Fraser University, Burnaby, BC, Canada</t>
  </si>
  <si>
    <t>McFadden, Ryan M.L., TRIUMF, Vancouver, BC, Canada, Department of Physics and Astronomy, University of Victoria, Victoria, BC, Canada; Asaduzzaman, Md, TRIUMF, Vancouver, BC, Canada, Department of Physics and Astronomy, University of Victoria, Victoria, BC, Canada; Buck, Terry J., Department of Physics and Astronomy, The University of British Columbia, Vancouver, BC, Canada; Cortie, David Laurence, Department of Physics and Astronomy, The University of British Columbia, Vancouver, BC, Canada, The University of British Columbia, Vancouver, BC, Canada, The University of British Columbia, Vancouver, BC, Canada; Dehn, Martin H., Department of Physics and Astronomy, The University of British Columbia, Vancouver, BC, Canada, The University of British Columbia, Vancouver, BC, Canada; Dunsiger, Sarah R., TRIUMF, Vancouver, BC, Canada, Department of Physics, Simon Fraser University, Burnaby, BC, Canada; Kiefl, Robert F., TRIUMF, Vancouver, BC, Canada, Department of Physics and Astronomy, The University of British Columbia, Vancouver, BC, Canada, The University of British Columbia, Vancouver, BC, Canada; Laxdal, Robert Edward, TRIUMF, Vancouver, BC, Canada, Department of Physics and Astronomy, University of Victoria, Victoria, BC, Canada; Levy, C. D.Philip, TRIUMF, Vancouver, BC, Canada; MacFarlane, Andrew W., TRIUMF, Vancouver, BC, Canada, The University of British Columbia, Vancouver, BC, Canada, The University of British Columbia, Vancouver, BC, Canada; Morris, Gerald D., TRIUMF, Vancouver, BC, Canada; Pearson, Matthew R., TRIUMF, Vancouver, BC, Canada; Thoeng, Edward, TRIUMF, Vancouver, BC, Canada, Department of Physics and Astronomy, The University of British Columbia, Vancouver, BC, Canada; Junginger, Tobias, TRIUMF, Vancouver, BC, Canada, Department of Physics and Astronomy, University of Victoria, Victoria, BC, Canada</t>
  </si>
  <si>
    <t>R.M.L. McFadden; TRIUMF, Vancouver, 4004 Wesbrook Mall, V6T 2A3, Canada; email: rmlm@triumf.ca</t>
  </si>
  <si>
    <t>American Institute of Physics Inc.</t>
  </si>
  <si>
    <t>0883182955; 0883184419; 0883184133</t>
  </si>
  <si>
    <t>JAPIA</t>
  </si>
  <si>
    <t>J Appl Phys</t>
  </si>
  <si>
    <t>2-s2.0-85175564558</t>
  </si>
  <si>
    <t>Monaghan, J.; Jaeger, A.; Jai, J.K.; Tomlin, H.; Atkinson, J.; Brown, T.M.; Gill, C.; Krogh, E.T.</t>
  </si>
  <si>
    <t>Monaghan, Joseph (57200685539); Jaeger, Angelina (57325648700); Jai, Joshua K. (57569434100); Tomlin, Haley (57225000766); Atkinson, Jamieson B. (57463759700); Brown, Tanya M. (35336009100); Gill, Christopher G. (57212485188); Krogh, Erik T. (8259327900)</t>
  </si>
  <si>
    <t>57200685539; 57325648700; 57569434100; 57225000766; 57463759700; 35336009100; 57212485188; 8259327900</t>
  </si>
  <si>
    <t>Automated, High-Throughput Analysis of Tire-Derived p-Phenylenediamine Quinones (PPDQs) in Water by Online Membrane Sampling Coupled to MS/MS</t>
  </si>
  <si>
    <t>ACS ES and T Water</t>
  </si>
  <si>
    <t>10.1021/acsestwater.3c00275</t>
  </si>
  <si>
    <t>https://www.scopus.com/inward/record.uri?eid=2-s2.0-85173141779&amp;doi=10.1021%2Facsestwater.3c00275&amp;partnerID=40&amp;md5=c5093948e9ba05691a0756b715fb8e8a</t>
  </si>
  <si>
    <t>Chemistry, Vancouver Island University, Nanaimo, BC, Canada; University of Victoria, Victoria, BC, Canada; British Columbia Conservation Foundation, Nanaimo, BC, Canada; Pacific Science Enterprise Centre, West Vancouver, BC, Canada; School of Resource and Environmental Management, Simon Fraser University, Burnaby, BC, Canada; Simon Fraser University, Burnaby, BC, Canada; Department of Occupational and Environmental Health, University of Washington, Seattle, WA, United States</t>
  </si>
  <si>
    <t>Monaghan, Joseph, Chemistry, Vancouver Island University, Nanaimo, BC, Canada, University of Victoria, Victoria, BC, Canada; Jaeger, Angelina, Chemistry, Vancouver Island University, Nanaimo, BC, Canada; Jai, Joshua K., Chemistry, Vancouver Island University, Nanaimo, BC, Canada; Tomlin, Haley, British Columbia Conservation Foundation, Nanaimo, BC, Canada; Atkinson, Jamieson B., British Columbia Conservation Foundation, Nanaimo, BC, Canada; Brown, Tanya M., Pacific Science Enterprise Centre, West Vancouver, BC, Canada, School of Resource and Environmental Management, Simon Fraser University, Burnaby, BC, Canada; Gill, Christopher G., Chemistry, Vancouver Island University, Nanaimo, BC, Canada, University of Victoria, Victoria, BC, Canada, Simon Fraser University, Burnaby, BC, Canada, Department of Occupational and Environmental Health, University of Washington, Seattle, WA, United States; Krogh, Erik T., Chemistry, Vancouver Island University, Nanaimo, BC, Canada, University of Victoria, Victoria, BC, Canada</t>
  </si>
  <si>
    <t>C.G. Gill; Applied Environmental Research Laboratories, Chemistry, Vancouver Island University, Nanaimo, 900 Fifth Street, V9R 5S5, Canada; email: Chris.Gill@viu.ca; E.T. Krogh; Applied Environmental Research Laboratories, Chemistry, Vancouver Island University, Nanaimo, 900 Fifth Street, V9R 5S5, Canada; email: Erik.Krogh@viu.ca</t>
  </si>
  <si>
    <t>ACS. EST.</t>
  </si>
  <si>
    <t>2-s2.0-85173141779</t>
  </si>
  <si>
    <t>Balazadeh Meresht, N.; Moghadasi, S.; Munshi, S.; Shahbakhti, M.; McTaggart-Cowan, G.</t>
  </si>
  <si>
    <t>Balazadeh Meresht, Navid (57201269567); Moghadasi, Sina (57211266267); Munshi, Sandeep R. (7005735960); Shahbakhti, Mahdi (16302791000); McTaggart-Cowan, Gordon Patrick (8724944600)</t>
  </si>
  <si>
    <t>57201269567; 57211266267; 7005735960; 16302791000; 8724944600</t>
  </si>
  <si>
    <t>Advances in Vehicle and Powertrain Efficiency of Long-Haul Commercial Vehicles: A Review</t>
  </si>
  <si>
    <t>Energies</t>
  </si>
  <si>
    <t>10.3390/en16196809</t>
  </si>
  <si>
    <t>https://www.scopus.com/inward/record.uri?eid=2-s2.0-85174027756&amp;doi=10.3390%2Fen16196809&amp;partnerID=40&amp;md5=51e6ae88f082d6e02304613b188a11b3</t>
  </si>
  <si>
    <t>School of Sustainable Energy Engineering, Simon Fraser University, Burnaby, BC, Canada; University of Alberta, Edmonton, AB, Canada; Westport Fuel Systems Inc, Vancouver, BC, Canada</t>
  </si>
  <si>
    <t>Balazadeh Meresht, Navid, School of Sustainable Energy Engineering, Simon Fraser University, Burnaby, BC, Canada; Moghadasi, Sina, University of Alberta, Edmonton, AB, Canada; Munshi, Sandeep R., Westport Fuel Systems Inc, Vancouver, BC, Canada; Shahbakhti, Mahdi, University of Alberta, Edmonton, AB, Canada; McTaggart-Cowan, Gordon Patrick, School of Sustainable Energy Engineering, Simon Fraser University, Burnaby, BC, Canada</t>
  </si>
  <si>
    <t>G. McTaggart-Cowan; School of Sustainable Energy Engineering, Simon Fraser University, Surrey, V3T ON1, Canada; email: gmctagga@sfu.ca</t>
  </si>
  <si>
    <t>2-s2.0-85174027756</t>
  </si>
  <si>
    <t>Ibn-Mohammed, T.; Mustapha, K.B.; Abdulkareem, M.; Fuensanta, A.U.; Pecunia, V.; Dancer, C.E.J.</t>
  </si>
  <si>
    <t>Ibn-Mohammed, Taofeeq (55775317100); Mustapha, Khameel B. (57193308502); Abdulkareem, Musa (57224272798); Fuensanta, Aitana Ucles (58640258500); Pecunia, Vincenzo (36017327500); Dancer, Claire E.J. (25639769200)</t>
  </si>
  <si>
    <t>55775317100; 57193308502; 57224272798; 58640258500; 36017327500; 25639769200</t>
  </si>
  <si>
    <t>Toward artificial intelligence and machine learning-enabled frameworks for improved predictions of lifecycle environmental impacts of functional materials and devices</t>
  </si>
  <si>
    <t>MRS Communications</t>
  </si>
  <si>
    <t>10.1557/s43579-023-00480-w</t>
  </si>
  <si>
    <t>https://www.scopus.com/inward/record.uri?eid=2-s2.0-85173732783&amp;doi=10.1557%2Fs43579-023-00480-w&amp;partnerID=40&amp;md5=ef90ac2fddf7f864a0ccb9bfed6799e1</t>
  </si>
  <si>
    <t>University of Warwick, Coventry, West Midlands, United Kingdom; Department of Mechanics, The University of Nottingham Malaysia Campus, Semenyih, Selangor, Malaysia; Barts and The London School of Medicine and Dentistry, London, United Kingdom; School of Sustainable Energy Engineering, Simon Fraser University, Burnaby, BC, Canada</t>
  </si>
  <si>
    <t>Ibn-Mohammed, Taofeeq, University of Warwick, Coventry, West Midlands, United Kingdom; Mustapha, Khameel B., Department of Mechanics, The University of Nottingham Malaysia Campus, Semenyih, Selangor, Malaysia; Abdulkareem, Musa, Barts and The London School of Medicine and Dentistry, London, United Kingdom; Fuensanta, Aitana Ucles, University of Warwick, Coventry, West Midlands, United Kingdom; Pecunia, Vincenzo, School of Sustainable Energy Engineering, Simon Fraser University, Burnaby, BC, Canada; Dancer, Claire E.J., University of Warwick, Coventry, West Midlands, United Kingdom</t>
  </si>
  <si>
    <t>T. Ibn-Mohammed; WMG, The University of Warwick, Coventry, CV4 7AL, United Kingdom; email: t.ibn-mohammed@warwick.ac.uk</t>
  </si>
  <si>
    <t>MRS Commun.</t>
  </si>
  <si>
    <t>2-s2.0-85173732783</t>
  </si>
  <si>
    <t>Kim, T.-H.; Moeinnia, H.; Kim, W.S.</t>
  </si>
  <si>
    <t>Kim, Tae Ho (56168759700); Moeinnia, Hadi (57219054459); Kim, Woo Soo (17136903100)</t>
  </si>
  <si>
    <t>56168759700; 57219054459; 17136903100</t>
  </si>
  <si>
    <t>Materials and Design</t>
  </si>
  <si>
    <t>10.1016/j.matdes.2023.112332</t>
  </si>
  <si>
    <t>https://www.scopus.com/inward/record.uri?eid=2-s2.0-85171616777&amp;doi=10.1016%2Fj.matdes.2023.112332&amp;partnerID=40&amp;md5=5ae8b294057c553df29f22c4cef219a3</t>
  </si>
  <si>
    <t>Kim, Tae Ho, Additive Manufacturing Laboratory, Simon Fraser University, Burnaby, BC, Canada; Moeinnia, Hadi, Additive Manufacturing Laboratory, Simon Fraser University, Burnaby, BC, Canada; Kim, Woo Soo, Additive Manufacturing Laboratory, Simon Fraser University, Burnaby, BC, Canada</t>
  </si>
  <si>
    <t>W.S. Kim; Additive Manufacturing Laboratory, School of Mechatronic Systems Engineering, Simon Fraser University, Surrey, Canada; email: woosook@sfu.ca</t>
  </si>
  <si>
    <t>Mater. Des.</t>
  </si>
  <si>
    <t>2-s2.0-85171616777</t>
  </si>
  <si>
    <t>Aftab, S.; Abbas, A.; Iqbal, M.Z.; Hussain, S.; Kabir, F.; Akman, E.; Xu, F.; Hegazy, H.H.</t>
  </si>
  <si>
    <t>Aftab, Sikandar (57200114034); Abbas, Aumber (57210095246); Iqbal, Muhammad Zahir (59594047700); Hussain, Sajjad Z. (56435246200); Kabir, Fahmid (57204906651); Akman, Erdi (56304768400); Xu, Fan (57222171955); Hegazy, Hosameldin Helmy (6603894858)</t>
  </si>
  <si>
    <t>57200114034; 57210095246; 59594047700; 56435246200; 57204906651; 56304768400; 57222171955; 6603894858</t>
  </si>
  <si>
    <t>TrAC - Trends in Analytical Chemistry</t>
  </si>
  <si>
    <t>10.1016/j.trac.2023.117223</t>
  </si>
  <si>
    <t>https://www.scopus.com/inward/record.uri?eid=2-s2.0-85168408007&amp;doi=10.1016%2Fj.trac.2023.117223&amp;partnerID=40&amp;md5=18e7bc00766e095fc0a3d61f81d4915f</t>
  </si>
  <si>
    <t>Department of Intelligent Mechatronics Engineering, Sejong University, Seoul, South Korea; Songshan Lake Materials Laboratory, Dongguan, Guangdong, China; ZENTECH Research Laboratory, Ghulam Ishaq Khan Institute of Engineering Sciences and Technology, Topi, Khyber Pakhtunkhwa, Pakistan; Department of Nanotechnology and Advanced Materials Engineering, Sejong University, Seoul, South Korea; School of Engineering Science, Simon Fraser University, Burnaby, BC, Canada; Scientific and Technological Research &amp; Application Center, Karamanoğlu Mehmetbey Üniversitesi, Karaman, Karaman, Turkey; Ltd., Shenzhen, Guangdong, China; Department of Physics, King Khalid University, Abha, Asir, Saudi Arabia; King Khalid University, Abha, Asir, Saudi Arabia</t>
  </si>
  <si>
    <t>Aftab, Sikandar, Department of Intelligent Mechatronics Engineering, Sejong University, Seoul, South Korea; Abbas, Aumber, Songshan Lake Materials Laboratory, Dongguan, Guangdong, China; Iqbal, Muhammad Zahir, ZENTECH Research Laboratory, Ghulam Ishaq Khan Institute of Engineering Sciences and Technology, Topi, Khyber Pakhtunkhwa, Pakistan; Hussain, Sajjad Z., Department of Nanotechnology and Advanced Materials Engineering, Sejong University, Seoul, South Korea; Kabir, Fahmid, School of Engineering Science, Simon Fraser University, Burnaby, BC, Canada; Akman, Erdi, Scientific and Technological Research &amp; Application Center, Karamanoğlu Mehmetbey Üniversitesi, Karaman, Karaman, Turkey; Xu, Fan, Ltd., Shenzhen, Guangdong, China; Hegazy, Hosameldin Helmy, Department of Physics, King Khalid University, Abha, Asir, Saudi Arabia, King Khalid University, Abha, Asir, Saudi Arabia</t>
  </si>
  <si>
    <t>S. Aftab; Department of Intelligent Mechatronics Engineering, Sejong University, Seoul, 05006, South Korea; email: physics.sikandar@gmail.com</t>
  </si>
  <si>
    <t>TTAED</t>
  </si>
  <si>
    <t>TrAC Trends Anal. Chem.</t>
  </si>
  <si>
    <t>2-s2.0-85168408007</t>
  </si>
  <si>
    <t>Pecunia, V.; Silva, S.R.P.; Phillips, J.D.; Artegiani, E.; Romeo, A.; Shim, H.; Park, J.; Kim, J.H.; Yun, J.S.; Welch, G.C.; Larson, B.W.; Creran, M.; Laventure, A.; Sasitharan, K.; Flores-Díaz, N.; Freitag, M.; Xu, J.; Brown, T.M.; Li, B.; Wang, Y.; Li, Z.; Hou, B.; Hamadani, B.H.; Defay, E.; Kovacova, V.; Glinšek, S.; Kar-Narayan, S.; Bai, Y.; Kim, D.B.; Cho, Y.S.; Žukauskaitė, A.; Barth, S.; Fan, F.R.; Wu, W.; Costa, P.; del Campo, J.; Lanceros-Mendez, S.; Khanbareh, H.; Wang, Z.L.; Pu, X.; Pan, C.; Zhang, R.; Xu, J.; Zhao, X.; Zhou, Y.; Chen, G.; Tat, T.; Ock, I.W.; Chen, J.; Graham, S.A.; Yu, J.S.; Huang, L.-Z.; Li, D.-D.; Ma, M.-G.; Luo, J.; Jiang, F.; Lee, P.S.; Dudem, B.; Vivekananthan, V.; Kanatzidis, M.G.; Xie, H.; Shi, X.-L.; Chen, Z.-G.; Riss, A.; Parzer, M.; Garmroudi, F.; Bauer, E.; Zavanelli, D.; Brod, M.K.; Al Malki, M.A.; Snyder, G.J.; Kovnir, K.; Kauzlarich, S.M.; Uher, C.; Lan, J.; Lin, Y.-H.; Fonseca, L.; Morata, A.; Martin-Gonzalez, M.; Pennelli, G.; Berthebaud, D.; Mori, T.; Quinn, R.J.; Bos, J.G.; Candolfi, C.; Gougeon, P.; Gall, P.; Lenoir, B.; Venkateshvaran, D.; Kaestner, B.; Zhao, Y.; Zhang, G.; Nonoguchi, Y.; Schroeder, B.C.; Bilotti, E.; Menon, A.K.; Urban, J.J.; Fenwick, O.; Asker, C.; Talin, A.A.</t>
  </si>
  <si>
    <t>Pecunia, Vincenzo (36017327500); Silva, S. Ravi P. (7203043276); Phillips, Jamie D. (7404582496); Artegiani, Elisa (57191348127); Romeo, Alessandro (58138480300); Shim, Hongjae (57192209517); Park, Jongsung (56918806300); Kim, Jinhyeok (55453169100); Yun, Jae-Sung (55832742300); Welch, Gregory Charles (12041090100); Larson, Bryon W. (36773189100); Creran, Myles (58535531600); Laventure, Audrey (55383011400); Sasitharan, Kezia (57195677221); Flores-Díaz, Natalie (57201473809); Freitag, Marina (36463418100); Xu, Jie (57212042971); Brown, Thomas M. (56447631100); Li, Benxuan (57208771142); Wang, Yiwen (59855615100); Li, Zhe (57189902521); Hou, Bo (55642219000); Hamadani, Behrang H. (6507764848); Defay, Emmanuel (14046735700); Kovacova, Veronika (55571109000); Glinšek, Sebastjan (17434167500); Kar-Narayan, Sohini (25631060300); Bai, Yang (59607678400); Kim, Da Bin (57199860969); Cho, Yong Soo (14828535700); Žukauskaitė, Agnė (36175284100); Barth, Stephan (56043298400); Fan, Feng Ru (57226692672); Wu, Wenzhuo (35106384100); Costa, P. Filipe Ribeiro (56335530700); del Campo, Francisco Javier (58067163600); Lanceros-Mendez, Senentxu (57211501457); Khanbareh, Hamideh (24080849200); Wang, Zhong Lin (56430045300); Pu, Xiong (56532311000); Pan, Caofeng (8976786800); Zhang, Renyun (59849824300); Xu, Jing (59051250200); Zhao, Xun (57216909561); Zhou, Yihao (57211925344); Chen, Guorui (57216042917); Tat, Trinny (57219476083); Ock, Il Woo (56313153700); Chen, Jun (57837247800); Graham, Sontyana Adonijah (57207243824); Yu, Jae Su (13607137200); Huang, Lingzhi (59816436300); Li, Dandan (59284102700); Ma, Ming Guo (59868408100); Luo, J. K. (8389079800); Jiang, Feng (57196082995); Lee, Pooi See (7406117427); Dudem, Bhaskar (56509565000); Vivekananthan, Venkateswaran (57193266678); Kanatzidis, Mercouri G. (35392448100); Xie, Hongyao (56193548100); Shi, Xiaolei (57195547608); Chen, Zhigang (57188708630); Riss, Alexander (8664614200); Parzer, Michael (57457146300); Garmroudi, Fabian (57218712021); Bauer, Ernst (57198009404); Zavanelli, Duncan (57435926900); Brod, Madison K. (57219744253); Al Malki, Muath (57190383635); Snyder, Gerald Jeffrey (35547214000); Kovnir, K. A. (55882620400); Kauzlarich, Susan M. (7006232158); Uher, Ctirad (7005831713); Lan, Jinle (26031483100); Lin, Yuan Hua (59045784400); Fonseca, Luis (57205120606); Morata, Alex (8323905300); Martin-Gonzalez, Marisol Soledad (7003937804); Pennelli, Giovanni (6603933710); Berthebaud, David (16644550500); Mori, Takao (55560924100); Quinn, Robert J. (57209231603); Bos, Jan Willem G. (12799772000); Candolfi, Christophe (25624601500); Gougeon, Patrick (7005780077); Gall, Philippe (11439224200); Lenoir, Bertrand (57203026145); Venkateshvaran, Deepak (25229425600); Kaestner, Bernd (8282463200); Zhao, Yunshan (59795284400); Zhang, Gang (59285805300); Nonoguchi, Yoshiyuki (20433884600); Schroeder, Bob C. (37116115600); Bilotti, Emiliano (23011558200); Menon, Akanksha K. (57102776100); Urban, Jeffrey J. (7202366328); Fenwick, Oliver (8644567300); Asker, Ceyla (58535456800); Talin, Albert Alec (57136554400)</t>
  </si>
  <si>
    <t>36017327500; 7203043276; 7404582496; 57191348127; 58138480300; 57192209517; 56918806300; 55453169100; 55832742300; 12041090100; 36773189100; 58535531600; 55383011400; 57195677221; 57201473809; 36463418100; 57212042971; 56447631100; 57208771142; 59855615100; 57189902521; 55642219000; 6507764848; 14046735700; 55571109000; 17434167500; 25631060300; 59607678400; 57199860969; 14828535700; 36175284100; 56043298400; 57226692672; 35106384100; 56335530700; 58067163600; 57211501457; 24080849200; 56430045300; 56532311000; 8976786800; 59849824300; 59051250200; 57216909561; 57211925344; 57216042917; 57219476083; 56313153700; 57837247800; 57207243824; 13607137200; 59816436300; 59284102700; 59868408100; 8389079800; 57196082995; 7406117427; 56509565000; 57193266678; 35392448100; 56193548100; 57195547608; 57188708630; 8664614200; 57457146300; 57218712021; 57198009404; 57435926900; 57219744253; 57190383635; 35547214000; 55882620400; 7006232158; 7005831713; 26031483100; 59045784400; 57205120606; 8323905300; 7003937804; 6603933710; 16644550500; 55560924100; 57209231603; 12799772000; 25624601500; 7005780077; 11439224200; 57203026145; 25229425600; 8282463200; 59795284400; 59285805300; 20433884600; 37116115600; 23011558200; 57102776100; 7202366328; 8644567300; 58535456800; 57136554400</t>
  </si>
  <si>
    <t>Roadmap on energy harvesting materials</t>
  </si>
  <si>
    <t>JPhys Materials</t>
  </si>
  <si>
    <t>10.1088/2515-7639/acc550</t>
  </si>
  <si>
    <t>https://www.scopus.com/inward/record.uri?eid=2-s2.0-85167708123&amp;doi=10.1088%2F2515-7639%2Facc550&amp;partnerID=40&amp;md5=e5694e34525039171892fb33c4d7fafd</t>
  </si>
  <si>
    <t>School of Sustainable Energy Engineering, Simon Fraser University, Burnaby, BC, Canada; Department of Electrical and Electronic Engineering, University of Surrey, Guildford, Surrey, United Kingdom; Department of Electrical &amp; Computer Engineering, University of Delaware, Newark, DE, United States; Department of Computer Science, Università degli Studi di Verona, Verona, VR, Italy; School of Photovoltaic and Renewable Energy Engineering, UNSW Sydney, Sydney, NSW, Australia; Department of Energy Engineering, Gyeongsang National University, Jinju, Gyeongsangnam-do, South Korea; Department of Materials Science and Engineering, Chonnam National University, Gwangju, South Korea; University of Calgary, Calgary, AB, Canada; National Renewable Energy Laboratory, Golden, CO, United States; Department of Chemistry, University of Montreal, Montreal, QC, Canada; Bedson Building, Newcastle University, Newcastle, Tyne and Wear, United Kingdom; Department of Electronics Engineering, Università degli Studi di Roma "Tor Vergata", Rome, RM, Italy; Institute of Microscale Optoelectronics, International Collaborative Laboratory of 2D Materials for Optoelectronics Science and Technology, Shenzhen, Guangdong, China; Electrical Engineering Division, Cambridge, Cambridgeshire, United Kingdom; Queen Mary University of London, London, United Kingdom; Cardiff University, Cardiff, South Glamorgan, Wales, United Kingdom; National Institute of Standards and Technology, Gaithersburg, MD, United States; Materials Research and Technology Department, Luxembourg Institute of Science and Technology, Esch-sur-Alzette, Esch-sur-Alzette, Luxembourg; Department of Materials Science and Metallurgy, University of Cambridge, Cambridge, Cambridgeshire, United Kingdom; Microelectronics Research Unit, Oulun Yliopisto, Oulu, North Ostrobothnia, Finland; Department of Materials Science and Engineering, Yonsei University, Seoul, South Korea; Fraunhofer-Institut Für Organische Elektronik, Elektronenstrahl- Und Plasmatechnik, Dresden, Sachsen, Germany; College of Chemistry and Chemical Engineering, Xiamen University, Xiamen, Fujian, China; Edwardson School of Industrial Engineering, West Lafayette, IN, United States; Universidade do Minho, Braga, Braga, Portugal; Laboratory of Physics for Materials and Emergent Technologies, Universidade do Minho, Braga, Braga, Portugal; Applications and Nanostructures, BCMaterials - Basque Center for Materials, Applications and Nanostructures, Leioa, Biscay, Spain</t>
  </si>
  <si>
    <t xml:space="preserve">Pecunia, Vincenzo, School of Sustainable Energy Engineering, Simon Fraser University, Burnaby, BC, Canada; Silva, S. Ravi P., Department of Electrical and Electronic Engineering, University of Surrey, Guildford, Surrey, United Kingdom; Phillips, Jamie D., Department of Electrical &amp; Computer Engineering, University of Delaware, Newark, DE, United States; Artegiani, Elisa, Department of Computer Science, Università degli Studi di Verona, Verona, VR, Italy; Romeo, Alessandro, Department of Computer Science, Università degli Studi di Verona, Verona, VR, Italy; Shim, Hongjae, School of Photovoltaic and Renewable Energy Engineering, UNSW Sydney, Sydney, NSW, Australia; Park, Jongsung, Department of Energy Engineering, Gyeongsang National University, Jinju, Gyeongsangnam-do, South Korea; Kim, Jinhyeok, Department of Materials Science and Engineering, Chonnam National University, Gwangju, South Korea; Yun, Jae-Sung, Department of Electrical and Electronic Engineering, University of Surrey, Guildford, Surrey, United Kingdom; Welch, Gregory Charles, University of Calgary, Calgary, AB, Canada; Larson, Bryon W., National Renewable Energy Laboratory, Golden, CO, United States; Creran, Myles, Department of Chemistry, University of Montreal, Montreal, QC, Canada; Laventure, Audrey, Department of Chemistry, University of Montreal, Montreal, QC, Canada; Sasitharan, Kezia, Bedson Building, Newcastle University, Newcastle, Tyne and Wear, United Kingdom; Flores-Díaz, Natalie, Bedson Building, Newcastle University, Newcastle, Tyne and Wear, United Kingdom; Freitag, Marina, Bedson Building, Newcastle University, Newcastle, Tyne and Wear, United Kingdom; Xu, Jie, Department of Electronics Engineering, Università degli Studi di Roma "Tor Vergata", Rome, RM, Italy; Brown, Thomas M., Department of Electronics Engineering, Università degli Studi di Roma "Tor Vergata", Rome, RM, Italy; Li, Benxuan, Institute of Microscale Optoelectronics, International Collaborative Laboratory of 2D Materials for Optoelectronics Science and Technology, Shenzhen, Guangdong, China, Electrical Engineering Division, Cambridge, Cambridgeshire, United Kingdom; Wang, Yiwen, Queen Mary University of London, London, United Kingdom; Li, Zhe, Queen Mary University of London, London, United Kingdom; Hou, Bo, Cardiff University, Cardiff, South Glamorgan, Wales, United Kingdom; Hamadani, Behrang H., National Institute of Standards and Technology, Gaithersburg, MD, United States; Defay, Emmanuel, Materials Research and Technology Department, Luxembourg Institute of Science and Technology, Esch-sur-Alzette, Esch-sur-Alzette, Luxembourg; Kovacova, Veronika, Materials Research and Technology Department, Luxembourg Institute of Science and Technology, Esch-sur-Alzette, Esch-sur-Alzette, Luxembourg; Glinšek, Sebastjan, Materials Research and Technology Department, Luxembourg Institute of Science and Technology, Esch-sur-Alzette, Esch-sur-Alzette, Luxembourg; Kar-Narayan, Sohini, Department of Materials Science and Metallurgy, University of Cambridge, Cambridge, Cambridgeshire, United Kingdom; Bai, Yang, Microelectronics Research Unit, Oulun Yliopisto, Oulu, North Ostrobothnia, Finland; Kim, Da Bin, Department of Materials Science and Engineering, Yonsei University, Seoul, South Korea; Cho, Yong Soo, Department of Materials Science and Engineering, Yonsei University, Seoul, South Korea; Žukauskaitė, Agnė, Fraunhofer-Institut Für Organische Elektronik, Elektronenstrahl- Und Plasmatechnik, Dresden, Sachsen, Germany, ; Barth, Stephan, Fraunhofer-Institut Für Organische Elektronik, Elektronenstrahl- Und Plasmatechnik, Dresden, Sachsen, Germany; Fan, Feng Ru, College of Chemistry and Chemical Engineering, Xiamen University, Xiamen, Fujian, China; Wu, Wenzhuo, Edwardson School of Industrial Engineering, West Lafayette, IN, United States; Costa, P. Filipe Ribeiro, Universidade do Minho, Braga, Braga, Portugal, Laboratory of Physics for Materials and Emergent Technologies, Universidade do Minho, Braga, Braga, Portugal; del Campo, Francisco Javier, Applications and Nanostructures, BCMaterials - Basque Center for Materials, Applications and Nanostructures, Leioa, Biscay, Spain, ; Lanceros-Mendez, Senentxu, Universidade do Minho, Braga, Braga, Portugal, Laboratory of Physics for Materials and Emergent Technologies, Universidade do Minho, Braga, Braga, Portugal, Applications and Nanostructures, BCMaterials - Basque Center for Materials, Applications and Nanostructures, Leioa, Biscay, Spain, ; Khanbareh, Hamideh, ; Wang, Zhong Lin, ; Pu, Xiong, ; Pan, Caofeng, ; Zhang, Renyun, ; Xu, Jing, ; Zhao, Xun, ; Zhou, Yihao, ; Chen, Guorui, ; Tat, Trinny, ; Ock, Il Woo, ; Chen, Jun, ; Graham, Sontyana Adonijah, ; Yu, Jae Su, ; Huang, Lingzhi, ; Li, Dandan, ; Ma, Ming Guo, ; Luo, J. K., ; Jiang, Feng, ; Lee, Pooi See, ; Dudem, Bhaskar, Department of Electrical and Electronic Engineering, University of Surrey, Guildford, Surrey, United Kingdom; Vivekananthan, Venkateswaran, Department of Electrical and Electronic Engineering, University of Surrey, Guildford, Surrey, United Kingdom, ; Kanatzidis, Mercouri G., ; Xie, Hongyao, ; Shi, Xiaolei, ; Chen, Zhigang, ; Riss, Alexander, ; Parzer, Michael, ; Garmroudi, Fabian, ; Bauer, Ernst, ; Zavanelli, Duncan, ; Brod, Madison K., ; Al Malki, Muath, ; Snyder, Gerald Jeffrey, ; Kovnir, K. A., , ; Kauzlarich, Susan M., ; Uher, Ctirad, ; Lan, Jinle, ; Lin, Yuan Hua, ; Fonseca, Luis, ; Morata, Alex, ; Martin-Gonzalez, Marisol Soledad, ; Pennelli, Giovanni, ; Berthebaud, David, ; Mori, Takao, , ; Quinn, Robert J., ; Bos, Jan Willem G., ; Candolfi, Christophe, ; Gougeon, Patrick, ; Gall, Philippe, ; Lenoir, Bertrand, ; Venkateshvaran, Deepak, ; Kaestner, Bernd, ; Zhao, Yunshan, ; Zhang, Gang, ; Nonoguchi, Yoshiyuki, ; Schroeder, Bob C., ; Bilotti, Emiliano, ; Menon, Akanksha K., ; Urban, Jeffrey J., ; Fenwick, Oliver, ; Asker, Ceyla, ; Talin, Albert Alec, </t>
  </si>
  <si>
    <t>V. Pecunia; School of Sustainable Energy Engineering, Simon Fraser University, Surrey, V3T 0N1 BC, Canada; email: vincenzo_pecunia@sfu.ca; S.R.P. Silva; Advanced Technology Institute, Department of Electrical and Electronic Engineering, University of Surrey, Surrey, Guildford, GU2 7XH, United Kingdom; email: sk568@cam.ac.uk; S. Kar-Narayan; Department of Materials Science and Metallurgy, University of Cambridge, Cambridge, 27 Charles Babbage Road, CB3 0FS, United Kingdom; email: s.silva@surrey.ac.uk</t>
  </si>
  <si>
    <t>JPhys mater.</t>
  </si>
  <si>
    <t>2-s2.0-85167708123</t>
  </si>
  <si>
    <t>Aftab, S.; Shehzad, M.A.; Salman Ajmal, H.M.; Kabir, F.; Iqbal, M.Z.; Al-Kahtani, A.A.</t>
  </si>
  <si>
    <t>Aftab, Sikandar (57200114034); Shehzad, Muhammad Arslan (56199002300); Salman Ajmal, Hafiz Muhammad (57203278009); Kabir, Fahmid (57204906651); Iqbal, Muhammad Zahir (59594047700); Al-Kahtani, Abdullah A.S. (6602956099)</t>
  </si>
  <si>
    <t>57200114034; 56199002300; 57203278009; 57204906651; 59594047700; 6602956099</t>
  </si>
  <si>
    <t>Bulk Photovoltaic Effect in Two-Dimensional Distorted MoTe2</t>
  </si>
  <si>
    <t>ACS Nano</t>
  </si>
  <si>
    <t>10.1021/acsnano.3c03593</t>
  </si>
  <si>
    <t>https://www.scopus.com/inward/record.uri?eid=2-s2.0-85171730544&amp;doi=10.1021%2Facsnano.3c03593&amp;partnerID=40&amp;md5=00a04ecd1725aa43bb6886c1fbb851c4</t>
  </si>
  <si>
    <t>Department of Intelligent Mechatronics Engineering, Sejong University, Seoul, South Korea; Northwestern University, Evanston, IL, United States; Department of Biomedical Engineering, University of Engineering and Technology, Lahore, Lahore, Punjab, Pakistan; School of Engineering Science, Simon Fraser University, Burnaby, BC, Canada; Nanotechnology Research Laboratory, Ghulam Ishaq Khan Institute of Engineering Sciences and Technology, Topi, Khyber Pakhtunkhwa, Pakistan; Department of Chemistry, King Saud University, Riyadh, Riyad, Saudi Arabia</t>
  </si>
  <si>
    <t>Aftab, Sikandar, Department of Intelligent Mechatronics Engineering, Sejong University, Seoul, South Korea; Shehzad, Muhammad Arslan, Northwestern University, Evanston, IL, United States; Salman Ajmal, Hafiz Muhammad, Department of Biomedical Engineering, University of Engineering and Technology, Lahore, Lahore, Punjab, Pakistan; Kabir, Fahmid, School of Engineering Science, Simon Fraser University, Burnaby, BC, Canada; Iqbal, Muhammad Zahir, Nanotechnology Research Laboratory, Ghulam Ishaq Khan Institute of Engineering Sciences and Technology, Topi, Khyber Pakhtunkhwa, Pakistan; Al-Kahtani, Abdullah A.S., Department of Chemistry, King Saud University, Riyadh, Riyad, Saudi Arabia</t>
  </si>
  <si>
    <t>S. Aftab; Department of Intelligent Mechatronics Engineering, Sejong University, Seoul, 05006, South Korea; email: aftab@sejong.ac.kr</t>
  </si>
  <si>
    <t>2-s2.0-85171730544</t>
  </si>
  <si>
    <t>Faridi, S.; Allen, R.W.; Brook, R.D.; Yousefian, F.; Hassanvand, M.S.; Carlsten, C.</t>
  </si>
  <si>
    <t>Faridi, Sasan (55746129900); Allen, Ryan W. (8866069700); Brook, Robert D. (57217110374); Yousefian, Fatemeh (57117946900); Hassanvand, Mohammad Sadegh (35085056400); Carlsten, Christopher R. (6602448695)</t>
  </si>
  <si>
    <t>55746129900; 8866069700; 57217110374; 57117946900; 35085056400; 6602448695</t>
  </si>
  <si>
    <t>An updated systematic review and meta-analysis on portable air cleaners and blood pressure: Recommendations for users and manufacturers</t>
  </si>
  <si>
    <t>Ecotoxicology and Environmental Safety</t>
  </si>
  <si>
    <t>10.1016/j.ecoenv.2023.115227</t>
  </si>
  <si>
    <t>https://www.scopus.com/inward/record.uri?eid=2-s2.0-85164332036&amp;doi=10.1016%2Fj.ecoenv.2023.115227&amp;partnerID=40&amp;md5=09a86a4e1913959b328979d79fbc67d2</t>
  </si>
  <si>
    <t>Tehran University of Medical Sciences, Tehran, Tehran, Iran; Department of Environmental Health Engineering, School of Public Health, Tehran, Tehran, Iran; Simon Fraser University, Burnaby, BC, Canada; Wayne State University, Detroit, MI, United States; Department of Environmental Health Engineering, Kashan University of Medical Sciences, Kashan, Isfahan, Iran; Vancouver Coastal Health Research Institute, Vancouver, BC, Canada</t>
  </si>
  <si>
    <t>Faridi, Sasan, Tehran University of Medical Sciences, Tehran, Tehran, Iran, Department of Environmental Health Engineering, School of Public Health, Tehran, Tehran, Iran; Allen, Ryan W., Simon Fraser University, Burnaby, BC, Canada; Brook, Robert D., Wayne State University, Detroit, MI, United States; Yousefian, Fatemeh, Department of Environmental Health Engineering, Kashan University of Medical Sciences, Kashan, Isfahan, Iran; Hassanvand, Mohammad Sadegh, Tehran University of Medical Sciences, Tehran, Tehran, Iran, Department of Environmental Health Engineering, School of Public Health, Tehran, Tehran, Iran; Carlsten, Christopher R., Vancouver Coastal Health Research Institute, Vancouver, BC, Canada</t>
  </si>
  <si>
    <t>S. Faridi; Center for Air Pollution Research (CAPR), Institute for Environmental Research (IER), Tehran University of Medical Sciences, Tehran, Iran; email: sfaridi@sina.tums.ac.ir; C. Carlsten; Air Pollution Exposure Lab and Legacy for Airway Health, Vancouver Coastal Health Research Institute and University of British Columbia, Vancouver, Canada; email: christopher.carlsten@ubc.ca</t>
  </si>
  <si>
    <t>Academic Press</t>
  </si>
  <si>
    <t>EESAD</t>
  </si>
  <si>
    <t>Ecotoxicol. Environ. Saf.</t>
  </si>
  <si>
    <t>2-s2.0-85164332036</t>
  </si>
  <si>
    <t>Siqueira, P.R.; Souza, J.P.; Venturini, F.P.; Carmo, T.L.L.; Azevedo, V.C.; Estevão, B.M.; Bonomo, M.M.; Santos, F.A.; Zucolotto, V.; Fernandes, M.N.</t>
  </si>
  <si>
    <t>Siqueira, Priscila Rodrigues (57202077669); Souza, J. P. (55945855200); Venturini, Francine Perri (24478153500); Carmo, Talita Laurie Lustosa Do (57202074319); Azevedo, Vinicius Cavicchioli (56007286400); Estevão, Bianca Martins (55179454400); Bonomo, Marina Marques (55763297800); Santos, Fabricio Aparecido Dos (57192161908); Zucolotto, Valtencir (6603128143); Fernandes, Marisa Narciso (7202947778)</t>
  </si>
  <si>
    <t>57202077669; 55945855200; 24478153500; 57202074319; 56007286400; 55179454400; 55763297800; 57192161908; 6603128143; 7202947778</t>
  </si>
  <si>
    <t>Aquatic Toxicology</t>
  </si>
  <si>
    <t>10.1016/j.aquatox.2023.106640</t>
  </si>
  <si>
    <t>https://www.scopus.com/inward/record.uri?eid=2-s2.0-85167777875&amp;doi=10.1016%2Fj.aquatox.2023.106640&amp;partnerID=40&amp;md5=b5393196a18a8c0a8e1634c2f851f987</t>
  </si>
  <si>
    <t>Physiological Sciences Department, Universidade Federal de São Carlos, Sao Carlos, SP, Brazil; Laboratório Nacional de Nanotecnologia, Campinas, SP, Brazil; Universidade de São Paulo, Sao Paulo, SP, Brazil; Department of Biology, The University of Scranton, Scranton, PA, United States; Department of Biological Sciences, Simon Fraser University, Burnaby, BC, Canada</t>
  </si>
  <si>
    <t>Siqueira, Priscila Rodrigues, Physiological Sciences Department, Universidade Federal de São Carlos, Sao Carlos, SP, Brazil, Laboratório Nacional de Nanotecnologia, Campinas, SP, Brazil; Souza, J. P., Universidade de São Paulo, Sao Paulo, SP, Brazil; Venturini, Francine Perri, Universidade de São Paulo, Sao Paulo, SP, Brazil; Carmo, Talita Laurie Lustosa Do, Department of Biology, The University of Scranton, Scranton, PA, United States; Azevedo, Vinicius Cavicchioli, Department of Biological Sciences, Simon Fraser University, Burnaby, BC, Canada; Estevão, Bianca Martins, Universidade de São Paulo, Sao Paulo, SP, Brazil; Bonomo, Marina Marques, Physiological Sciences Department, Universidade Federal de São Carlos, Sao Carlos, SP, Brazil; Santos, Fabricio Aparecido Dos, Universidade de São Paulo, Sao Paulo, SP, Brazil; Zucolotto, Valtencir, Universidade de São Paulo, Sao Paulo, SP, Brazil; Fernandes, Marisa Narciso, Physiological Sciences Department, Universidade Federal de São Carlos, Sao Carlos, SP, Brazil</t>
  </si>
  <si>
    <t>P.R. Siqueira; Postgraduate Program in Ecology and Natural Resources, Physiological Sciences Department, Federal University of São Carlos, Rod. Washington Luiz Km 235, São Carlos, São Paulo, 13565-905, Brazil; email: priscila.siqueira@lnnano.cnpem.br</t>
  </si>
  <si>
    <t>0166445X</t>
  </si>
  <si>
    <t>AQTOD</t>
  </si>
  <si>
    <t>Aquat. Toxicol.</t>
  </si>
  <si>
    <t>2-s2.0-85167777875</t>
  </si>
  <si>
    <t>Su, H.; Moeinnia, H.; Kim, W.S.</t>
  </si>
  <si>
    <t>Su, Haotian (57441274400); Moeinnia, Hadi (57219054459); Kim, Woo Soo (17136903100)</t>
  </si>
  <si>
    <t>57441274400; 57219054459; 17136903100</t>
  </si>
  <si>
    <t>Advanced Sensor Research</t>
  </si>
  <si>
    <t>10.1002/adsr.202300003</t>
  </si>
  <si>
    <t>https://www.scopus.com/inward/record.uri?eid=2-s2.0-105022054053&amp;doi=10.1002%2Fadsr.202300003&amp;partnerID=40&amp;md5=788ea6aee89d9d030af826ee9747ff0c</t>
  </si>
  <si>
    <t>School of Mechatronic Systems Engineering, Simon Fraser University, Burnaby, BC, Canada; Simon Fraser University, Burnaby, BC, Canada</t>
  </si>
  <si>
    <t>Su, Haotian, School of Mechatronic Systems Engineering, Simon Fraser University, Burnaby, BC, Canada; Moeinnia, Hadi, School of Mechatronic Systems Engineering, Simon Fraser University, Burnaby, BC, Canada; Kim, Woo Soo, School of Mechatronic Systems Engineering, Simon Fraser University, Burnaby, BC, Canada, Simon Fraser University, Burnaby, BC, Canada</t>
  </si>
  <si>
    <t>Wiley-VCH Verlag</t>
  </si>
  <si>
    <t>Adv. Sensor Res.</t>
  </si>
  <si>
    <t>2-s2.0-105022054053</t>
  </si>
  <si>
    <t>A 3D-Printed Computer</t>
  </si>
  <si>
    <t>Advanced Intelligent Systems</t>
  </si>
  <si>
    <t>10.1002/aisy.202300015</t>
  </si>
  <si>
    <t>https://www.scopus.com/inward/record.uri?eid=2-s2.0-85168397087&amp;doi=10.1002%2Faisy.202300015&amp;partnerID=40&amp;md5=137a316c3de95900e6150c8d287c4792</t>
  </si>
  <si>
    <t>B. Bahreyni; Faculty of Applied Sciences, Simon Fraser University, Surrey, MSE 4176, 250-13450 102nd Ave, V3T 0A3, Canada; email: bba19@sfu.ca</t>
  </si>
  <si>
    <t>Adv. Intell. Syst.</t>
  </si>
  <si>
    <t>2-s2.0-85168397087</t>
  </si>
  <si>
    <t>Li, R.; Lassen, J.; Levy, C.D.P.; Roman, M.; Teigelhöfer, A.; Karner, V.; Morris, G.D.; Stachura, M.; Gottberg, A.</t>
  </si>
  <si>
    <t>Li, Ruohong (57192062269); Lassen, Jens (23094920500); Levy, C. D.Philip (7202219233); Roman, Mathias (58288422200); Teigelhöfer, Andrea (26533334000); Karner, Victoria L. (56659803900); Morris, Gerald D. (57223622664); Stachura, Monika (25928115100); Gottberg, Alexander (55802243400)</t>
  </si>
  <si>
    <t>57192062269; 23094920500; 7202219233; 58288422200; 26533334000; 56659803900; 57223622664; 25928115100; 55802243400</t>
  </si>
  <si>
    <t>Recent upgrades and developments at TRIUMF's laser nuclear-spin-polarization facility</t>
  </si>
  <si>
    <t>Nuclear Instruments and Methods in Physics Research, Section B: Beam Interactions with Materials and Atoms</t>
  </si>
  <si>
    <t>10.1016/j.nimb.2023.05.041</t>
  </si>
  <si>
    <t>https://www.scopus.com/inward/record.uri?eid=2-s2.0-85160204492&amp;doi=10.1016%2Fj.nimb.2023.05.041&amp;partnerID=40&amp;md5=4e32c6929f8d4c73b946a50c3068b97c</t>
  </si>
  <si>
    <t>TRIUMF, Vancouver, BC, Canada; Department of Physics, University of Windsor, Windsor, ON, Canada; Department of Physics and Astronomy, Saint Mary's University, Halifax, NS, Canada; Department of Physics and Astronomy, University of Manitoba, Winnipeg, MB, Canada; Department of Physics, Simon Fraser University, Burnaby, BC, Canada; Department of Physics, University of Ottawa, Ottawa, ON, Canada; Department of Physics and Astronomy, University of Victoria, Victoria, BC, Canada</t>
  </si>
  <si>
    <t>Li, Ruohong, TRIUMF, Vancouver, BC, Canada, Department of Physics, University of Windsor, Windsor, ON, Canada, Department of Physics and Astronomy, Saint Mary's University, Halifax, NS, Canada; Lassen, Jens, TRIUMF, Vancouver, BC, Canada, Department of Physics and Astronomy, University of Manitoba, Winnipeg, MB, Canada, Department of Physics, Simon Fraser University, Burnaby, BC, Canada; Levy, C. D.Philip, TRIUMF, Vancouver, BC, Canada; Roman, Mathias, TRIUMF, Vancouver, BC, Canada, Department of Physics, University of Ottawa, Ottawa, ON, Canada; Teigelhöfer, Andrea, TRIUMF, Vancouver, BC, Canada; Karner, Victoria L., TRIUMF, Vancouver, BC, Canada; Morris, Gerald D., TRIUMF, Vancouver, BC, Canada; Stachura, Monika, TRIUMF, Vancouver, BC, Canada, Department of Physics, Simon Fraser University, Burnaby, BC, Canada; Gottberg, Alexander, TRIUMF, Vancouver, BC, Canada, Department of Physics and Astronomy, University of Victoria, Victoria, BC, Canada</t>
  </si>
  <si>
    <t>R. Li; TRIUMF, Vancouver, BC, V6T 2A3, Canada; email: ruohong@triumf.ca</t>
  </si>
  <si>
    <t>0168583X</t>
  </si>
  <si>
    <t>NIMBE</t>
  </si>
  <si>
    <t>Nucl Instrum Methods Phys Res Sect B</t>
  </si>
  <si>
    <t>2-s2.0-85160204492</t>
  </si>
  <si>
    <t>Kunz, P.; Lassen, J.; Andreoiu, C.; Garcia, F.H.; Yang, H.; Radchenko, V.</t>
  </si>
  <si>
    <t>Kunz, Peter (57196575920); Lassen, Jens (23094920500); Andreoiu, Corina A. (7003934114); Garcia, Fatima H. (57195902689); Yang, Hua (56019802000); Radchenko, Valery I. (57740320900)</t>
  </si>
  <si>
    <t>57196575920; 23094920500; 7003934114; 57195902689; 56019802000; 57740320900</t>
  </si>
  <si>
    <t>Understanding radioactive ion beam production at ISAC through yield measurements and simulations</t>
  </si>
  <si>
    <t>10.1016/j.nimb.2023.05.012</t>
  </si>
  <si>
    <t>https://www.scopus.com/inward/record.uri?eid=2-s2.0-85159604897&amp;doi=10.1016%2Fj.nimb.2023.05.012&amp;partnerID=40&amp;md5=d7f88529c3e86ef05578885a9802b5bb</t>
  </si>
  <si>
    <t>TRIUMF, Vancouver, BC, Canada; Simon Fraser University, Burnaby, BC, Canada; Department of Physics, Simon Fraser University, Burnaby, BC, Canada; Physics Division, Lawrence Berkeley National Laboratory, Berkeley, CA, United States; The University of British Columbia, Vancouver, BC, Canada</t>
  </si>
  <si>
    <t>Kunz, Peter, TRIUMF, Vancouver, BC, Canada, Simon Fraser University, Burnaby, BC, Canada; Lassen, Jens, TRIUMF, Vancouver, BC, Canada, Department of Physics, Simon Fraser University, Burnaby, BC, Canada; Andreoiu, Corina A., Simon Fraser University, Burnaby, BC, Canada; Garcia, Fatima H., Physics Division, Lawrence Berkeley National Laboratory, Berkeley, CA, United States; Yang, Hua, TRIUMF, Vancouver, BC, Canada, Simon Fraser University, Burnaby, BC, Canada; Radchenko, Valery I., TRIUMF, Vancouver, BC, Canada, The University of British Columbia, Vancouver, BC, Canada</t>
  </si>
  <si>
    <t>P. Kunz; TRIUMF, Vancouver BC, 4004 Wesbrook Mall, V6T 2A3, Canada; email: pkunz@triumf.ca</t>
  </si>
  <si>
    <t>2-s2.0-85159604897</t>
  </si>
  <si>
    <t>Özdemir, H.U.; Mishra, V.; Lee-Hone, N.R.; Kong, X.; Berlijn, T.; Broun, D.M.; Hirschfeld, P.J.</t>
  </si>
  <si>
    <t>Özdemir, H. U. (57219543216); Mishra, Vivek (7102563593); Lee-Hone, Nicholas R. (36998669900); Kong, Xiangru (57193686562); Berlijn, Tom (36130987400); Broun, David M. (54790524900); Hirschfeld, Peter J. (7003875246)</t>
  </si>
  <si>
    <t>57219543216; 7102563593; 36998669900; 57193686562; 36130987400; 54790524900; 7003875246</t>
  </si>
  <si>
    <t>Comment on "anisotropic Scattering Caused by Apical Oxygen Vacancies in Thin Films of Overdoped High-Temperature Cuprate Superconductors"</t>
  </si>
  <si>
    <t>Physical Review Letters</t>
  </si>
  <si>
    <t>10.1103/PhysRevLett.131.049701</t>
  </si>
  <si>
    <t>https://www.scopus.com/inward/record.uri?eid=2-s2.0-85166973725&amp;doi=10.1103%2FPhysRevLett.131.049701&amp;partnerID=40&amp;md5=938eb91642c5c34f00b88b109b09e9a9</t>
  </si>
  <si>
    <t>Department of Physics, Simon Fraser University, Burnaby, BC, Canada; Kavli Institute for Theoretical Sciences, University of Chinese Academy of Sciences, Beijing, China; Center for Nanophase Materials Sciences, Oak Ridge National Laboratory, Oak Ridge, TN, United States; College of Liberal Arts and Sciences, Gainesville, FL, United States</t>
  </si>
  <si>
    <t>Özdemir, H. U., Department of Physics, Simon Fraser University, Burnaby, BC, Canada; Mishra, Vivek, Kavli Institute for Theoretical Sciences, University of Chinese Academy of Sciences, Beijing, China; Lee-Hone, Nicholas R., Department of Physics, Simon Fraser University, Burnaby, BC, Canada; Kong, Xiangru, Center for Nanophase Materials Sciences, Oak Ridge National Laboratory, Oak Ridge, TN, United States; Berlijn, Tom, Center for Nanophase Materials Sciences, Oak Ridge National Laboratory, Oak Ridge, TN, United States; Broun, David M., Department of Physics, Simon Fraser University, Burnaby, BC, Canada; Hirschfeld, Peter J., College of Liberal Arts and Sciences, Gainesville, FL, United States</t>
  </si>
  <si>
    <t>PRLTA</t>
  </si>
  <si>
    <t>Phys Rev Lett</t>
  </si>
  <si>
    <t>Note</t>
  </si>
  <si>
    <t>2-s2.0-85166973725</t>
  </si>
  <si>
    <t>Ghanbari, H.; Abnavi, A.; Hasani, A.; Kabir, F.; Ahmadi, R.; Mohammadzadeh, M.R.; Fawzy, M.; de Silva, T.; Adachi, M.M.</t>
  </si>
  <si>
    <t>Ghanbari, Hamidreza (57576416100); Abnavi, Amin (57194502466); Hasani, Amirhossein (56501775400); Kabir, Fahmid (57204906651); Ahmadi, Ribwar (57278170200); Mohammadzadeh, Mohammad Reza (60202275600); Fawzy, Mirette (57223906642); de Silva, Thushani (57287468800); Adachi, Michael M. (16432591400)</t>
  </si>
  <si>
    <t>57576416100; 57194502466; 56501775400; 57204906651; 57278170200; 60202275600; 57223906642; 57287468800; 16432591400</t>
  </si>
  <si>
    <t>Multilayer WSe2/ZnO heterojunctions for self-powered, broadband, and high-speed photodetectors</t>
  </si>
  <si>
    <t>10.1088/1361-6528/acca8b</t>
  </si>
  <si>
    <t>https://www.scopus.com/inward/record.uri?eid=2-s2.0-85157975605&amp;doi=10.1088%2F1361-6528%2Facca8b&amp;partnerID=40&amp;md5=bab9582c71885f5fe0fa39d729737d55</t>
  </si>
  <si>
    <t>School of Engineering Science, Simon Fraser University, Burnaby, BC, Canada; Department of Physics, Simon Fraser University, Burnaby, BC, Canada</t>
  </si>
  <si>
    <t>Ghanbari, Hamidreza, School of Engineering Science, Simon Fraser University, Burnaby, BC, Canada; Abnavi, Amin, School of Engineering Science, Simon Fraser University, Burnaby, BC, Canada; Hasani, Amirhossein, School of Engineering Science, Simon Fraser University, Burnaby, BC, Canada; Kabir, Fahmid, School of Engineering Science, Simon Fraser University, Burnaby, BC, Canada; Ahmadi, Ribwar, School of Engineering Science, Simon Fraser University, Burnaby, BC, Canada; Mohammadzadeh, Mohammad Reza, School of Engineering Science, Simon Fraser University, Burnaby, BC, Canada; Fawzy, Mirette, Department of Physics, Simon Fraser University, Burnaby, BC, Canada; de Silva, Thushani, School of Engineering Science, Simon Fraser University, Burnaby, BC, Canada; Adachi, Michael M., School of Engineering Science, Simon Fraser University, Burnaby, BC, Canada</t>
  </si>
  <si>
    <t>A. Abnavi; School of Engineering Science, Simon Fraser University, Burnaby, 8888 University Drive, V5A 1S6, Canada; email: Amin_Abnavi@sfu.ca</t>
  </si>
  <si>
    <t>2-s2.0-85157975605</t>
  </si>
  <si>
    <t>Simran; Kaake, L.G.</t>
  </si>
  <si>
    <t>Simran (58186090900); Kaake, Loren G. (16679060400)</t>
  </si>
  <si>
    <t>58186090900; 16679060400</t>
  </si>
  <si>
    <t>Journal of Supercritical Fluids</t>
  </si>
  <si>
    <t>10.1016/j.supflu.2023.105939</t>
  </si>
  <si>
    <t>https://www.scopus.com/inward/record.uri?eid=2-s2.0-85152684747&amp;doi=10.1016%2Fj.supflu.2023.105939&amp;partnerID=40&amp;md5=b899155ef11a5c85c0a4814194cd585f</t>
  </si>
  <si>
    <t>Simran, null, Simon Fraser University, Burnaby, BC, Canada; Kaake, Loren G., Simon Fraser University, Burnaby, BC, Canada</t>
  </si>
  <si>
    <t>L.G. Kaake; Department of Chemistry, Simon Fraser University, Burnaby, 8888 University Dr., V5A 1S6, Canada; email: lkaake@sfu.ca</t>
  </si>
  <si>
    <t>JSFLE</t>
  </si>
  <si>
    <t>J. Supercritical Fluids</t>
  </si>
  <si>
    <t>2-s2.0-85152684747</t>
  </si>
  <si>
    <t>Aftab, S.; Hegazy, H.H.; Kabir, F.</t>
  </si>
  <si>
    <t>Aftab, Sikandar (57200114034); Hegazy, Hosameldin Helmy (6603894858); Kabir, Fahmid (57204906651)</t>
  </si>
  <si>
    <t>57200114034; 6603894858; 57204906651</t>
  </si>
  <si>
    <t>Advanced Materials Technologies</t>
  </si>
  <si>
    <t>10.1002/admt.202201897</t>
  </si>
  <si>
    <t>https://www.scopus.com/inward/record.uri?eid=2-s2.0-85148344591&amp;doi=10.1002%2Fadmt.202201897&amp;partnerID=40&amp;md5=6ebadd09d89203119596ed95c232c9c3</t>
  </si>
  <si>
    <t>Department of Intelligent Mechatronics Engineering, Sejong University, Seoul, South Korea; King Khalid University, Abha, Asir, Saudi Arabia; Department of Physics, King Khalid University, Abha, Asir, Saudi Arabia; School of Engineering Science, Simon Fraser University, Burnaby, BC, Canada</t>
  </si>
  <si>
    <t>Aftab, Sikandar, Department of Intelligent Mechatronics Engineering, Sejong University, Seoul, South Korea; Hegazy, Hosameldin Helmy, King Khalid University, Abha, Asir, Saudi Arabia, Department of Physics, King Khalid University, Abha, Asir, Saudi Arabia; Kabir, Fahmid, School of Engineering Science, Simon Fraser University, Burnaby, BC, Canada</t>
  </si>
  <si>
    <t>Adv. Mater. Technol.</t>
  </si>
  <si>
    <t>2-s2.0-85148344591</t>
  </si>
  <si>
    <t>Zhao, K.; Wang, L.; Jiang, P.; Sun, X.; Feng, Y.; Zheng, Y.</t>
  </si>
  <si>
    <t>Zhao, Kaikai (57215871469); Wang, Lei (24330432600); Jiang, Pengfei (55522905700); Sun, Xiaodong (57221083128); Feng, Yanjun (55361241900); Zheng, Yangfa (56185986900)</t>
  </si>
  <si>
    <t>57215871469; 24330432600; 55522905700; 57221083128; 55361241900; 56185986900</t>
  </si>
  <si>
    <t>Three-dimensional numerical simulation of hydraulic fracture spatial steering; 水力压裂裂缝空间转向特征三维数值模拟研究</t>
  </si>
  <si>
    <t>Journal of Mining and Strata Control Engineering</t>
  </si>
  <si>
    <t>10.13532/j.jmsce.cn10-1638/td.2023.03.004</t>
  </si>
  <si>
    <t>https://www.scopus.com/inward/record.uri?eid=2-s2.0-85195472122&amp;doi=10.13532%2Fj.jmsce.cn10-1638%2Ftd.2023.03.004&amp;partnerID=40&amp;md5=0af158a087c625a2573699774f34bf72</t>
  </si>
  <si>
    <t>CCTEG Coal Mining Research Institute, Beijing, Beijing, China; State Key Laboratory of Coal Mining and Clean Utilization, Beijing, Beijing, China; Engineering Geology and Resource Geotechnics Group, Simon Fraser University, Burnaby, BC, Canada; State Key Laboratory of Geomechanics and Geotechnical Engineering, Wuhan Institute of Rock and Soil Mechanics Chinese Academy of Sciences, Wuhan, Hubei, China</t>
  </si>
  <si>
    <t>Zhao, Kaikai, CCTEG Coal Mining Research Institute, Beijing, Beijing, China, State Key Laboratory of Coal Mining and Clean Utilization, Beijing, Beijing, China, Engineering Geology and Resource Geotechnics Group, Simon Fraser University, Burnaby, BC, Canada; Wang, Lei, State Key Laboratory of Geomechanics and Geotechnical Engineering, Wuhan Institute of Rock and Soil Mechanics Chinese Academy of Sciences, Wuhan, Hubei, China; Jiang, Pengfei, CCTEG Coal Mining Research Institute, Beijing, Beijing, China, State Key Laboratory of Coal Mining and Clean Utilization, Beijing, Beijing, China; Sun, Xiaodong, CCTEG Coal Mining Research Institute, Beijing, Beijing, China, State Key Laboratory of Coal Mining and Clean Utilization, Beijing, Beijing, China; Feng, Yanjun, CCTEG Coal Mining Research Institute, Beijing, Beijing, China, State Key Laboratory of Coal Mining and Clean Utilization, Beijing, Beijing, China; Zheng, Yangfa, CCTEG Coal Mining Research Institute, Beijing, Beijing, China, State Key Laboratory of Coal Mining and Clean Utilization, Beijing, Beijing, China</t>
  </si>
  <si>
    <t>Editorial Office of Journal of Mining and Strata Control Engineering</t>
  </si>
  <si>
    <t>Chinese</t>
  </si>
  <si>
    <t>J. Min. Str. Control. Eng.</t>
  </si>
  <si>
    <t>2-s2.0-85195472122</t>
  </si>
  <si>
    <t>Muuli, K.; Sokka, A.; Mooste, M.; Lilloja, J.; Gudkova, V.; Käärik, M.; Otsus, M.; Kikas, A.; Kisand, V.; Tamm, A.; Leis, J.; Krumme, A.; Holdcroft, S.; Zagal, J.H.; Tammeveski, K.</t>
  </si>
  <si>
    <t>Muuli, Kaur (58133733700); Sokka, Andri (57226423225); Mooste, Marek (55756772400); Lilloja, Jaana (57190491180); Gudkova, Viktoria (56433246200); Käärik, Maike (15735143100); Otsus, Markus (57866285700); Kikas, Arvo (6603881774); Kisand, Vambola (7004348077); Tamm, Aile (57188771413); Leis, Jaan (56233840400); Krumme, Andres (6506209326); Holdcroft, Steven J. (7004469945); Zagal, Jose H. (7006164899); Tammeveski, Kaido (6603704456)</t>
  </si>
  <si>
    <t>58133733700; 57226423225; 55756772400; 57190491180; 56433246200; 15735143100; 57866285700; 6603881774; 7004348077; 57188771413; 56233840400; 6506209326; 7004469945; 7006164899; 6603704456</t>
  </si>
  <si>
    <t>Iron and cobalt phthalocyanine embedded electrospun carbon nanofiber-based catalysts for anion exchange membrane fuel cell cathode</t>
  </si>
  <si>
    <t>Journal of Catalysis</t>
  </si>
  <si>
    <t>10.1016/j.jcat.2023.04.008</t>
  </si>
  <si>
    <t>https://www.scopus.com/inward/record.uri?eid=2-s2.0-85153798640&amp;doi=10.1016%2Fj.jcat.2023.04.008&amp;partnerID=40&amp;md5=da08d91242b1c22ae241db0c81e9317b</t>
  </si>
  <si>
    <t>Tartu Ülikooli Keemia Instituut, Tartu, Tartumaa, Estonia; Department of Materials and Environmental Technology, Tallinna Tehnikaülikool, Tallinn, Harjumaa, Estonia; Tartu Ülikooli Füüsika Instituut, Tartu, Tartumaa, Estonia; Simon Fraser University, Burnaby, BC, Canada; Department of Materials Chemistry, Universidad de Santiago de Chile, Santiago, RM, Chile</t>
  </si>
  <si>
    <t>Muuli, Kaur, Tartu Ülikooli Keemia Instituut, Tartu, Tartumaa, Estonia; Sokka, Andri, Tartu Ülikooli Keemia Instituut, Tartu, Tartumaa, Estonia; Mooste, Marek, Tartu Ülikooli Keemia Instituut, Tartu, Tartumaa, Estonia; Lilloja, Jaana, Tartu Ülikooli Keemia Instituut, Tartu, Tartumaa, Estonia; Gudkova, Viktoria, Department of Materials and Environmental Technology, Tallinna Tehnikaülikool, Tallinn, Harjumaa, Estonia; Käärik, Maike, Tartu Ülikooli Keemia Instituut, Tartu, Tartumaa, Estonia; Otsus, Markus, Tartu Ülikooli Füüsika Instituut, Tartu, Tartumaa, Estonia; Kikas, Arvo, Tartu Ülikooli Füüsika Instituut, Tartu, Tartumaa, Estonia; Kisand, Vambola, Tartu Ülikooli Füüsika Instituut, Tartu, Tartumaa, Estonia; Tamm, Aile, Tartu Ülikooli Füüsika Instituut, Tartu, Tartumaa, Estonia; Leis, Jaan, Tartu Ülikooli Keemia Instituut, Tartu, Tartumaa, Estonia; Krumme, Andres, Department of Materials and Environmental Technology, Tallinna Tehnikaülikool, Tallinn, Harjumaa, Estonia; Holdcroft, Steven J., Simon Fraser University, Burnaby, BC, Canada; Zagal, Jose H., Department of Materials Chemistry, Universidad de Santiago de Chile, Santiago, RM, Chile; Tammeveski, Kaido, Tartu Ülikooli Keemia Instituut, Tartu, Tartumaa, Estonia</t>
  </si>
  <si>
    <t>K. Tammeveski; Institute of Chemistry, University of Tartu, Tartu, Ravila 14a, 50411, Estonia; email: kaido.tammeveski@ut.ee</t>
  </si>
  <si>
    <t>Academic Press Inc.</t>
  </si>
  <si>
    <t>JCTLA</t>
  </si>
  <si>
    <t>J. Catal.</t>
  </si>
  <si>
    <t>2-s2.0-85153798640</t>
  </si>
  <si>
    <t>Pinjari, S.; Bera, T.; Kjeang, E.</t>
  </si>
  <si>
    <t>Pinjari, Syedvali (57200221609); Bera, Tapan (57220445204); Kjeang, Erik (16066971400)</t>
  </si>
  <si>
    <t>57200221609; 57220445204; 16066971400</t>
  </si>
  <si>
    <t>Room temperature hydrogen storage enhancement in copper-doped zeolitic imidazolate frameworks with trioctylamine</t>
  </si>
  <si>
    <t>Sustainable Energy and Fuels</t>
  </si>
  <si>
    <t>10.1039/d3se00277b</t>
  </si>
  <si>
    <t>https://www.scopus.com/inward/record.uri?eid=2-s2.0-85163348199&amp;doi=10.1039%2Fd3se00277b&amp;partnerID=40&amp;md5=5bbc08585820680e1f3bbeb900e2ca2b</t>
  </si>
  <si>
    <t>Fuel Cell Research Laboratory, Simon Fraser University, Burnaby, BC, Canada; Alternative Energy, Indian Oil Corporation Limited, New Delhi, India</t>
  </si>
  <si>
    <t>Pinjari, Syedvali, Fuel Cell Research Laboratory, Simon Fraser University, Burnaby, BC, Canada, Alternative Energy, Indian Oil Corporation Limited, New Delhi, India; Bera, Tapan, Alternative Energy, Indian Oil Corporation Limited, New Delhi, India; Kjeang, Erik, Fuel Cell Research Laboratory, Simon Fraser University, Burnaby, BC, Canada</t>
  </si>
  <si>
    <t>E. Kjeang; Fuel Cell Research Laboratory, Simon Fraser University, Surrey, 250-13450 102 Avenue, BC V3T0A3, Canada; email: ekjeang@sfu.ca</t>
  </si>
  <si>
    <t>Sustain. Energy Fuels</t>
  </si>
  <si>
    <t>2-s2.0-85163348199</t>
  </si>
  <si>
    <t>Zang, J.; Wang, J.; Zhang, J.; Zhou, J.; Shi, G.; Feng, X.; Zhang, Y.</t>
  </si>
  <si>
    <t>Zang, Jiajie (57202010045); Wang, Jiacheng R. (55878723400); Zhang, Jianwen (54401835800); Zhou, Jianqiao (57203010121); Shi, Gang (36462894000); Feng, Xin (59068175200); Zhang, Yixin (57217687193)</t>
  </si>
  <si>
    <t>57202010045; 55878723400; 54401835800; 57203010121; 36462894000; 59068175200; 57217687193</t>
  </si>
  <si>
    <t>A power switch open-circuit fault-tolerant scheme using dc current injection for dual active bridge converters in cascaded h-bridge solid-state transformer</t>
  </si>
  <si>
    <t>IET Power Electronics</t>
  </si>
  <si>
    <t>10.1049/pel2.12463</t>
  </si>
  <si>
    <t>https://www.scopus.com/inward/record.uri?eid=2-s2.0-85149481781&amp;doi=10.1049%2Fpel2.12463&amp;partnerID=40&amp;md5=2fec9a2338edca3fac962059fc2dab35</t>
  </si>
  <si>
    <t>School of Electrical and Electronic Engineering, Shanghai University of Engineering Science, Shanghai, Shanghai, China; School of Mechatronic Systems Engineering, Simon Fraser University, Burnaby, BC, Canada; Department of Electrical Engineering, Shanghai Jiao Tong University, Shanghai, China</t>
  </si>
  <si>
    <t>Zang, Jiajie, School of Electrical and Electronic Engineering, Shanghai University of Engineering Science, Shanghai, Shanghai, China, School of Mechatronic Systems Engineering, Simon Fraser University, Burnaby, BC, Canada; Wang, Jiacheng R., School of Mechatronic Systems Engineering, Simon Fraser University, Burnaby, BC, Canada; Zhang, Jianwen, Department of Electrical Engineering, Shanghai Jiao Tong University, Shanghai, China; Zhou, Jianqiao, Department of Electrical Engineering, Shanghai Jiao Tong University, Shanghai, China; Shi, Gang, Department of Electrical Engineering, Shanghai Jiao Tong University, Shanghai, China; Feng, Xin, Department of Electrical Engineering, Shanghai Jiao Tong University, Shanghai, China; Zhang, Yixin, Department of Electrical Engineering, Shanghai Jiao Tong University, Shanghai, China</t>
  </si>
  <si>
    <t>J. Zang; School of Electronic and Electrical Engineering, Shanghai University of Engineering Science, Shanghai, China; email: jza176@sfu.ca</t>
  </si>
  <si>
    <t>IET Power Electron.</t>
  </si>
  <si>
    <t>2-s2.0-85149481781</t>
  </si>
  <si>
    <t>Bowman, G.R.; Cox, S.J.; Dellago, C.; DuBay, K.H.; Eaves, J.D.; Fletcher, D.A.; Frechette, L.B.; Grünwald, M.; Klymko, K.; Ku, J.; Omar, A.K.; Rabani, E.; Reichman, D.R.; Rogers, J.R.; Rosnik, A.M.; Rotskoff, G.M.; Schneider, A.R.; Schwierz, N.; Sivak, D.A.; Vaikuntanathan, S.; Whitelam, S.; Widmer-Cooper, A.</t>
  </si>
  <si>
    <t>Bowman, Gregory R. (24334008700); Cox, Stephen James (55225485500); Dellago, Christoph (7003771728); DuBay, Kateri H. (26659044800); Eaves, Joel D. (6603978327); Fletcher, Daniel A. (7202087947); Frechette, Layne B. (56432690500); Grünwald, Michael (7004569092); Klymko, Katherine E. (54795250000); Ku, Ji-yeon (58131416900); Omar, Ahmad K. (58133649800); Rabani, Eran (7003305034); Reichman, David R. (7003414142); Rogers, Julia R. (57189349830); Rosnik, Andreana M. (56031547600); Rotskoff, Grant M. (55227357600); Schneider, Anna R. (59788634200); Schwierz, Nadine (36053470800); Sivak, David A. (22235855500); Vaikuntanathan, Suriyanarayanan (24282172600); Whitelam, Stephen (12345065800); Widmer-Cooper, Asaph N. (6508002938)</t>
  </si>
  <si>
    <t>24334008700; 55225485500; 7003771728; 26659044800; 6603978327; 7202087947; 56432690500; 7004569092; 54795250000; 58131416900; 58133649800; 7003305034; 7003414142; 57189349830; 56031547600; 55227357600; 59788634200; 36053470800; 22235855500; 24282172600; 12345065800; 6508002938</t>
  </si>
  <si>
    <t>Remembering the Work of Phillip L. Geissler: A Coda to His Scientific Trajectory</t>
  </si>
  <si>
    <t>Annual Review of Physical Chemistry</t>
  </si>
  <si>
    <t>10.1146/annurev-physchem-101422-030127</t>
  </si>
  <si>
    <t>https://www.scopus.com/inward/record.uri?eid=2-s2.0-85153686737&amp;doi=10.1146%2Fannurev-physchem-101422-030127&amp;partnerID=40&amp;md5=0cfb3012d8089f2739ddd64daac971bc</t>
  </si>
  <si>
    <t>Department of Biochemistry and Biophysics, School of Engineering and Applied Science, Philadelphia, PA, United States; Yusuf Hamied Department of Chemistry, University of Cambridge, Cambridge, Cambridgeshire, United Kingdom; Faculty of Physics, Universität Wien, Vienna, Vienna, Austria; Department of Chemistry, University of Virginia, Charlottesville, VA, United States; Department of Chemistry, University of Colorado Boulder, Boulder, CO, United States; Department of Bioengineering and Biophysics Program, University of California, Berkeley, Berkeley, CA, United States; Biological Systems and Engineering Division, Lawrence Berkeley National Laboratory, Berkeley, CA, United States; Chan Zuckerberg Biohub, San Francisco, CA, United States; Brandeis University, Waltham, MA, United States; University of Utah, College Of Science, Salt Lake City, UT, United States; Lawrence Berkeley National Laboratory, Berkeley, CA, United States; R&amp;d Center, Eloi Materials Lab (EML) Co. Ltd., Suwon, South Korea; Materials Science Division, Lawrence Berkeley National Laboratory, Berkeley, CA, United States; Berkeley College of Chemistry, Berkeley, CA, United States; Tel Aviv University, Tel Aviv-Yafo, Tel Aviv District, Israel; Department of Chemistry, Columbia University, New York, NY, United States; Department of Systems Biology, Columbia University, New York, NY, United States; Atomwise, San Francisco, CA, United States; Stanford University, Stanford, CA, United States; Form Energy, Berkeley, CA, United States; Institute of Physics, Universität Augsburg, Augsburg, Bayern, Germany; Department of Physics, Simon Fraser University, Burnaby, BC, Canada; Department of Chemistry, The University of Chicago, Chicago, IL, United States; Molecular Foundry, Lawrence Berkeley National Laboratory, Berkeley, CA, United States; Faculty of Science, Sydney, NSW, Australia</t>
  </si>
  <si>
    <t>Bowman, Gregory R., Department of Biochemistry and Biophysics, School of Engineering and Applied Science, Philadelphia, PA, United States; Cox, Stephen James, Yusuf Hamied Department of Chemistry, University of Cambridge, Cambridge, Cambridgeshire, United Kingdom; Dellago, Christoph, Faculty of Physics, Universität Wien, Vienna, Vienna, Austria; DuBay, Kateri H., Department of Chemistry, University of Virginia, Charlottesville, VA, United States; Eaves, Joel D., Department of Chemistry, University of Colorado Boulder, Boulder, CO, United States; Fletcher, Daniel A., Department of Bioengineering and Biophysics Program, University of California, Berkeley, Berkeley, CA, United States, Biological Systems and Engineering Division, Lawrence Berkeley National Laboratory, Berkeley, CA, United States, Chan Zuckerberg Biohub, San Francisco, CA, United States; Frechette, Layne B., Brandeis University, Waltham, MA, United States; Grünwald, Michael, University of Utah, College Of Science, Salt Lake City, UT, United States; Klymko, Katherine E., Lawrence Berkeley National Laboratory, Berkeley, CA, United States; Ku, Ji-yeon, R&amp;d Center, Eloi Materials Lab (EML) Co. Ltd., Suwon, South Korea; Omar, Ahmad K., Materials Science Division, Lawrence Berkeley National Laboratory, Berkeley, CA, United States; Rabani, Eran, Materials Science Division, Lawrence Berkeley National Laboratory, Berkeley, CA, United States, Berkeley College of Chemistry, Berkeley, CA, United States, Tel Aviv University, Tel Aviv-Yafo, Tel Aviv District, Israel; Reichman, David R., Department of Chemistry, Columbia University, New York, NY, United States; Rogers, Julia R., Department of Systems Biology, Columbia University, New York, NY, United States; Rosnik, Andreana M., Atomwise, San Francisco, CA, United States; Rotskoff, Grant M., Stanford University, Stanford, CA, United States; Schneider, Anna R., Form Energy, Berkeley, CA, United States; Schwierz, Nadine, Institute of Physics, Universität Augsburg, Augsburg, Bayern, Germany; Sivak, David A., Department of Physics, Simon Fraser University, Burnaby, BC, Canada; Vaikuntanathan, Suriyanarayanan, Department of Chemistry, The University of Chicago, Chicago, IL, United States; Whitelam, Stephen, Molecular Foundry, Lawrence Berkeley National Laboratory, Berkeley, CA, United States; Widmer-Cooper, Asaph N., Faculty of Science, Sydney, NSW, Australia</t>
  </si>
  <si>
    <t>Annual Reviews Inc.</t>
  </si>
  <si>
    <t>0066426X</t>
  </si>
  <si>
    <t>0824310586; 9780824310592; 9780824310585; 0824310365</t>
  </si>
  <si>
    <t>ARPLA</t>
  </si>
  <si>
    <t>Annu Rev Phys Chem</t>
  </si>
  <si>
    <t>2-s2.0-85153686737</t>
  </si>
  <si>
    <t>Ma, Z.; Zhou, H.; Zhang, W.</t>
  </si>
  <si>
    <t>Ma, Zehua (57209925050); Zhou, Hang (57192375762); Zhang, Weiming (56459354100)</t>
  </si>
  <si>
    <t>57209925050; 57192375762; 56459354100</t>
  </si>
  <si>
    <t>10.1145/3544548.3581024</t>
  </si>
  <si>
    <t>https://www.scopus.com/inward/record.uri?eid=2-s2.0-85160019235&amp;doi=10.1145%2F3544548.3581024&amp;partnerID=40&amp;md5=3d84661eefc48b3b555a4ef8a94c84ba</t>
  </si>
  <si>
    <t>University of Science and Technology of China, Hefei, Anhui, China; Simon Fraser University, Burnaby, BC, Canada</t>
  </si>
  <si>
    <t>Ma, Zehua, University of Science and Technology of China, Hefei, Anhui, China; Zhou, Hang, Simon Fraser University, Burnaby, BC, Canada; Zhang, Weiming, University of Science and Technology of China, Hefei, Anhui, China</t>
  </si>
  <si>
    <t>H. Zhou; Simon Fraser University, Burnaby, Canada; email: hza162@sfu.ca</t>
  </si>
  <si>
    <t>2-s2.0-85160019235</t>
  </si>
  <si>
    <t>Su, H.; Kim, T.-H.; Moeinnia, H.; Kim, W.S.</t>
  </si>
  <si>
    <t>Su, Haotian (57441274400); Kim, Tae Ho (56168759700); Moeinnia, Hadi (57219054459); Kim, Woo Soo (17136903100)</t>
  </si>
  <si>
    <t>57441274400; 56168759700; 57219054459; 17136903100</t>
  </si>
  <si>
    <t>A 3-D-Printed Portable EMG Wristband for the Quantitative Detection of Finger Motion</t>
  </si>
  <si>
    <t>IEEE Sensors Journal</t>
  </si>
  <si>
    <t>10.1109/JSEN.2023.3247695</t>
  </si>
  <si>
    <t>https://www.scopus.com/inward/record.uri?eid=2-s2.0-85149377221&amp;doi=10.1109%2FJSEN.2023.3247695&amp;partnerID=40&amp;md5=416e8c19a34bc4a4fc68f5bf7bc9d6df</t>
  </si>
  <si>
    <t>Su, Haotian, School of Mechatronic Systems Engineering, Simon Fraser University, Burnaby, BC, Canada; Kim, Tae Ho, School of Mechatronic Systems Engineering, Simon Fraser University, Burnaby, BC, Canada; Moeinnia, Hadi, School of Mechatronic Systems Engineering, Simon Fraser University, Burnaby, BC, Canada; Kim, Woo Soo, School of Mechatronic Systems Engineering, Simon Fraser University, Burnaby, BC, Canada</t>
  </si>
  <si>
    <t>W.S. Kim; Simon Fraser University, Sfu Additive Manufacturing Laboratory, School of Mechatronic Systems Engineering, Surrey, V3T 0N1, Canada; email: woosook@sfu.ca</t>
  </si>
  <si>
    <t>1530437X</t>
  </si>
  <si>
    <t>IEEE Sensors J.</t>
  </si>
  <si>
    <t>2-s2.0-85149377221</t>
  </si>
  <si>
    <t>Adamou, A.; Costall, A.; Turner, J.W.G.; Jones, A.; Copeland, C.D.</t>
  </si>
  <si>
    <t>Adamou, Adamos (57212036829); Costall, Aaron W. (9233686000); Turner, James W.G. (55447567200); Jones, Andy (55317215800); Copeland, Colin D. (36136875400)</t>
  </si>
  <si>
    <t>57212036829; 9233686000; 55447567200; 55317215800; 36136875400</t>
  </si>
  <si>
    <t>Experimental performance and emissions of additively manufactured high-temperature combustion chambers for micro-gas turbines</t>
  </si>
  <si>
    <t>International Journal of Engine Research</t>
  </si>
  <si>
    <t>10.1177/14680874221082636</t>
  </si>
  <si>
    <t>https://www.scopus.com/inward/record.uri?eid=2-s2.0-85126061375&amp;doi=10.1177%2F14680874221082636&amp;partnerID=40&amp;md5=823266ce09e41898824a94ff5420f95e</t>
  </si>
  <si>
    <t>Institute for Advanced Automotive Propulsion Systems, Bristol, United Kingdom; HiETA Technologies Ltd, Bristol, United Kingdom; School of Sustainable Energy Engineering, Simon Fraser University, Burnaby, BC, Canada</t>
  </si>
  <si>
    <t>Adamou, Adamos, Institute for Advanced Automotive Propulsion Systems, Bristol, United Kingdom; Costall, Aaron W., Institute for Advanced Automotive Propulsion Systems, Bristol, United Kingdom; Turner, James W.G., Institute for Advanced Automotive Propulsion Systems, Bristol, United Kingdom; Jones, Andy, HiETA Technologies Ltd, Bristol, United Kingdom; Copeland, Colin D., School of Sustainable Energy Engineering, Simon Fraser University, Burnaby, BC, Canada</t>
  </si>
  <si>
    <t>A. Adamou; Institute for Advanced Automotive Propulsion Systems (IAAPS), University of Bath, Bath, United Kingdom; email: a.adamou@bath.ac.uk</t>
  </si>
  <si>
    <t>Int. J. Engine Res.</t>
  </si>
  <si>
    <t>2-s2.0-85126061375</t>
  </si>
  <si>
    <t>Bao, C.; Moeinnia, H.; Kim, T.-H.; Lee, W.; Kim, W.S.</t>
  </si>
  <si>
    <t>Bao, Chao (56612844400); Moeinnia, Hadi (57219054459); Kim, Tae Ho (56168759700); Lee, Wonchul (57264775600); Kim, Woo Soo (17136903100)</t>
  </si>
  <si>
    <t>56612844400; 57219054459; 56168759700; 57264775600; 17136903100</t>
  </si>
  <si>
    <t>3D Structural Electronics Via Multi-Directional Robot 3D Printing</t>
  </si>
  <si>
    <t>10.1002/admt.202201349</t>
  </si>
  <si>
    <t>https://www.scopus.com/inward/record.uri?eid=2-s2.0-85143515417&amp;doi=10.1002%2Fadmt.202201349&amp;partnerID=40&amp;md5=1a7686f047d6c202aada2fc16a3083bc</t>
  </si>
  <si>
    <t>Bao, Chao, School of Mechatronic Systems Engineering, Simon Fraser University, Burnaby, BC, Canada; Moeinnia, Hadi, School of Mechatronic Systems Engineering, Simon Fraser University, Burnaby, BC, Canada; Kim, Tae Ho, School of Mechatronic Systems Engineering, Simon Fraser University, Burnaby, BC, Canada; Lee, Wonchul, School of Mechatronic Systems Engineering, Simon Fraser University, Burnaby, BC, Canada; Kim, Woo Soo, School of Mechatronic Systems Engineering, Simon Fraser University, Burnaby, BC, Canada</t>
  </si>
  <si>
    <t>C. Bao; School of Mechatronic Systems Engineering, Simon Fraser University, Surrey, V3T 0A3, Canada; email: chaob@sfu.ca; H. Moeinnia; School of Mechatronic Systems Engineering, Simon Fraser University, Surrey, V3T 0A3, Canada; email: hadi_moeinnia@sfu.ca; W.S. Kim; School of Mechatronic Systems Engineering, Simon Fraser University, Surrey, V3T 0A3, Canada; email: woosook@sfu.ca</t>
  </si>
  <si>
    <t>2-s2.0-85143515417</t>
  </si>
  <si>
    <t>Degenstein, L.M.; McQueen, R.H.; Krogman, N.T.; McNeill, L.S.</t>
  </si>
  <si>
    <t>Degenstein, Lauren M. (57215690303); McQueen, Rachel H. (7006600291); Krogman, Naomi T. (6603284951); McNeill, Lisa S. (35220318900)</t>
  </si>
  <si>
    <t>57215690303; 7006600291; 6603284951; 35220318900</t>
  </si>
  <si>
    <t>Integrating Product Stewardship into the Clothing and Textile Industry: Perspectives of New Zealand Stakeholders</t>
  </si>
  <si>
    <t>Sustainability (Switzerland)</t>
  </si>
  <si>
    <t>10.3390/su15054250</t>
  </si>
  <si>
    <t>https://www.scopus.com/inward/record.uri?eid=2-s2.0-85149995557&amp;doi=10.3390%2Fsu15054250&amp;partnerID=40&amp;md5=722889c3efbe72187abe17a0169346b7</t>
  </si>
  <si>
    <t>Davey Textile Solutions, Edmonton, AB, Canada; Department of Human Ecology, University of Alberta, Edmonton, AB, Canada; Faculty of Environment, Simon Fraser University, Burnaby, BC, Canada; Department of Marketing, Otago Business School, Dunedin, OTA, New Zealand</t>
  </si>
  <si>
    <t>Degenstein, Lauren M., Davey Textile Solutions, Edmonton, AB, Canada; McQueen, Rachel H., Department of Human Ecology, University of Alberta, Edmonton, AB, Canada; Krogman, Naomi T., Faculty of Environment, Simon Fraser University, Burnaby, BC, Canada; McNeill, Lisa S., Department of Marketing, Otago Business School, Dunedin, OTA, New Zealand</t>
  </si>
  <si>
    <t>R.H. McQueen; Department of Human Ecology, University of Alberta, Edmonton, T6G 2N1, Canada; email: rachel.mcqueen@ualberta.ca</t>
  </si>
  <si>
    <t>MDPI</t>
  </si>
  <si>
    <t>Sustainability</t>
  </si>
  <si>
    <t>2-s2.0-85149995557</t>
  </si>
  <si>
    <t>Kalhori, A.H.; Kim, T.; Kim, W.S.</t>
  </si>
  <si>
    <t>Kalhori, Amirhossein Hassanpoor (57986000400); Kim, Taeil (57205700445); Kim, Woo Soo (17136903100)</t>
  </si>
  <si>
    <t>57986000400; 57205700445; 17136903100</t>
  </si>
  <si>
    <t>10.1088/2058-8585/acb722</t>
  </si>
  <si>
    <t>https://www.scopus.com/inward/record.uri?eid=2-s2.0-85148870432&amp;doi=10.1088%2F2058-8585%2Facb722&amp;partnerID=40&amp;md5=ef153efc7c13e44b37cd4831f8ade745</t>
  </si>
  <si>
    <t>Kalhori, Amirhossein Hassanpoor, Additive Manufacturing Laboratory, Simon Fraser University, Burnaby, BC, Canada; Kim, Taeil, Additive Manufacturing Laboratory, Simon Fraser University, Burnaby, BC, Canada; Kim, Woo Soo, Additive Manufacturing Laboratory, Simon Fraser University, Burnaby, BC, Canada</t>
  </si>
  <si>
    <t>2-s2.0-85148870432</t>
  </si>
  <si>
    <t>Gilbert, W.; Tanttu, T.; Lim, W.H.; Feng, M.K.; Huang, J.Y.; Cifuentes, J.D.; Serrano, S.; Mai, P.Y.; Leon, R.C.C.; Escott, C.C.; Itoh, K.M.; Abrosimov, N.V.; Pohl, H.-J.; Thewalt, M.L.W.; Hudson, F.E.; Morello, A.; Laucht, A.; Yang, C.H.; Saraiva, A.; Dzurak, A.S.</t>
  </si>
  <si>
    <t>Gilbert, Will (57212149896); Tanttu, Tuomo (55446775700); Lim, Weehan (26637045100); Feng, Mengke (57217336415); Huang, Jonathan Yue (57219790228); Cifuentes, Jesús D. (57226893320); Serrano, Santiago (57425351400); Mai, Philip Y. (57425640300); Leon, Ross C.C. (56405191800); Escott, Christopher C. (6504198132); Itoh, Kohei M. (59944295500); Abrosimov, Nikolay V. (7006393260); Pohl, Hans Joachim (7102592505); Thewalt, Michael L.W. (7006609975); Hudson, Fay E. (8625632100); Morello, Andrea (7005087193); Laucht, Arne (18536478200); Yang, C. H. (57208200900); Saraiva, Andre L. (8598462500); Dzurak, Andrew S. (7004650676)</t>
  </si>
  <si>
    <t>57212149896; 55446775700; 26637045100; 57217336415; 57219790228; 57226893320; 57425351400; 57425640300; 56405191800; 6504198132; 59944295500; 7006393260; 7102592505; 7006609975; 8625632100; 7005087193; 18536478200; 57208200900; 8598462500; 7004650676</t>
  </si>
  <si>
    <t>On-demand electrical control of spin qubits</t>
  </si>
  <si>
    <t>Nature Nanotechnology</t>
  </si>
  <si>
    <t>10.1038/s41565-022-01280-4</t>
  </si>
  <si>
    <t>https://www.scopus.com/inward/record.uri?eid=2-s2.0-85146168792&amp;doi=10.1038%2Fs41565-022-01280-4&amp;partnerID=40&amp;md5=ae3ea80070406b7f383f2ca6e451d10d</t>
  </si>
  <si>
    <t>University of New South Wales, School of Electrical Engineering and Telecommunications, Sydney, NSW, Australia; Diraq, Sydney, NSW, Australia; Keio University, Tokyo, Japan; Leibniz-Institut für Kristallzüchtung, Berlin, Germany; VITCON Projectconsult GmbH, Jena, Germany; Department of Physics, Simon Fraser University, Burnaby, BC, Canada</t>
  </si>
  <si>
    <t>Gilbert, Will, University of New South Wales, School of Electrical Engineering and Telecommunications, Sydney, NSW, Australia, Diraq, Sydney, NSW, Australia; Tanttu, Tuomo, University of New South Wales, School of Electrical Engineering and Telecommunications, Sydney, NSW, Australia, Diraq, Sydney, NSW, Australia; Lim, Weehan, University of New South Wales, School of Electrical Engineering and Telecommunications, Sydney, NSW, Australia, Diraq, Sydney, NSW, Australia; Feng, Mengke, University of New South Wales, School of Electrical Engineering and Telecommunications, Sydney, NSW, Australia; Huang, Jonathan Yue, University of New South Wales, School of Electrical Engineering and Telecommunications, Sydney, NSW, Australia; Cifuentes, Jesús D., University of New South Wales, School of Electrical Engineering and Telecommunications, Sydney, NSW, Australia; Serrano, Santiago, University of New South Wales, School of Electrical Engineering and Telecommunications, Sydney, NSW, Australia; Mai, Philip Y., University of New South Wales, School of Electrical Engineering and Telecommunications, Sydney, NSW, Australia; Leon, Ross C.C., University of New South Wales, School of Electrical Engineering and Telecommunications, Sydney, NSW, Australia; Escott, Christopher C., University of New South Wales, School of Electrical Engineering and Telecommunications, Sydney, NSW, Australia, Diraq, Sydney, NSW, Australia; Itoh, Kohei M., Keio University, Tokyo, Japan; Abrosimov, Nikolay V., Leibniz-Institut für Kristallzüchtung, Berlin, Germany; Pohl, Hans Joachim, VITCON Projectconsult GmbH, Jena, Germany; Thewalt, Michael L.W., Department of Physics, Simon Fraser University, Burnaby, BC, Canada; Hudson, Fay E., University of New South Wales, School of Electrical Engineering and Telecommunications, Sydney, NSW, Australia, Diraq, Sydney, NSW, Australia; Morello, Andrea, University of New South Wales, School of Electrical Engineering and Telecommunications, Sydney, NSW, Australia; Laucht, Arne, University of New South Wales, School of Electrical Engineering and Telecommunications, Sydney, NSW, Australia, Diraq, Sydney, NSW, Australia; Yang, C. H., University of New South Wales, School of Electrical Engineering and Telecommunications, Sydney, NSW, Australia, Diraq, Sydney, NSW, Australia; Saraiva, Andre L., University of New South Wales, School of Electrical Engineering and Telecommunications, Sydney, NSW, Australia, Diraq, Sydney, NSW, Australia; Dzurak, Andrew S., University of New South Wales, School of Electrical Engineering and Telecommunications, Sydney, NSW, Australia, Diraq, Sydney, NSW, Australia</t>
  </si>
  <si>
    <t>W. Gilbert; School of Electrical Engineering and Telecommunications, The University of New South Wales, Sydney, Australia; email: w.gilbert@unsw.edu.au; A. Saraiva; School of Electrical Engineering and Telecommunications, The University of New South Wales, Sydney, Australia; email: a.saraiva@unsw.edu.au; A.S. Dzurak; School of Electrical Engineering and Telecommunications, The University of New South Wales, Sydney, Australia; email: a.dzurak@unsw.edu.au</t>
  </si>
  <si>
    <t>Nat. Nanotechnol.</t>
  </si>
  <si>
    <t>2-s2.0-85146168792</t>
  </si>
  <si>
    <t>Beller, J.A.</t>
  </si>
  <si>
    <t>Beller, Jeremy A. (57190429720)</t>
  </si>
  <si>
    <t>Journal of Archaeological Science: Reports</t>
  </si>
  <si>
    <t>10.1016/j.jasrep.2022.103800</t>
  </si>
  <si>
    <t>https://www.scopus.com/inward/record.uri?eid=2-s2.0-85146094123&amp;doi=10.1016%2Fj.jasrep.2022.103800&amp;partnerID=40&amp;md5=23f3a888cbb43644f550ce7a3e688b6d</t>
  </si>
  <si>
    <t>Education Building 9635, Simon Fraser University, Burnaby, BC, Canada</t>
  </si>
  <si>
    <t>Beller, Jeremy A., Education Building 9635, Simon Fraser University, Burnaby, BC, Canada</t>
  </si>
  <si>
    <t>2352409X</t>
  </si>
  <si>
    <t>J.Archaeol. Sci. Rep.</t>
  </si>
  <si>
    <t>2-s2.0-85146094123</t>
  </si>
  <si>
    <t>Lilloja, J.; Mooste, M.; Kibena-Põldsepp, E.; Sarapuu, A.; Kikas, A.; Kisand, V.; Käärik, M.; Kozlova, J.; Treshchalov, A.; Paiste, P.; Aruväli, J.; Leis, J.; Tamm, A.; Holdcroft, S.; Tammeveski, K.</t>
  </si>
  <si>
    <t>Lilloja, Jaana (57190491180); Mooste, Marek (55756772400); Kibena-Põldsepp, Elo (57475229400); Sarapuu, Ave (6508185813); Kikas, Arvo (6603881774); Kisand, Vambola (7004348077); Käärik, Maike (15735143100); Kozlova, Jekaterina (35222046300); Treshchalov, Aleksei B. (6602084499); Paiste, Päärn (57189352891); Aruväli, Jaan (6508076618); Leis, Jaan (56233840400); Tamm, Aile (57188771413); Holdcroft, Steven J. (7004469945); Tammeveski, Kaido (6603704456)</t>
  </si>
  <si>
    <t>57190491180; 55756772400; 57475229400; 6508185813; 6603881774; 7004348077; 15735143100; 35222046300; 6602084499; 57189352891; 6508076618; 56233840400; 57188771413; 7004469945; 6603704456</t>
  </si>
  <si>
    <t>Electrochimica Acta</t>
  </si>
  <si>
    <t>10.1016/j.electacta.2022.141676</t>
  </si>
  <si>
    <t>https://www.scopus.com/inward/record.uri?eid=2-s2.0-85144020247&amp;doi=10.1016%2Fj.electacta.2022.141676&amp;partnerID=40&amp;md5=ecf833881dd6d814262bc8965e7d7622</t>
  </si>
  <si>
    <t>Tartu Ülikooli Keemia Instituut, Tartu, Tartumaa, Estonia; Tartu Ülikooli Füüsika Instituut, Tartu, Tartumaa, Estonia; Ökoloogia ja Maateaduste Instituut, Tartu, Tartumaa, Estonia; Simon Fraser University, Burnaby, BC, Canada</t>
  </si>
  <si>
    <t>Lilloja, Jaana, Tartu Ülikooli Keemia Instituut, Tartu, Tartumaa, Estonia; Mooste, Marek, Tartu Ülikooli Keemia Instituut, Tartu, Tartumaa, Estonia; Kibena-Põldsepp, Elo, Tartu Ülikooli Keemia Instituut, Tartu, Tartumaa, Estonia; Sarapuu, Ave, Tartu Ülikooli Keemia Instituut, Tartu, Tartumaa, Estonia; Kikas, Arvo, Tartu Ülikooli Füüsika Instituut, Tartu, Tartumaa, Estonia; Kisand, Vambola, Tartu Ülikooli Füüsika Instituut, Tartu, Tartumaa, Estonia; Käärik, Maike, Tartu Ülikooli Keemia Instituut, Tartu, Tartumaa, Estonia; Kozlova, Jekaterina, Tartu Ülikooli Füüsika Instituut, Tartu, Tartumaa, Estonia; Treshchalov, Aleksei B., Tartu Ülikooli Füüsika Instituut, Tartu, Tartumaa, Estonia; Paiste, Päärn, Ökoloogia ja Maateaduste Instituut, Tartu, Tartumaa, Estonia; Aruväli, Jaan, Ökoloogia ja Maateaduste Instituut, Tartu, Tartumaa, Estonia; Leis, Jaan, Tartu Ülikooli Keemia Instituut, Tartu, Tartumaa, Estonia; Tamm, Aile, Tartu Ülikooli Füüsika Instituut, Tartu, Tartumaa, Estonia; Holdcroft, Steven J., Simon Fraser University, Burnaby, BC, Canada; Tammeveski, Kaido, Tartu Ülikooli Keemia Instituut, Tartu, Tartumaa, Estonia</t>
  </si>
  <si>
    <t>ELCAA</t>
  </si>
  <si>
    <t>Electrochim Acta</t>
  </si>
  <si>
    <t>2-s2.0-85144020247</t>
  </si>
  <si>
    <t>Pinjari, S.; Bera, T.; Kapur, G.S.; Kjeang, E.</t>
  </si>
  <si>
    <t>Pinjari, Syedvali (57200221609); Bera, Tapan (57220445204); Kapur, Gurpreet Singh (7004114808); Kjeang, Erik (16066971400)</t>
  </si>
  <si>
    <t>57200221609; 57220445204; 7004114808; 16066971400</t>
  </si>
  <si>
    <t>10.1016/j.ijhydene.2022.10.080</t>
  </si>
  <si>
    <t>https://www.scopus.com/inward/record.uri?eid=2-s2.0-85144970761&amp;doi=10.1016%2Fj.ijhydene.2022.10.080&amp;partnerID=40&amp;md5=b6d79b51c1256fa965ddfedd952ae253</t>
  </si>
  <si>
    <t>Pinjari, Syedvali, Fuel Cell Research Laboratory, Simon Fraser University, Burnaby, BC, Canada, Alternative Energy, Indian Oil Corporation Limited, New Delhi, India; Bera, Tapan, Alternative Energy, Indian Oil Corporation Limited, New Delhi, India; Kapur, Gurpreet Singh, Alternative Energy, Indian Oil Corporation Limited, New Delhi, India; Kjeang, Erik, Fuel Cell Research Laboratory, Simon Fraser University, Burnaby, BC, Canada</t>
  </si>
  <si>
    <t>E. Kjeang; Fuel Cell Research Laboratory, Simon Fraser University, Surrey, 250-13450 102 Avenue, V3T0A3, Canada; email: ekjeang@sfu.ca</t>
  </si>
  <si>
    <t>2-s2.0-85144970761</t>
  </si>
  <si>
    <t>Ahmadi, P.; Mansor, S.B.; Araji, H.A.; Lu, B.</t>
  </si>
  <si>
    <t>Ahmadi, Parisa (57212063223); Mansor, Shattri Bin (56276992000); Araji, Hamidreza Ahmadzadeh (57210914267); Lu, Bing (55798658400)</t>
  </si>
  <si>
    <t>57212063223; 56276992000; 57210914267; 55798658400</t>
  </si>
  <si>
    <t>CONVOLUTIONAL SVM NETWORKS FOR DETECTION OF GANODERMA BONINENSE AT EARLY STAGE IN OIL PALM USING UAV AND MULTISPECTRAL PLEIADES IMAGES</t>
  </si>
  <si>
    <t>ISPRS Annals of the Photogrammetry, Remote Sensing and Spatial Information Sciences</t>
  </si>
  <si>
    <t>4/W1-2022</t>
  </si>
  <si>
    <t>10.5194/isprs-annals-X-4-W1-2022-25-2023</t>
  </si>
  <si>
    <t>https://www.scopus.com/inward/record.uri?eid=2-s2.0-85146965425&amp;doi=10.5194%2Fisprs-annals-X-4-W1-2022-25-2023&amp;partnerID=40&amp;md5=b02681343504b064c4387b587ee3ef4c</t>
  </si>
  <si>
    <t>Department of Geography, Simon Fraser University, Burnaby, BC, Canada; Geospatial Information Science Research Centre (GISRC), Universiti Putra Malaysia, Serdang, Selangor, Malaysia; Texas A&amp;M AgriLife, College Station, TX, United States</t>
  </si>
  <si>
    <t>Ahmadi, Parisa, Department of Geography, Simon Fraser University, Burnaby, BC, Canada; Mansor, Shattri Bin, Geospatial Information Science Research Centre (GISRC), Universiti Putra Malaysia, Serdang, Selangor, Malaysia; Araji, Hamidreza Ahmadzadeh, Texas A&amp;M AgriLife, College Station, TX, United States; Lu, Bing, Department of Geography, Simon Fraser University, Burnaby, BC, Canada</t>
  </si>
  <si>
    <t>P. Ahmadi; Department of Geography, Simon Fraser University, Burnaby, 8888 University Drive, V5A 1S6, Canada; email: parisa_ahmadi@sfu.ca</t>
  </si>
  <si>
    <t>Delavar, M.R.; Ali Abbaspour, R.; Farzaneh, S.</t>
  </si>
  <si>
    <t>Copernicus Publications</t>
  </si>
  <si>
    <t>ISPRS Ann. Photogramm. Remote Sens. Spat. Inf. Sci.</t>
  </si>
  <si>
    <t>2-s2.0-85146965425</t>
  </si>
  <si>
    <t>Tang, Y.; Rahmani Dehaghani, M.; Wang, G.G.</t>
  </si>
  <si>
    <t>Tang, Yifan (57203408641); Rahmani Dehaghani, Mostafa (57980243500); Wang, G. Gary (55599185800)</t>
  </si>
  <si>
    <t>57203408641; 57980243500; 55599185800</t>
  </si>
  <si>
    <t>Additive Manufacturing</t>
  </si>
  <si>
    <t>10.1016/j.addma.2022.103357</t>
  </si>
  <si>
    <t>https://www.scopus.com/inward/record.uri?eid=2-s2.0-85144042254&amp;doi=10.1016%2Fj.addma.2022.103357&amp;partnerID=40&amp;md5=fd34b4a80340a59200c1da4d14df9c4c</t>
  </si>
  <si>
    <t>Tang, Yifan, Product Design and Optimization Laboratory, Simon Fraser University, Burnaby, BC, Canada; Rahmani Dehaghani, Mostafa, Product Design and Optimization Laboratory, Simon Fraser University, Burnaby, BC, Canada; Wang, G. Gary, Product Design and Optimization Laboratory, Simon Fraser University, Burnaby, BC, Canada</t>
  </si>
  <si>
    <t>Addit. Manuf.</t>
  </si>
  <si>
    <t>2-s2.0-85144042254</t>
  </si>
  <si>
    <t>Bahrami, M.; Chen, Y.; Kumar, N.; Orfino, F.P.; Dutta, M.; Lauritzen, M.; Setzler, E.; Agapov, A.L.; Kjeang, E.</t>
  </si>
  <si>
    <t>Bahrami, Mohammad Amin (58765372200); Chen, Yixuan (57328681600); Kumar, Nitish (58274752000); Orfino, Francesco P. (6602425127); Dutta, Monica (35795395200); Lauritzen, Michael V. (55599157300); Setzler, Erin (24512446300); Agapov, Alexander L. (59264239700); Kjeang, Erik (16066971400)</t>
  </si>
  <si>
    <t>58765372200; 57328681600; 58274752000; 6602425127; 35795395200; 55599157300; 24512446300; 59264239700; 16066971400</t>
  </si>
  <si>
    <t>Improved Decal Transfer Method to Reduce Membrane Damage from Foreign Particles in Membrane Electrode Assembly</t>
  </si>
  <si>
    <t>10.1149/1945-7111/ad0dc3</t>
  </si>
  <si>
    <t>https://www.scopus.com/inward/record.uri?eid=2-s2.0-85179846244&amp;doi=10.1149%2F1945-7111%2Fad0dc3&amp;partnerID=40&amp;md5=3e8f91715c9b053f4572bc6c3848d801</t>
  </si>
  <si>
    <t>Fuel Cell Research Laboratory (FCReL), Simon Fraser University, Burnaby, BC, Canada; Ballard Power Systems, Burnaby, BC, Canada; W. L. Gore &amp; Associates Inc., USA, Newark, DE, United States</t>
  </si>
  <si>
    <t>Bahrami, Mohammad Amin, Fuel Cell Research Laboratory (FCReL), Simon Fraser University, Burnaby, BC, Canada; Chen, Yixuan, Fuel Cell Research Laboratory (FCReL), Simon Fraser University, Burnaby, BC, Canada; Kumar, Nitish, Fuel Cell Research Laboratory (FCReL), Simon Fraser University, Burnaby, BC, Canada; Orfino, Francesco P., Fuel Cell Research Laboratory (FCReL), Simon Fraser University, Burnaby, BC, Canada; Dutta, Monica, Ballard Power Systems, Burnaby, BC, Canada; Lauritzen, Michael V., Ballard Power Systems, Burnaby, BC, Canada; Setzler, Erin, W. L. Gore &amp; Associates Inc., USA, Newark, DE, United States; Agapov, Alexander L., W. L. Gore &amp; Associates Inc., USA, Newark, DE, United States; Kjeang, Erik, Fuel Cell Research Laboratory (FCReL), Simon Fraser University, Burnaby, BC, Canada</t>
  </si>
  <si>
    <t>2-s2.0-85179846244</t>
  </si>
  <si>
    <t>Tang, Y.; Shahriar, S.B.; Dhalpe, A.; Rahmani Dehaghani, M.; Panicker, S.; Coatanea, E.; Wu, D.; Wang, G.G.</t>
  </si>
  <si>
    <t>Tang, Yifan (57203408641); Shahriar, Bakrani Balani (57199229856); Dhalpe, Akshay (58614214300); Rahmani Dehaghani, Mostafa (57980243500); Panicker, Suraj (57209685749); Coatanea, E. (6505895583); Wu, Di (59619524600); Wang, G. Gary (55599185800)</t>
  </si>
  <si>
    <t>57203408641; 57199229856; 58614214300; 57980243500; 57209685749; 6505895583; 59619524600; 55599185800</t>
  </si>
  <si>
    <t>LAYER-TO-LAYER THERMAL HISTORY PREDICTION FOR THIN WALLS IN METAL ADDITIVE MANUFACTURING</t>
  </si>
  <si>
    <t>v002t02a076</t>
  </si>
  <si>
    <t>10.1115/DETC2023-114997</t>
  </si>
  <si>
    <t>https://www.scopus.com/inward/record.uri?eid=2-s2.0-85178516958&amp;doi=10.1115%2FDETC2023-114997&amp;partnerID=40&amp;md5=9e26e0ae4c0e62a02ee81f112b3ea80f</t>
  </si>
  <si>
    <t>Tang, Yifan, Product Design and Optimization Laboratory, Simon Fraser University, Burnaby, BC, Canada; Shahriar, Bakrani Balani, Automation Technology and Mechanical Engineering, Tampere University, Tampere, Pirkanmaa, Finland; Dhalpe, Akshay, Automation Technology and Mechanical Engineering, Tampere University, Tampere, Pirkanmaa, Finland; Rahmani Dehaghani, Mostafa, Product Design and Optimization Laboratory, Simon Fraser University, Burnaby, BC, Canada; Panicker, Suraj, Automation Technology and Mechanical Engineering, Tampere University, Tampere, Pirkanmaa, Finland; Coatanea, E., Automation Technology and Mechanical Engineering, Tampere University, Tampere, Pirkanmaa, Finland; Wu, Di, Automation Technology and Mechanical Engineering, Tampere University, Tampere, Pirkanmaa, Finland; Wang, G. Gary, Product Design and Optimization Laboratory, Simon Fraser University, Burnaby, BC, Canada</t>
  </si>
  <si>
    <t>9780791887288; 9780791888391; 9780791887295; 9780791886205; 9780791888384; 9780791886212; 9780791889251; 9780791889268</t>
  </si>
  <si>
    <t>2-s2.0-85178516958</t>
  </si>
  <si>
    <t>DEFINING AND MODELING OF HEIGHT-RELATED GEOMETRICAL PARAMETERS FOR THIN WALL STRUCTURES MANUFACTURED BY METAL ADDITIVE MANUFACTURING</t>
  </si>
  <si>
    <t>v002t02a082</t>
  </si>
  <si>
    <t>10.1115/DETC2023-114987</t>
  </si>
  <si>
    <t>https://www.scopus.com/inward/record.uri?eid=2-s2.0-85178513250&amp;doi=10.1115%2FDETC2023-114987&amp;partnerID=40&amp;md5=0e5e266d10c39ceb12b672ea065c40eb</t>
  </si>
  <si>
    <t>Simon Fraser University, Burnaby, BC, Canada; Tampere University, Tampere, Pirkanmaa, Finland</t>
  </si>
  <si>
    <t>Rahmani Dehaghani, Mostafa, Simon Fraser University, Burnaby, BC, Canada; Tang, Yifan, Simon Fraser University, Burnaby, BC, Canada; Panicker, Suraj, Tampere University, Tampere, Pirkanmaa, Finland; Wu, Di, Tampere University, Tampere, Pirkanmaa, Finland; Coatanea, E., Tampere University, Tampere, Pirkanmaa, Finland; Wang, G. Gary, Simon Fraser University, Burnaby, BC, Canada</t>
  </si>
  <si>
    <t>2-s2.0-85178513250</t>
  </si>
  <si>
    <t>Gray, B.L.</t>
  </si>
  <si>
    <t>Gray, Bonnie Lynne (7202782646)</t>
  </si>
  <si>
    <t>The Textile is the Substrate: Challenges of Direct-on-Fabric Wearables</t>
  </si>
  <si>
    <t>IFETC 2023 - 5th IEEE International Flexible Electronics Technology Conference, Proceedings</t>
  </si>
  <si>
    <t>10.1109/IFETC57334.2023.10254902</t>
  </si>
  <si>
    <t>https://www.scopus.com/inward/record.uri?eid=2-s2.0-85174392714&amp;doi=10.1109%2FIFETC57334.2023.10254902&amp;partnerID=40&amp;md5=0ca361189cf06a84bcec3a5cddd4f591</t>
  </si>
  <si>
    <t>Engineering Science, Simon Fraser University, Burnaby, BC, Canada</t>
  </si>
  <si>
    <t>Gray, Bonnie Lynne, Engineering Science, Simon Fraser University, Burnaby, BC, Canada</t>
  </si>
  <si>
    <t>B.L. Gray; Simon Fraser University (SFU), Microinstrumentation Lab, Engineering Science, Burnaby, V5A1S6, Canada; email: bgray@sfu.ca</t>
  </si>
  <si>
    <t>IFETC - IEEE Int. Flex. Electron. Technol. Conf., Proc.</t>
  </si>
  <si>
    <t>2-s2.0-85174392714</t>
  </si>
  <si>
    <t>López, A.; Ivakhiv, A.; Rust, S.; Tola, M.; Chang, A.Y.; Chu, K.-W.</t>
  </si>
  <si>
    <t>López, Antonio (36668999100); Ivakhiv, Adrian J. (6506060287); Rust, Stephen A. (56329534500); Tola, Miriam (56531629300); Chang, Alenda Y. (57217165831); Chu, Kiu Wai (56970465300)</t>
  </si>
  <si>
    <t>36668999100; 6506060287; 56329534500; 56531629300; 57217165831; 56970465300</t>
  </si>
  <si>
    <t>THE ROUTLEDGE HANDBOOK OF ECOMEDIA STUDIES</t>
  </si>
  <si>
    <t>The Routledge Handbook of Ecomedia Studies</t>
  </si>
  <si>
    <t>10.4324/9781003176497</t>
  </si>
  <si>
    <t>https://www.scopus.com/inward/record.uri?eid=2-s2.0-85172157391&amp;doi=10.4324%2F9781003176497&amp;partnerID=40&amp;md5=085bea816a4b0f61976865226eabd442</t>
  </si>
  <si>
    <t>John Cabot University, Rome, Italy; The University of Vermont, Burlington, VT, United States; Simon Fraser University, Burnaby, BC, Canada; Freie Universität Berlin, Berlin, Berlin, Germany; University of Oregon, Eugene, OR, United States; John Cabot University, Rome, Italy; University of California, Santa Barbara, Santa Barbara, CA, United States; Nanyang Technological University, Singapore City, Singapore; National Humanities Center, Research Triangle Park, NC, United States; Association for the Study of Literature and Environment (ASLE-US), United States</t>
  </si>
  <si>
    <t>López, Antonio, John Cabot University, Rome, Italy; Ivakhiv, Adrian J., The University of Vermont, Burlington, VT, United States, Simon Fraser University, Burnaby, BC, Canada, Freie Universität Berlin, Berlin, Berlin, Germany; Rust, Stephen A., University of Oregon, Eugene, OR, United States; Tola, Miriam, John Cabot University, Rome, Italy; Chang, Alenda Y., University of California, Santa Barbara, Santa Barbara, CA, United States; Chu, Kiu Wai, Nanyang Technological University, Singapore City, Singapore, National Humanities Center, Research Triangle Park, NC, United States, Association for the Study of Literature and Environment (ASLE-US), United States</t>
  </si>
  <si>
    <t>9781000955590; 9781032009421</t>
  </si>
  <si>
    <t>The Routledge Handb. of Ecomedia Stud.</t>
  </si>
  <si>
    <t>2-s2.0-85172157391</t>
  </si>
  <si>
    <t>FLEPS 2023 - IEEE International Conference on Flexible and Printable Sensors and Systems, Proceedings</t>
  </si>
  <si>
    <t>10.1109/FLEPS57599.2023.10220417</t>
  </si>
  <si>
    <t>https://www.scopus.com/inward/record.uri?eid=2-s2.0-85171555036&amp;doi=10.1109%2FFLEPS57599.2023.10220417&amp;partnerID=40&amp;md5=f11d6417358e1ae17df351663cc4bfa9</t>
  </si>
  <si>
    <t>W.S. Kim; School of Mechatronic Systems Engineering, Simon Fraser University, Additive Manufacturing Laboratory, Surrey, Canada; email: woosook@sfu.ca</t>
  </si>
  <si>
    <t>FLEPS - IEEE Int. Conf. Flex. Printable Sensors Syst., Proc.</t>
  </si>
  <si>
    <t>2-s2.0-85171555036</t>
  </si>
  <si>
    <t>10.1109/FLEPS57599.2023.10220223</t>
  </si>
  <si>
    <t>https://www.scopus.com/inward/record.uri?eid=2-s2.0-85171543905&amp;doi=10.1109%2FFLEPS57599.2023.10220223&amp;partnerID=40&amp;md5=d8bf29ba2a6baedd8064318f6082be6f</t>
  </si>
  <si>
    <t>Su, Haotian, Additive Manufacturing Laboratory, Simon Fraser University, Burnaby, BC, Canada; Kim, Tae Ho, Additive Manufacturing Laboratory, Simon Fraser University, Burnaby, BC, Canada; Moeinnia, Hadi, Additive Manufacturing Laboratory, Simon Fraser University, Burnaby, BC, Canada; Kim, Woo Soo, Additive Manufacturing Laboratory, Simon Fraser University, Burnaby, BC, Canada</t>
  </si>
  <si>
    <t>2-s2.0-85171543905</t>
  </si>
  <si>
    <t>Eren Vural, I.E.; Herder, M.; Doll, A.; Graham, J.E.</t>
  </si>
  <si>
    <t>Eren Vural, Ipek (15750300700); Herder, Matthew (23018772800); Doll, Agnieszka (57190313829); Graham, Janice E. (7404643332)</t>
  </si>
  <si>
    <t>15750300700; 23018772800; 57190313829; 7404643332</t>
  </si>
  <si>
    <t>Biopharmaceutical Financialization and Public Funding of Medical Countermeasures (MCMs) in Canada During the COVID-19 Pandemic</t>
  </si>
  <si>
    <t>International Journal of Health Policy and Management</t>
  </si>
  <si>
    <t>10.34172/ijhpm.2023.6936</t>
  </si>
  <si>
    <t>https://www.scopus.com/inward/record.uri?eid=2-s2.0-85168192137&amp;doi=10.34172%2Fijhpm.2023.6936&amp;partnerID=40&amp;md5=a42873bb59fd441e3c5bfc3f704c1c8f</t>
  </si>
  <si>
    <t>Department of Political Science and Public Administration, Middle East Technical University (METU), Ankara, Ankara, Turkey; Department of Political Science, Dalhousie University, Halifax, NS, Canada; Simon Fraser University, Burnaby, BC, Canada; Dalhousie University, Halifax, NS, Canada; Dalhousie University, Faculty of Medicine, Halifax, NS, Canada; Department of History and Sociology, The University of British Columbia, Vancouver, BC, Canada; Dalhousie University, Faculty of Medicine, Halifax, NS, Canada; Department of Sociology and Social Anthropology, Dalhousie University, Halifax, NS, Canada</t>
  </si>
  <si>
    <t>Eren Vural, Ipek, Department of Political Science and Public Administration, Middle East Technical University (METU), Ankara, Ankara, Turkey, Department of Political Science, Dalhousie University, Halifax, NS, Canada, Simon Fraser University, Burnaby, BC, Canada; Herder, Matthew, Dalhousie University, Halifax, NS, Canada, Dalhousie University, Faculty of Medicine, Halifax, NS, Canada; Doll, Agnieszka, Dalhousie University, Faculty of Medicine, Halifax, NS, Canada, Department of History and Sociology, The University of British Columbia, Vancouver, BC, Canada; Graham, Janice E., Dalhousie University, Faculty of Medicine, Halifax, NS, Canada, Department of Sociology and Social Anthropology, Dalhousie University, Halifax, NS, Canada</t>
  </si>
  <si>
    <t>I.E. Vural; Department of Political Science &amp; Public Administration, Middle East Technical University, Ankara, Turkey; email: IVural@dal.ca</t>
  </si>
  <si>
    <t>Kerman University of Medical Sciences</t>
  </si>
  <si>
    <t>Int J Health Policy Manag</t>
  </si>
  <si>
    <t>2-s2.0-85168192137</t>
  </si>
  <si>
    <t>Powers, K.; Wang, H.; Wilson, C.; Horsley, J.; Wood, D.; Copeland, C.D.; Archer, J.</t>
  </si>
  <si>
    <t>Powers, Katherine H. (57211978973); Wang, H. (58498990700); Wilson, C. (58498199700); Horsley, John (57411841800); Wood, D. (58498597500); Copeland, Colin D. (36136875400); Archer, Jamie (55816421600)</t>
  </si>
  <si>
    <t>57211978973; 58498990700; 58498199700; 57411841800; 58498597500; 36136875400; 55816421600</t>
  </si>
  <si>
    <t>Validation and assessment of a mathematical model for centrifugal compressor surge</t>
  </si>
  <si>
    <t>15th International Conference on Turbochargers and Turbocharging: Proceedings of the 15th International Conference on Turbochargers and Turbocharging (Twickenham, London, 16-17 May 2023)</t>
  </si>
  <si>
    <t>10.1201/9781003429746-6</t>
  </si>
  <si>
    <t>https://www.scopus.com/inward/record.uri?eid=2-s2.0-85165371706&amp;doi=10.1201%2F9781003429746-6&amp;partnerID=40&amp;md5=0445872bac8d9b9c376c7ce598bfde10</t>
  </si>
  <si>
    <t>School of Sustainable Energy Engineering, Simon Fraser University, Burnaby, BC, Canada; Cummins Inc., Columbus, IN, United States</t>
  </si>
  <si>
    <t>Powers, Katherine H., School of Sustainable Energy Engineering, Simon Fraser University, Burnaby, BC, Canada; Wang, H., Cummins Inc., Columbus, IN, United States; Wilson, C., Cummins Inc., Columbus, IN, United States; Horsley, John, Cummins Inc., Columbus, IN, United States; Wood, D., Cummins Inc., Columbus, IN, United States; Copeland, Colin D., School of Sustainable Energy Engineering, Simon Fraser University, Burnaby, BC, Canada; Archer, Jamie, Cummins Inc., Columbus, IN, United States</t>
  </si>
  <si>
    <t>CRC Press</t>
  </si>
  <si>
    <t>9781000963960; 9781032551548</t>
  </si>
  <si>
    <t>15th International Conference on Turbochargers and Turbocharging: Proceedings of the 15th International Conference on Turbochargers and Turbocharging (Twickenham, London, 16-17 MAY 2023)</t>
  </si>
  <si>
    <t>2-s2.0-85165371706</t>
  </si>
  <si>
    <t>Dooley, D.; Naravane, T.</t>
  </si>
  <si>
    <t>Dooley, Damion M. (57189233849); Naravane, Tarini (57201662450)</t>
  </si>
  <si>
    <t>57189233849; 57201662450</t>
  </si>
  <si>
    <t>Frontiers in Artificial Intelligence</t>
  </si>
  <si>
    <t>10.3389/frai.2023.1137961</t>
  </si>
  <si>
    <t>https://www.scopus.com/inward/record.uri?eid=2-s2.0-85165203737&amp;doi=10.3389%2Ffrai.2023.1137961&amp;partnerID=40&amp;md5=7619c31693041f1ca3deacb41f0a30c9</t>
  </si>
  <si>
    <t>Centre for Infectious Disease Genomics and One Health, Simon Fraser University, Burnaby, BC, Canada; Department of Biological System Engineering, University of California, Davis, Davis, CA, United States</t>
  </si>
  <si>
    <t>Dooley, Damion M., Centre for Infectious Disease Genomics and One Health, Simon Fraser University, Burnaby, BC, Canada; Naravane, Tarini, Department of Biological System Engineering, University of California, Davis, Davis, CA, United States</t>
  </si>
  <si>
    <t>D. Dooley; Centre for Infectious Disease Genomics and One Health, Simon Fraser University, Burnaby, Canada; email: damion_dooley@sfu.ca</t>
  </si>
  <si>
    <t>Frontiers Media SA</t>
  </si>
  <si>
    <t>Frontier. Artif. Intell.</t>
  </si>
  <si>
    <t>2-s2.0-85165203737</t>
  </si>
  <si>
    <t>Portilla, L.; Jiang, H.; Liu, Q.; Pecunia, V.</t>
  </si>
  <si>
    <t>Portilla, Luis (55983121600); Jiang, Hao (55210716500); Liu, Qi (57001469600); Pecunia, Vincenzo (36017327500)</t>
  </si>
  <si>
    <t>55983121600; 55210716500; 57001469600; 36017327500</t>
  </si>
  <si>
    <t>10.1109/JFLEX.2023.3237991</t>
  </si>
  <si>
    <t>https://www.scopus.com/inward/record.uri?eid=2-s2.0-85164608702&amp;doi=10.1109%2FJFLEX.2023.3237991&amp;partnerID=40&amp;md5=e44b3b0e83cfa694b1f1a9b3386f18ed</t>
  </si>
  <si>
    <t>Frontier Institute of Chip and System, Fudan University, Shanghai, China; Zhangjiang Fudan International Innovation Center, Shanghai, Shanghai, China; School of Sustainable Energy Engineering, Simon Fraser University, Burnaby, BC, Canada</t>
  </si>
  <si>
    <t>Portilla, Luis, Frontier Institute of Chip and System, Fudan University, Shanghai, China, Zhangjiang Fudan International Innovation Center, Shanghai, Shanghai, China; Jiang, Hao, Frontier Institute of Chip and System, Fudan University, Shanghai, China, Zhangjiang Fudan International Innovation Center, Shanghai, Shanghai, China; Liu, Qi, Frontier Institute of Chip and System, Fudan University, Shanghai, China, Zhangjiang Fudan International Innovation Center, Shanghai, Shanghai, China; Pecunia, Vincenzo, School of Sustainable Energy Engineering, Simon Fraser University, Burnaby, BC, Canada</t>
  </si>
  <si>
    <t>L. Portilla; Fudan University, Frontier Institute of Chip and System, Shanghai, 200438, China; email: portilla_luis@fudan.edu.cn; H. Jiang; Fudan University, Frontier Institute of Chip and System, Shanghai, 200438, China; email: haoj@fudan.edu.cn; V. Pecunia; Simon Fraser University, School of Sustainable Energy Engineering, Surrey, V3T 0N1, Canada; email: vincenzo_pecunia@sfu.ca</t>
  </si>
  <si>
    <t>2-s2.0-85164608702</t>
  </si>
  <si>
    <t>Rahimi, A.; Sharifi, H.; Li, P.C.H.</t>
  </si>
  <si>
    <t>Rahimi, Abolfazl (58479122200); Sharifi, Hamide (57210188214); Li, Paul Chi Hang (55638723000)</t>
  </si>
  <si>
    <t>58479122200; 57210188214; 55638723000</t>
  </si>
  <si>
    <t>Cytosolic Calcium Measurement Utilizing a Single-Cell Biochip to Study the Effect of Curcumin and Resveratrol on a Single Glioma Cell</t>
  </si>
  <si>
    <t>Methods in Molecular Biology</t>
  </si>
  <si>
    <t>10.1007/978-1-0716-3323-6_2</t>
  </si>
  <si>
    <t>https://www.scopus.com/inward/record.uri?eid=2-s2.0-85164296892&amp;doi=10.1007%2F978-1-0716-3323-6_2&amp;partnerID=40&amp;md5=26f52fc28a1c47192f6fb7ef04a4d3bd</t>
  </si>
  <si>
    <t>Simon Fraser University, Burnaby, BC, Canada; Department of Biochemistry and Molecular Biology, Simon Fraser University, Burnaby, BC, Canada</t>
  </si>
  <si>
    <t>Rahimi, Abolfazl, Simon Fraser University, Burnaby, BC, Canada; Sharifi, Hamide, Simon Fraser University, Burnaby, BC, Canada; Li, Paul Chi Hang, Simon Fraser University, Burnaby, BC, Canada, Department of Biochemistry and Molecular Biology, Simon Fraser University, Burnaby, BC, Canada</t>
  </si>
  <si>
    <t>P.C.H. Li; Department of Chemistry, Simon Fraser University, Burnaby, Canada; email: paulli@sfu.ca</t>
  </si>
  <si>
    <t>Humana Press Inc.</t>
  </si>
  <si>
    <t>9781597452946; 9781617792304; 9781617797668; 1597455741; 9781603272476; 9781597453035; 9781493912230; 9781588298645; 9781617793394; 9781617799648</t>
  </si>
  <si>
    <t>Methods Mol. Biol.</t>
  </si>
  <si>
    <t>2-s2.0-85164296892</t>
  </si>
  <si>
    <t>Zhou, H.; Chen, K.; Ma, Z.; Wang, F.; Zhang, W.</t>
  </si>
  <si>
    <t>Zhou, Hang (57192375762); Chen, Kejiang (57193571285); Ma, Zehua (57209925050); Wang, Feng (57215527466); Zhang, Weiming (56459354100)</t>
  </si>
  <si>
    <t>57192375762; 57193571285; 57209925050; 57215527466; 56459354100</t>
  </si>
  <si>
    <t>Triangle Mesh Watermarking and Steganography</t>
  </si>
  <si>
    <t>10.1007/978-981-19-7720-6</t>
  </si>
  <si>
    <t>https://www.scopus.com/inward/record.uri?eid=2-s2.0-85161914785&amp;doi=10.1007%2F978-981-19-7720-6&amp;partnerID=40&amp;md5=2c89229470d5f7d3f40f1abb020fd9a2</t>
  </si>
  <si>
    <t>Department of Computer Science, Simon Fraser University, Burnaby, BC, Canada; School of Cyberspace Science and Technology, University of Science and Technology of China, Hefei, Anhui, China; School of Information Science and Technology, University of Science and Technology of China, Hefei, Anhui, China; University of Science and Technology of China, Hefei, Anhui, China</t>
  </si>
  <si>
    <t>Zhou, Hang, Department of Computer Science, Simon Fraser University, Burnaby, BC, Canada; Chen, Kejiang, School of Cyberspace Science and Technology, University of Science and Technology of China, Hefei, Anhui, China; Ma, Zehua, School of Information Science and Technology, University of Science and Technology of China, Hefei, Anhui, China; Wang, Feng, University of Science and Technology of China, Hefei, Anhui, China; Zhang, Weiming, School of Information Science and Technology, University of Science and Technology of China, Hefei, Anhui, China</t>
  </si>
  <si>
    <t>9789811977206; 9789811977190</t>
  </si>
  <si>
    <t>2-s2.0-85161914785</t>
  </si>
  <si>
    <t>Stewart, B.</t>
  </si>
  <si>
    <t>Stewart, Brian (57079535100)</t>
  </si>
  <si>
    <t>Demography and Digital Transformation in Japan</t>
  </si>
  <si>
    <t>Economics, Law, and Institutions in Asia Pacific</t>
  </si>
  <si>
    <t>10.1007/978-981-99-0321-4_11</t>
  </si>
  <si>
    <t>https://www.scopus.com/inward/record.uri?eid=2-s2.0-85153359514&amp;doi=10.1007%2F978-981-99-0321-4_11&amp;partnerID=40&amp;md5=f0b03aab223bcfaba09c588c0aaeb0d6</t>
  </si>
  <si>
    <t>Stewart, Brian, Simon Fraser University, Burnaby, BC, Canada</t>
  </si>
  <si>
    <t>B. Stewart; Simon Fraser University, Burnaby, Canada; email: brian_stewart@sfu.ca</t>
  </si>
  <si>
    <t>Eco., Law, Inst. Asia Pacific</t>
  </si>
  <si>
    <t>2-s2.0-85153359514</t>
  </si>
  <si>
    <t>Pecunia, V.; Natali, D.; Caironi, M.</t>
  </si>
  <si>
    <t>Pecunia, Vincenzo (36017327500); Natali, Dario (6602524718); Caironi, Mario (8556840100)</t>
  </si>
  <si>
    <t>36017327500; 6602524718; 8556840100</t>
  </si>
  <si>
    <t>Photodetectors: Materials, Devices and Applications</t>
  </si>
  <si>
    <t>10.1016/B978-0-08-102795-0.00003-7</t>
  </si>
  <si>
    <t>https://www.scopus.com/inward/record.uri?eid=2-s2.0-85152827898&amp;doi=10.1016%2FB978-0-08-102795-0.00003-7&amp;partnerID=40&amp;md5=01a067f10e62828bc0f4e30ff6b7c6dc</t>
  </si>
  <si>
    <t>School of Sustainable Energy Engineering, Simon Fraser University, Burnaby, BC, Canada; Informazione e Bioingegneria, Politecnico di Milano, Milan, MI, Italy; Center for Nano Science and Technology@PoliMi, Istituto Italiano di Tecnologia, Genoa, GE, Italy</t>
  </si>
  <si>
    <t>Pecunia, Vincenzo, School of Sustainable Energy Engineering, Simon Fraser University, Burnaby, BC, Canada; Natali, Dario, Informazione e Bioingegneria, Politecnico di Milano, Milan, MI, Italy, Center for Nano Science and Technology@PoliMi, Istituto Italiano di Tecnologia, Genoa, GE, Italy; Caironi, Mario, Center for Nano Science and Technology@PoliMi, Istituto Italiano di Tecnologia, Genoa, GE, Italy</t>
  </si>
  <si>
    <t>Elsevier</t>
  </si>
  <si>
    <t>9780081027950; 9780081028766</t>
  </si>
  <si>
    <t>Photodetectors: Mater., Devices and Applications</t>
  </si>
  <si>
    <t>2-s2.0-85152827898</t>
  </si>
  <si>
    <t>Liu, Z.; Wu, H.; Ren, W.; Ye, Z.-G.</t>
  </si>
  <si>
    <t>Liu, Zenghui (56599407500); Wu, Hua (7405584390); Ren, Wei (57201421397); Ye, Zuo Guang (24443034100)</t>
  </si>
  <si>
    <t>56599407500; 7405584390; 57201421397; 24443034100</t>
  </si>
  <si>
    <t>Comprehensive Inorganic Chemistry III, Third Edition</t>
  </si>
  <si>
    <t>10.1016/B978-0-12-823144-9.00069-8</t>
  </si>
  <si>
    <t>https://www.scopus.com/inward/record.uri?eid=2-s2.0-85152703807&amp;doi=10.1016%2FB978-0-12-823144-9.00069-8&amp;partnerID=40&amp;md5=7f0ff474b6fdee432df6fbf016ccbbbb</t>
  </si>
  <si>
    <t>Electronic Materials Research Laboratory, Xi'an Jiaotong University, Xi'an, Shaanxi, China; Department of Applied Physics, Donghua University, Shanghai, Shanghai, China; Department of Chemistry and 4D LABS, Simon Fraser University, Burnaby, BC, Canada</t>
  </si>
  <si>
    <t>Liu, Zenghui, Electronic Materials Research Laboratory, Xi'an Jiaotong University, Xi'an, Shaanxi, China; Wu, Hua, Department of Applied Physics, Donghua University, Shanghai, Shanghai, China; Ren, Wei, Electronic Materials Research Laboratory, Xi'an Jiaotong University, Xi'an, Shaanxi, China; Ye, Zuo Guang, Department of Chemistry and 4D LABS, Simon Fraser University, Burnaby, BC, Canada</t>
  </si>
  <si>
    <t>Compr. Inorg. Chemistry III, Third Edition</t>
  </si>
  <si>
    <t>2-s2.0-85152703807</t>
  </si>
  <si>
    <t>Proceedings of the IEEE International Conference on Micro Electro Mechanical Systems (MEMS)</t>
  </si>
  <si>
    <t>2023-January</t>
  </si>
  <si>
    <t>10.1109/MEMS49605.2023.10052235</t>
  </si>
  <si>
    <t>https://www.scopus.com/inward/record.uri?eid=2-s2.0-85149846978&amp;doi=10.1109%2FMEMS49605.2023.10052235&amp;partnerID=40&amp;md5=520a6afaa94bc3cf5d00d08da7162c4a</t>
  </si>
  <si>
    <t>Ghaderi, Erfan, Simon Fraser University, Burnaby, BC, Canada; Bahreyni, Behraad, Simon Fraser University, Burnaby, BC, Canada</t>
  </si>
  <si>
    <t>E. Ghaderi; Simon Fraser University, Burnaby, Canada; email: eghaderi@sfu.ca</t>
  </si>
  <si>
    <t>9781538647820; 9781467303248; 0780377443; 9781479979554; 9781467356558; 9781424457649; 1424409519; 9781424417933; 0780394755; 9781728135809</t>
  </si>
  <si>
    <t>PMEME</t>
  </si>
  <si>
    <t>Proc. IEEE Int. Conf. Micro Electro Mech. Syst. MEMS</t>
  </si>
  <si>
    <t>2-s2.0-85149846978</t>
  </si>
  <si>
    <t>Ganesh, S.; Thambiliyagodage, C.; Perera, S.V.T.J.; Rajapakse, R.K.N.D.</t>
  </si>
  <si>
    <t>Ganesh, Suganthiny (58045812000); Thambiliyagodage, Charitha J. (57201614367); Perera, Senanayaka Vidhanage Thilanka Janaka (58045428000); Rajapakse, R. K.N.D. (57216149626)</t>
  </si>
  <si>
    <t>58045812000; 57201614367; 58045428000; 57216149626</t>
  </si>
  <si>
    <t>Nanomaterials</t>
  </si>
  <si>
    <t>10.3390/nano13010018</t>
  </si>
  <si>
    <t>https://www.scopus.com/inward/record.uri?eid=2-s2.0-85145832911&amp;doi=10.3390%2Fnano13010018&amp;partnerID=40&amp;md5=df29b4c6eff9f8644712ff6b88bf3ae2</t>
  </si>
  <si>
    <t>Department of Civil Engineering, Sri Lanka Institute of Information Technology, Colombo, Sri Lanka; Faculty of Humanities and Sciences, Sri Lanka Institute of Information Technology, Colombo, Sri Lanka; Faculty of Applied Sciences, Simon Fraser University, Burnaby, BC, Canada</t>
  </si>
  <si>
    <t>Ganesh, Suganthiny, Department of Civil Engineering, Sri Lanka Institute of Information Technology, Colombo, Sri Lanka; Thambiliyagodage, Charitha J., Faculty of Humanities and Sciences, Sri Lanka Institute of Information Technology, Colombo, Sri Lanka; Perera, Senanayaka Vidhanage Thilanka Janaka, Department of Civil Engineering, Sri Lanka Institute of Information Technology, Colombo, Sri Lanka; Rajapakse, R. K.N.D., Department of Civil Engineering, Sri Lanka Institute of Information Technology, Colombo, Sri Lanka, Faculty of Applied Sciences, Simon Fraser University, Burnaby, BC, Canada</t>
  </si>
  <si>
    <t>R.K.N.D. Rajapakse; Department of Civil Engineering, Faculty of Engineering, Sri Lanka Institute of Information Technology (SLIIT), Colombo, 10115, Sri Lanka; email: rajapakse@sfu.ca</t>
  </si>
  <si>
    <t>2-s2.0-85145832911</t>
  </si>
  <si>
    <t>Rahmani Dehaghani, M.; Tang, Y.; Wang, G.G.</t>
  </si>
  <si>
    <t>Rahmani Dehaghani, Mostafa (57980243500); Tang, Yifan (57203408641); Wang, G. Gary (55599185800)</t>
  </si>
  <si>
    <t>57980243500; 57203408641; 55599185800</t>
  </si>
  <si>
    <t>Journal of Mechanical Design</t>
  </si>
  <si>
    <t>10.1115/1.4055149</t>
  </si>
  <si>
    <t>https://www.scopus.com/inward/record.uri?eid=2-s2.0-85144288089&amp;doi=10.1115%2F1.4055149&amp;partnerID=40&amp;md5=9c0fa7b5ec515e8915958640a5f08755</t>
  </si>
  <si>
    <t>Rahmani Dehaghani, Mostafa, School of Mechatronic Systems Engineering, Simon Fraser University, Burnaby, BC, Canada; Tang, Yifan, School of Mechatronic Systems Engineering, Simon Fraser University, Burnaby, BC, Canada; Wang, G. Gary, School of Mechatronic Systems Engineering, Simon Fraser University, Burnaby, BC, Canada</t>
  </si>
  <si>
    <t>G.G. Wang; School of Mechatronic Systems Engineering, Simon Fraser University, Burnaby, V5A 1S6, Canada; email: gary_wang@sfu.ca</t>
  </si>
  <si>
    <t>JMDEE</t>
  </si>
  <si>
    <t>J Mech Des</t>
  </si>
  <si>
    <t>2-s2.0-85144288089</t>
  </si>
  <si>
    <t>Dow, G.K.; Reed, C.G.</t>
  </si>
  <si>
    <t>Dow, Gregory K. (7006042068); Reed, Clyde G. (7402210319)</t>
  </si>
  <si>
    <t>7006042068; 7402210319</t>
  </si>
  <si>
    <t>Economic Prehistory: Six Transitions That Shaped the World</t>
  </si>
  <si>
    <t>Economic Prehistory: Six Transitions That Shaped The World</t>
  </si>
  <si>
    <t>10.1017/9781108878142</t>
  </si>
  <si>
    <t>https://www.scopus.com/inward/record.uri?eid=2-s2.0-105023727084&amp;doi=10.1017%2F9781108878142&amp;partnerID=40&amp;md5=83910b0049e2a299eef0fdeb7142ec4f</t>
  </si>
  <si>
    <t>Dow, Gregory K., Simon Fraser University, Burnaby, BC, Canada; Reed, Clyde G., Simon Fraser University, Burnaby, BC, Canada</t>
  </si>
  <si>
    <t>Cambridge University Press</t>
  </si>
  <si>
    <t>9781108839907; 9781108878142</t>
  </si>
  <si>
    <t>2-s2.0-105023727084</t>
  </si>
  <si>
    <t>Araghi, A.; Vaughan, R.</t>
  </si>
  <si>
    <t>Araghi, Anahita (59728320600); Vaughan, Rodney G. (7201481830)</t>
  </si>
  <si>
    <t>59728320600; 7201481830</t>
  </si>
  <si>
    <t>The Effect of a Finite Circular Groundplane on Monopole Impedance</t>
  </si>
  <si>
    <t>2023 URSI International Symposium on Electromagnetic Theory, EMTS 2023</t>
  </si>
  <si>
    <t>10.1109/EMTS57498.2023.10925248</t>
  </si>
  <si>
    <t>https://www.scopus.com/inward/record.uri?eid=2-s2.0-105002148267&amp;doi=10.1109%2FEMTS57498.2023.10925248&amp;partnerID=40&amp;md5=1d00610ff16aecd98bc7094fa43209a3</t>
  </si>
  <si>
    <t>Sierra Wireless Laboratory, Simon Fraser University, Burnaby, BC, Canada</t>
  </si>
  <si>
    <t>Araghi, Anahita, Sierra Wireless Laboratory, Simon Fraser University, Burnaby, BC, Canada; Vaughan, Rodney G., Sierra Wireless Laboratory, Simon Fraser University, Burnaby, BC, Canada</t>
  </si>
  <si>
    <t>URSI Int. Symp. Electromagn. Theory, EMTS</t>
  </si>
  <si>
    <t>2-s2.0-105002148267</t>
  </si>
  <si>
    <t>Zhang, Y.; Vaughan, R.</t>
  </si>
  <si>
    <t>Zhang, Yanyan (58669484300); Vaughan, Rodney G. (7201481830)</t>
  </si>
  <si>
    <t>58669484300; 7201481830</t>
  </si>
  <si>
    <t>Near Field Measurement: Characterizing System SNR against Frequency</t>
  </si>
  <si>
    <t>10.1109/EMTS57498.2023.10925226</t>
  </si>
  <si>
    <t>https://www.scopus.com/inward/record.uri?eid=2-s2.0-105002141072&amp;doi=10.1109%2FEMTS57498.2023.10925226&amp;partnerID=40&amp;md5=f3fa227b47bd81cfce59c95767b474c0</t>
  </si>
  <si>
    <t>Zhang, Yanyan, Simon Fraser University, Burnaby, BC, Canada; Vaughan, Rodney G., Simon Fraser University, Burnaby, BC, Canada</t>
  </si>
  <si>
    <t>2-s2.0-105002141072</t>
  </si>
  <si>
    <t>Hynes, C.G.; Vaughan, R.</t>
  </si>
  <si>
    <t>Hynes, Christopher G. (14009855500); Vaughan, Rodney G. (7201481830)</t>
  </si>
  <si>
    <t>14009855500; 7201481830</t>
  </si>
  <si>
    <t>Investigation of Flexible PCB-Based Ring Array of Slots Using Phase-Mode Analysis</t>
  </si>
  <si>
    <t>10.1109/EMTS57498.2023.10925301</t>
  </si>
  <si>
    <t>https://www.scopus.com/inward/record.uri?eid=2-s2.0-105002130511&amp;doi=10.1109%2FEMTS57498.2023.10925301&amp;partnerID=40&amp;md5=7b6f6e46bfec7cc9d4b940e2f359df75</t>
  </si>
  <si>
    <t>Hynes, Christopher G., Simon Fraser University, Burnaby, BC, Canada; Vaughan, Rodney G., Simon Fraser University, Burnaby, BC, Canada</t>
  </si>
  <si>
    <t>2-s2.0-105002130511</t>
  </si>
  <si>
    <t>Kekre, N.; Hay, K.A.; Webb, J.R.; Mallick, R.; Balasundaram, M.; Sigrist, M.K.; Clement, A.-M.; Nielsen, J.S.; Quizi, J.; Yung, E.; Brown, S.D.; Dreolini, L.; Waller, D.D.; Smazynski, J.; Gierc, N.S.; Loveless, B.C.; Clark, K.; Dyer, T.; Hogg, R.; McCormick, L.; Gignac, M.; Bell, S.; Chapman, D.M.; Bond, D.; Yong, S.; Fung, R.; Lockyer, H.M.; Hodgson, V.; Murphy, C.; Subramanian, A.; Wiebe, E.; Yoganathan, P.; Medynski, L.; Vaillan, D.C.; Black, A.; McDiarmid, S.; Kennah, M.; Hamelin, L.; Song, K.; Narayanan, S.; Rodrigo, J.A.; Dupont, S.; Hawrysh, T.; Presseau, J.; Thavorn, K.; Lalu, M.M.; Fergusson, D.A.; Bell, J.C.; Atkins, H.; Nelson, B.H.; Holt, R.A.</t>
  </si>
  <si>
    <t>Kekre, Natasha (53879840800); Hay, Kevin A. (57192995169); Webb, John R. (35408202500); Mallick, Ranjeeta (54967121800); Balasundaram, Miruna (8976677500); Sigrist, Mhairi K. (59871614400); Clement, Anne Marie (11939507300); Nielsen, Julie S. (7404066481); Quizi, Jennifer L. (54780511600); Yung, Eric (21835182800); Brown, Scott D. (57199191934); Dreolini, Lisa (6503959566); Waller, Daniel D. (16317843900); Smazynski, Julian (56884760600); Gierc, Nicole S. (57226006613); Loveless, Bianca C. (37117287300); Clark, Kayla (58039128100); Dyer, Tyler (58039495700); Hogg, Richard (58362910100); McCormick, Leah (56208887800); Gignac, Michael (58039419000); Bell, Shanti (58039419100); Chapman, D. Maria (58039348700); Bond, David Alan (56522559200); Yong, Siao (58039200500); Fung, Rachel (58039348800); Lockyer, Heather M. (23474054000); Hodgson, Victoria (58039565600); Murphy, Catherine (58039055400); Subramanian, Ana (58039565700); Wiebe, Evelyn (58039565800); Yoganathan, Piriya (55303578800); Medynski, Liana (58039419200); Vaillan, Dominique C. (58039275600); Black, Alice (58039275700); McDiarmid, Sheryl A. (7007041192); Kennah, Michael Lee (57336898400); Hamelin, Linda (14424093900); Song, Kevin W. (55657891300); Narayanan, Sujaatha (12764849300); Rodrigo, Judith A. (54881383500); Dupont, Stefany (57637837300); Hawrysh, Terry (57219029511); Presseau, Justin (17344695200); Thavorn, Kednapa (24367867500); Lalu, Manoj Mathew (7801545674); Fergusson, Dean A. (7102364909); Bell, John Cameron (7404446213); Atkins, Harold L. (56600037900); Nelson, Brad H. (7402428032); Holt, Robert A. (7402085535)</t>
  </si>
  <si>
    <t>53879840800; 57192995169; 35408202500; 54967121800; 8976677500; 59871614400; 11939507300; 7404066481; 54780511600; 21835182800; 57199191934; 6503959566; 16317843900; 56884760600; 57226006613; 37117287300; 58039128100; 58039495700; 58362910100; 56208887800; 58039419000; 58039419100; 58039348700; 56522559200; 58039200500; 58039348800; 23474054000; 58039565600; 58039055400; 58039565700; 58039565800; 55303578800; 58039419200; 58039275600; 58039275700; 7007041192; 57336898400; 14424093900; 55657891300; 12764849300; 54881383500; 57637837300; 57219029511; 17344695200; 24367867500; 7801545674; 7102364909; 7404446213; 56600037900; 7402428032; 7402085535</t>
  </si>
  <si>
    <t>CLIC-01: Manufacture and distribution of non-cryopreserved CAR-T cells for patients with CD19 positive hematologic malignancies</t>
  </si>
  <si>
    <t>Frontiers in Immunology</t>
  </si>
  <si>
    <t>10.3389/fimmu.2022.1074740</t>
  </si>
  <si>
    <t>https://www.scopus.com/inward/record.uri?eid=2-s2.0-85145421448&amp;doi=10.3389%2Ffimmu.2022.1074740&amp;partnerID=40&amp;md5=47b118002e4df812416ef97446ec6d0d</t>
  </si>
  <si>
    <t>Clinical Epidemiology Program, Ottawa Hospital Research Institute, Ottawa, ON, Canada; Division of Hematology, L'Hôpital d'Ottawa, Ottawa, ON, Canada; Department of Medicine, The University of British Columbia, Vancouver, BC, Canada; Terry Fox Laboratory, Vancouver, BC, Canada; Vancouver General Hospital, Vancouver, BC, Canada; Conconi Family Immunotherapy Lab, British Columbia Cancer, Victoria, BC, Canada; Canada‘s Michael Smith Genome Sciences Centre, Vancouver, BC, Canada; Center for Innovative Cancer Therapeutics, Ottawa Hospital Research Institute, Ottawa, ON, Canada; Department of Biochemistry, University of Ottawa, Ottawa, ON, Canada; School of Epidemiology and Public Health, University of Ottawa, Ottawa, ON, Canada; Department of Cellular and Molecular Medicine, University of Ottawa, Ottawa, ON, Canada; Department of Biochemistry and Microbiology, University of Victoria, Victoria, BC, Canada; Department of Medical Genetics, The University of British Columbia, Vancouver, BC, Canada; Department of Biochemistry and Molecular Biology, Simon Fraser University, Burnaby, BC, Canada</t>
  </si>
  <si>
    <t>Kekre, Natasha, Clinical Epidemiology Program, Ottawa Hospital Research Institute, Ottawa, ON, Canada, Division of Hematology, L'Hôpital d'Ottawa, Ottawa, ON, Canada; Hay, Kevin A., Department of Medicine, The University of British Columbia, Vancouver, BC, Canada, Terry Fox Laboratory, Vancouver, BC, Canada, Vancouver General Hospital, Vancouver, BC, Canada; Webb, John R., Conconi Family Immunotherapy Lab, British Columbia Cancer, Victoria, BC, Canada; Mallick, Ranjeeta, Clinical Epidemiology Program, Ottawa Hospital Research Institute, Ottawa, ON, Canada; Balasundaram, Miruna, Canada‘s Michael Smith Genome Sciences Centre, Vancouver, BC, Canada; Sigrist, Mhairi K., Terry Fox Laboratory, Vancouver, BC, Canada; Clement, Anne Marie, Clinical Epidemiology Program, Ottawa Hospital Research Institute, Ottawa, ON, Canada, Division of Hematology, L'Hôpital d'Ottawa, Ottawa, ON, Canada; Nielsen, Julie S., Conconi Family Immunotherapy Lab, British Columbia Cancer, Victoria, BC, Canada; Quizi, Jennifer L., Center for Innovative Cancer Therapeutics, Ottawa Hospital Research Institute, Ottawa, ON, Canada, Department of Biochemistry, University of Ottawa, Ottawa, ON, Canada; Yung, Eric, Canada‘s Michael Smith Genome Sciences Centre, Vancouver, BC, Canada; Brown, Scott D., Canada‘s Michael Smith Genome Sciences Centre, Vancouver, BC, Canada; Dreolini, Lisa, Canada‘s Michael Smith Genome Sciences Centre, Vancouver, BC, Canada; Waller, Daniel D., Terry Fox Laboratory, Vancouver, BC, Canada; Smazynski, Julian, Conconi Family Immunotherapy Lab, British Columbia Cancer, Victoria, BC, Canada; Gierc, Nicole S., Conconi Family Immunotherapy Lab, British Columbia Cancer, Victoria, BC, Canada; Loveless, Bianca C., Conconi Family Immunotherapy Lab, British Columbia Cancer, Victoria, BC, Canada; Clark, Kayla, Conconi Family Immunotherapy Lab, British Columbia Cancer, Victoria, BC, Canada; Dyer, Tyler, Conconi Family Immunotherapy Lab, British Columbia Cancer, Victoria, BC, Canada; Hogg, Richard, Conconi Family Immunotherapy Lab, British Columbia Cancer, Victoria, BC, Canada; McCormick, Leah, Conconi Family Immunotherapy Lab, British Columbia Cancer, Victoria, BC, Canada; Gignac, Michael, Conconi Family Immunotherapy Lab, British Columbia Cancer, Victoria, BC, Canada; Bell, Shanti, Conconi Family Immunotherapy Lab, British Columbia Cancer, Victoria, BC, Canada; Chapman, D. Maria, Conconi Family Immunotherapy Lab, British Columbia Cancer, Victoria, BC, Canada; Bond, David Alan, Conconi Family Immunotherapy Lab, British Columbia Cancer, Victoria, BC, Canada; Yong, Siao, Conconi Family Immunotherapy Lab, British Columbia Cancer, Victoria, BC, Canada; Fung, Rachel, Conconi Family Immunotherapy Lab, British Columbia Cancer, Victoria, BC, Canada; Lockyer, Heather M., Conconi Family Immunotherapy Lab, British Columbia Cancer, Victoria, BC, Canada; Hodgson, Victoria, Conconi Family Immunotherapy Lab, British Columbia Cancer, Victoria, BC, Canada; Murphy, Catherine, Conconi Family Immunotherapy Lab, British Columbia Cancer, Victoria, BC, Canada; Subramanian, Ana, Conconi Family Immunotherapy Lab, British Columbia Cancer, Victoria, BC, Canada; Wiebe, Evelyn, Conconi Family Immunotherapy Lab, British Columbia Cancer, Victoria, BC, Canada; Yoganathan, Piriya, Center for Innovative Cancer Therapeutics, Ottawa Hospital Research Institute, Ottawa, ON, Canada, Department of Biochemistry, University of Ottawa, Ottawa, ON, Canada; Medynski, Liana, Center for Innovative Cancer Therapeutics, Ottawa Hospital Research Institute, Ottawa, ON, Canada; Vaillan, Dominique C., Center for Innovative Cancer Therapeutics, Ottawa Hospital Research Institute, Ottawa, ON, Canada, Department of Biochemistry, University of Ottawa, Ottawa, ON, Canada; Black, Alice, Division of Hematology, L'Hôpital d'Ottawa, Ottawa, ON, Canada; McDiarmid, Sheryl A., Division of Hematology, L'Hôpital d'Ottawa, Ottawa, ON, Canada; Kennah, Michael Lee, Division of Hematology, L'Hôpital d'Ottawa, Ottawa, ON, Canada; Hamelin, Linda, Division of Hematology, L'Hôpital d'Ottawa, Ottawa, ON, Canada; Song, Kevin W., Vancouver General Hospital, Vancouver, BC, Canada; Narayanan, Sujaatha, Department of Medicine, The University of British Columbia, Vancouver, BC, Canada, Vancouver General Hospital, Vancouver, BC, Canada; Rodrigo, Judith A., Vancouver General Hospital, Vancouver, BC, Canada; Dupont, Stefany, Clinical Epidemiology Program, Ottawa Hospital Research Institute, Ottawa, ON, Canada; Hawrysh, Terry, Clinical Epidemiology Program, Ottawa Hospital Research Institute, Ottawa, ON, Canada; Presseau, Justin, Clinical Epidemiology Program, Ottawa Hospital Research Institute, Ottawa, ON, Canada, School of Epidemiology and Public Health, University of Ottawa, Ottawa, ON, Canada; Thavorn, Kednapa, Clinical Epidemiology Program, Ottawa Hospital Research Institute, Ottawa, ON, Canada, School of Epidemiology and Public Health, University of Ottawa, Ottawa, ON, Canada; Lalu, Manoj Mathew, Clinical Epidemiology Program, Ottawa Hospital Research Institute, Ottawa, ON, Canada; Fergusson, Dean A., Clinical Epidemiology Program, Ottawa Hospital Research Institute, Ottawa, ON, Canada, School of Epidemiology and Public Health, University of Ottawa, Ottawa, ON, Canada; Bell, John Cameron, Center for Innovative Cancer Therapeutics, Ottawa Hospital Research Institute, Ottawa, ON, Canada, Department of Biochemistry, University of Ottawa, Ottawa, ON, Canada; Atkins, Harold L., Division of Hematology, L'Hôpital d'Ottawa, Ottawa, ON, Canada, Center for Innovative Cancer Therapeutics, Ottawa Hospital Research Institute, Ottawa, ON, Canada, Department of Cellular and Molecular Medicine, University of Ottawa, Ottawa, ON, Canada; Nelson, Brad H., Conconi Family Immunotherapy Lab, British Columbia Cancer, Victoria, BC, Canada, Department of Biochemistry and Microbiology, University of Victoria, Victoria, BC, Canada, Department of Medical Genetics, The University of British Columbia, Vancouver, BC, Canada; Holt, Robert A., Canada‘s Michael Smith Genome Sciences Centre, Vancouver, BC, Canada, Department of Biochemistry and Microbiology, University of Victoria, Victoria, BC, Canada, Department of Biochemistry and Molecular Biology, Simon Fraser University, Burnaby, BC, Canada</t>
  </si>
  <si>
    <t>N. Kekre; Clinical Epidemiology Program, Ottawa Hospital Research Institute, Ottawa, Canada; email: nkekre@toh.ca</t>
  </si>
  <si>
    <t>Frontiers Media S.A.</t>
  </si>
  <si>
    <t>Front. Immunol.</t>
  </si>
  <si>
    <t>2-s2.0-85145421448</t>
  </si>
  <si>
    <t>Somanath, S.; Wakkary, R.; Ettehadi, O.; Lin, H.; Behzad, A.; Eshpeter, J.; Oogjes, D.</t>
  </si>
  <si>
    <t>Somanath, Sowmya (59968431000); Wakkary, Ron (9633977700); Ettehadi, Omid (57215971174); Lin, Henry W.J. (56159860200); Behzad, Armi (57672504400); Eshpeter, Jordan (58062064400); Oogjes, Doenja (57189034863)</t>
  </si>
  <si>
    <t>59968431000; 9633977700; 57215971174; 56159860200; 57672504400; 58062064400; 57189034863</t>
  </si>
  <si>
    <t>Exploring the Composite Intentionality of 3D Printers and Makers in Digital Fabrication</t>
  </si>
  <si>
    <t>International Journal of Design</t>
  </si>
  <si>
    <t>10.57698/v16i3.005</t>
  </si>
  <si>
    <t>https://www.scopus.com/inward/record.uri?eid=2-s2.0-85146165388&amp;doi=10.57698%2Fv16i3.005&amp;partnerID=40&amp;md5=29cc91d416e7331341a6fd68dd330dfd</t>
  </si>
  <si>
    <t>University of Victoria, Victoria, BC, Canada; School of Interactive Arts and Technology, Simon Fraser University, Burnaby, BC, Canada; Department of Industrial Design, Technische Universiteit Eindhoven, Eindhoven, Noord-Brabant, Netherlands; Office of Graduate Studies, The Ontario College of Art and Design University, Toronto, ON, Canada</t>
  </si>
  <si>
    <t>Somanath, Sowmya, University of Victoria, Victoria, BC, Canada; Wakkary, Ron, School of Interactive Arts and Technology, Simon Fraser University, Burnaby, BC, Canada, Department of Industrial Design, Technische Universiteit Eindhoven, Eindhoven, Noord-Brabant, Netherlands; Ettehadi, Omid, Office of Graduate Studies, The Ontario College of Art and Design University, Toronto, ON, Canada; Lin, Henry W.J., School of Interactive Arts and Technology, Simon Fraser University, Burnaby, BC, Canada; Behzad, Armi, School of Interactive Arts and Technology, Simon Fraser University, Burnaby, BC, Canada; Eshpeter, Jordan, School of Interactive Arts and Technology, Simon Fraser University, Burnaby, BC, Canada; Oogjes, Doenja, Department of Industrial Design, Technische Universiteit Eindhoven, Eindhoven, Noord-Brabant, Netherlands</t>
  </si>
  <si>
    <t>S. Somanath; Department of Computer Science, University of Victoria, Victoria, Canada; email: sowmyasomanath@uvic.ca</t>
  </si>
  <si>
    <t>Chinese Institute of Design</t>
  </si>
  <si>
    <t>Int. J. Des.</t>
  </si>
  <si>
    <t>2-s2.0-85146165388</t>
  </si>
  <si>
    <t>Mikestikova, M.; Affolder, A.; Affolder, K.; Beaupré, S.; Beck, G.; Bernabéu, J.; Bevan, A.; Dawson, I.; Dowling, A.; Fadeyev, V.; Federičová, P.; Fernandez-Tejero, J.; Fournier, A.; Gignac, M.; Greig, G.; Gunnell, J.; Hara, K.; Hirose, S.; Hommels, B.; Ishii, T.; Jessiman, C.; Johnson, J.; Jones, D.; Kachiguin, S.; Kang, N.; Keller, J.; Klein, C.; Koffas, T.; Kroll, J.; Kvasnička, J.; Lacasta, C.; Latonova, V.; Martínez-Mckinney, F.; Miyagawa, P.; Montalbano, A.; Nakamura, K.; Poley, L.; Rousso, D.; Shah, A.; Slavíková, E.; Solaz, C.; Soldevila, U.; Staats, E.; Stack, T.; Stelzer, B.; Tůma, P.; Ullán, M.; Unno, Y.; Yarwick, J.; Zenz, S.</t>
  </si>
  <si>
    <t>Mikestikova, Marcela (16745277000); Affolder, Anthony A. (24400894800); Affolder, Kirsten (57215639667); Beaupré, Scott L. (57219358031); Beck, Graham A. (7202764007); Bernabéu, José (59290620100); Bevan, Adrian J. (35271358800); Dawson, Ian (55325102700); Dowling, A. (57953922500); Fadeyev, Vitaliy (55184573100); Federičová, Pavla (57193682371); Fernandez-Tejero, J. (56418611300); Fournier, Andrew (57196548325); Gignac, Matthew (56641060600); Greig, G. (57205908200); Gunnell, Jane (57197765149); Hara, Kazuhiko (57211830650); Hirose, Shigeki (57211065599); Hommels, Bart H. (27367868900); Ishii, T. (57954387800); Jessiman, C. E. (57204239724); Johnson, J. W. (55494658000); Jones, Dominic M. (57225106001); Kachiguin, S. (57219355436); Kang, N. J. (57221150710); Keller, John Stakely (35221647600); Klein, Christoph Thomas (57220791846); Koffas, Thomas (6602918957); Kroll, Jiri (35227513500); Kvasnička, Jiri (57953236000); Lacasta, C. (24401135900); Latonova, V. (57203753054); Martínez-Mckinney, Forest (15769581000); Miyagawa, Paul S. (35227770700); Montalbano, Alyssa (56397908300); Nakamura, Koji (57216803724); Poley, Luise (56050424300); Rousso, D. (57223221584); Shah, Aashaq Hussain (55571380500); Slavíková, E. A. (58038821300); Solaz, Carles (44861731700); Soldevila, Urmila (57210684394); Staats, E. J. (57218214535); Stack, Tynan L. (57219355767); Stelzer, Bernd (35227985000); Tůma, P. (57984468300); Ullán, Miguel (10044839800); Unno, Yoshinobu (56438958100); Yarwick, J. (57218215433); Zenz, S. C. (57204891647)</t>
  </si>
  <si>
    <t>16745277000; 24400894800; 57215639667; 57219358031; 7202764007; 59290620100; 35271358800; 55325102700; 57953922500; 55184573100; 57193682371; 56418611300; 57196548325; 56641060600; 57205908200; 57197765149; 57211830650; 57211065599; 27367868900; 57954387800; 57204239724; 55494658000; 57225106001; 57219355436; 57221150710; 35221647600; 57220791846; 6602918957; 35227513500; 57953236000; 24401135900; 57203753054; 15769581000; 35227770700; 56397908300; 57216803724; 56050424300; 57223221584; 55571380500; 58038821300; 44861731700; 57210684394; 57218214535; 57219355767; 35227985000; 57984468300; 10044839800; 56438958100; 57218215433; 57204891647</t>
  </si>
  <si>
    <t>ATLAS ITk strip sensor quality control procedures and testing site qualification</t>
  </si>
  <si>
    <t>C12013</t>
  </si>
  <si>
    <t>10.1088/1748-0221/17/12/C12013</t>
  </si>
  <si>
    <t>https://www.scopus.com/inward/record.uri?eid=2-s2.0-85145353554&amp;doi=10.1088%2F1748-0221%2F17%2F12%2FC12013&amp;partnerID=40&amp;md5=6ed534ec6b80153fc3b0aa8d00d91736</t>
  </si>
  <si>
    <t>Institute of Physics of the Czech Academy of Sciences, Prague, Czech Republic; Santa Cruz Institute for Particle Physics, Santa Cruz, CA, United States; Department of Physics, Simon Fraser University, Burnaby, BC, Canada; Department of Physics and Astronomy, Queen Mary University of London, London, United Kingdom; CSIC-UV - Instituto de Física Corpuscular (IFIC), Paterna, Valencia, Spain; TRIUMF, Vancouver, BC, Canada; Department of Physics, Cambridge, Cambridgeshire, United Kingdom; Carleton University, Ottawa, ON, Canada; CSIC - Instituto de Microelectronica de Barcelona (IMB-CNM), Cerdanyola del Valles, Barcelona, Spain; High Energy Accelerator Research Organization, Institute of Particle and Nuclear Physics, Tsukuba, Ibaraki, Japan; Institute of Pure and Applied Sciences, University of Tsukuba, Tsukuba, Ibaraki, Japan; Charles University, Prague, Czech Republic</t>
  </si>
  <si>
    <t>Mikestikova, Marcela, Institute of Physics of the Czech Academy of Sciences, Prague, Czech Republic, Charles University, Prague, Czech Republic; Affolder, Anthony A., Santa Cruz Institute for Particle Physics, Santa Cruz, CA, United States; Affolder, Kirsten, Santa Cruz Institute for Particle Physics, Santa Cruz, CA, United States; Beaupré, Scott L., Department of Physics, Simon Fraser University, Burnaby, BC, Canada, TRIUMF, Vancouver, BC, Canada; Beck, Graham A., Department of Physics and Astronomy, Queen Mary University of London, London, United Kingdom; Bernabéu, José, CSIC-UV - Instituto de Física Corpuscular (IFIC), Paterna, Valencia, Spain; Bevan, Adrian J., Department of Physics and Astronomy, Queen Mary University of London, London, United Kingdom; Dawson, Ian, Department of Physics and Astronomy, Queen Mary University of London, London, United Kingdom; Dowling, A., Santa Cruz Institute for Particle Physics, Santa Cruz, CA, United States; Fadeyev, Vitaliy, Santa Cruz Institute for Particle Physics, Santa Cruz, CA, United States; Federičová, Pavla, Institute of Physics of the Czech Academy of Sciences, Prague, Czech Republic; Fernandez-Tejero, J., Department of Physics, Simon Fraser University, Burnaby, BC, Canada, TRIUMF, Vancouver, BC, Canada; Fournier, Andrew, Department of Physics, Simon Fraser University, Burnaby, BC, Canada, TRIUMF, Vancouver, BC, Canada; Gignac, Matthew, Santa Cruz Institute for Particle Physics, Santa Cruz, CA, United States; Greig, G., Department of Physics, Simon Fraser University, Burnaby, BC, Canada, TRIUMF, Vancouver, BC, Canada; Gunnell, Jane, Santa Cruz Institute for Particle Physics, Santa Cruz, CA, United States; Hara, Kazuhiko, Institute of Pure and Applied Sciences, University of Tsukuba, Tsukuba, Ibaraki, Japan; Hirose, Shigeki, Institute of Pure and Applied Sciences, University of Tsukuba, Tsukuba, Ibaraki, Japan; Hommels, Bart H., Department of Physics, Cambridge, Cambridgeshire, United Kingdom; Ishii, T., Institute of Pure and Applied Sciences, University of Tsukuba, Tsukuba, Ibaraki, Japan; Jessiman, C. E., Carleton University, Ottawa, ON, Canada; Johnson, J. W., Santa Cruz Institute for Particle Physics, Santa Cruz, CA, United States; Jones, Dominic M., Department of Physics, Cambridge, Cambridgeshire, United Kingdom; Kachiguin, S., Santa Cruz Institute for Particle Physics, Santa Cruz, CA, United States; Kang, N. J., Santa Cruz Institute for Particle Physics, Santa Cruz, CA, United States; Keller, John Stakely, Carleton University, Ottawa, ON, Canada; Klein, Christoph Thomas, Carleton University, Ottawa, ON, Canada; Koffas, Thomas, Carleton University, Ottawa, ON, Canada; Kroll, Jiri, Institute of Physics of the Czech Academy of Sciences, Prague, Czech Republic; Kvasnička, Jiri, Institute of Physics of the Czech Academy of Sciences, Prague, Czech Republic; Lacasta, C., CSIC-UV - Instituto de Física Corpuscular (IFIC), Paterna, Valencia, Spain; Latonova, V., Institute of Physics of the Czech Academy of Sciences, Prague, Czech Republic, Charles University, Prague, Czech Republic; Martínez-Mckinney, Forest, Santa Cruz Institute for Particle Physics, Santa Cruz, CA, United States; Miyagawa, Paul S., Department of Physics and Astronomy, Queen Mary University of London, London, United Kingdom; Montalbano, Alyssa, Department of Physics, Simon Fraser University, Burnaby, BC, Canada, TRIUMF, Vancouver, BC, Canada; Nakamura, Koji, High Energy Accelerator Research Organization, Institute of Particle and Nuclear Physics, Tsukuba, Ibaraki, Japan; Poley, Luise, Department of Physics, Simon Fraser University, Burnaby, BC, Canada, TRIUMF, Vancouver, BC, Canada; Rousso, D., Department of Physics, Cambridge, Cambridgeshire, United Kingdom; Shah, Aashaq Hussain, Department of Physics and Astronomy, Queen Mary University of London, London, United Kingdom; Slavíková, E. A., Institute of Physics of the Czech Academy of Sciences, Prague, Czech Republic; Solaz, Carles, CSIC-UV - Instituto de Física Corpuscular (IFIC), Paterna, Valencia, Spain; Soldevila, Urmila, CSIC-UV - Instituto de Física Corpuscular (IFIC), Paterna, Valencia, Spain; Staats, E. J., Carleton University, Ottawa, ON, Canada; Stack, Tynan L., Department of Physics, Simon Fraser University, Burnaby, BC, Canada, TRIUMF, Vancouver, BC, Canada; Stelzer, Bernd, Department of Physics, Simon Fraser University, Burnaby, BC, Canada, TRIUMF, Vancouver, BC, Canada; Tůma, P., Institute of Physics of the Czech Academy of Sciences, Prague, Czech Republic; Ullán, Miguel, CSIC - Instituto de Microelectronica de Barcelona (IMB-CNM), Cerdanyola del Valles, Barcelona, Spain; Unno, Yoshinobu, High Energy Accelerator Research Organization, Institute of Particle and Nuclear Physics, Tsukuba, Ibaraki, Japan; Yarwick, J., Santa Cruz Institute for Particle Physics, Santa Cruz, CA, United States; Zenz, S. C., Department of Physics and Astronomy, Queen Mary University of London, London, United Kingdom</t>
  </si>
  <si>
    <t>M. Mikestikova; Institute of Physics, Czech Academy of Sciences, Prague, Na Slovance 2, 18221, Czech Republic; email: marcela.mikestikova@cern.ch</t>
  </si>
  <si>
    <t>2-s2.0-85145353554</t>
  </si>
  <si>
    <t>Kim, T.; Kalhori, A.H.; Kim, T.-H.; Bao, C.; Kim, W.S.</t>
  </si>
  <si>
    <t>Kim, Taeil (57205700445); Kalhori, Amirhossein Hassanpoor (57986000400); Kim, Tae Ho (56168759700); Bao, Chao (56612844400); Kim, Woo Soo (17136903100)</t>
  </si>
  <si>
    <t>57205700445; 57986000400; 56168759700; 56612844400; 17136903100</t>
  </si>
  <si>
    <t>Microsystems and Nanoengineering</t>
  </si>
  <si>
    <t>10.1038/s41378-022-00465-0</t>
  </si>
  <si>
    <t>https://www.scopus.com/inward/record.uri?eid=2-s2.0-85142866011&amp;doi=10.1038%2Fs41378-022-00465-0&amp;partnerID=40&amp;md5=4ad759c0e351e47449a8f7d7775c05d1</t>
  </si>
  <si>
    <t>Kim, Taeil, Additive Manufacturing Laboratory, Simon Fraser University, Burnaby, BC, Canada; Kalhori, Amirhossein Hassanpoor, Additive Manufacturing Laboratory, Simon Fraser University, Burnaby, BC, Canada; Kim, Tae Ho, Additive Manufacturing Laboratory, Simon Fraser University, Burnaby, BC, Canada; Bao, Chao, Additive Manufacturing Laboratory, Simon Fraser University, Burnaby, BC, Canada; Kim, Woo Soo, Additive Manufacturing Laboratory, Simon Fraser University, Burnaby, BC, Canada</t>
  </si>
  <si>
    <t>Microsyst. and Nanoeng.</t>
  </si>
  <si>
    <t>All Open Access; Gold Open Access; Green Final Open Access; Green Open Access</t>
  </si>
  <si>
    <t>2-s2.0-85142866011</t>
  </si>
  <si>
    <t>Bamorovat Abadi, G.; Bahrami, M.</t>
  </si>
  <si>
    <t>Bamorovat Abadi, Gholamreza (56971470300); Bahrami, Majid M. (35499001600)</t>
  </si>
  <si>
    <t>56971470300; 35499001600</t>
  </si>
  <si>
    <t>10.1038/s41598-022-19111-w</t>
  </si>
  <si>
    <t>https://www.scopus.com/inward/record.uri?eid=2-s2.0-85137105631&amp;doi=10.1038%2Fs41598-022-19111-w&amp;partnerID=40&amp;md5=a29b19e373c928fba431a7738dd7e36c</t>
  </si>
  <si>
    <t>Bamorovat Abadi, Gholamreza, School of Mechatronic Systems Engineering, Simon Fraser University, Burnaby, BC, Canada; Bahrami, Majid M., School of Mechatronic Systems Engineering, Simon Fraser University, Burnaby, BC, Canada</t>
  </si>
  <si>
    <t>G. Bamorovat Abadi; Laboratory for Alternative Energy Conversion (LAEC), School of Mechatronic Systems Engineering, Simon Fraser University, Surrey, V3T 0A3, Canada; email: gbamorov@sfu.ca; M. Bahrami; Laboratory for Alternative Energy Conversion (LAEC), School of Mechatronic Systems Engineering, Simon Fraser University, Surrey, V3T 0A3, Canada; email: mbahrami@sfu.ca</t>
  </si>
  <si>
    <t>2-s2.0-85137105631</t>
  </si>
  <si>
    <t>Hillier, A.D.; Blundell, S.J.; McKenzie, I.; Umegaki, I.; Shu, L.; Wright, J.A.; Prokscha, T.; Bert, F.; Shimomura, K.; Berlie, A.; Alberto, H.; Watanabe, I.</t>
  </si>
  <si>
    <t>Hillier, Adrian D. (7102718125); Blundell, Stephen J. (7004826134); McKenzie, Iain D. (7202607692); Umegaki, Izumi (26538413500); Shu, Lei (57200616279); Wright, Joseph A. (11441061300); Prokscha, Thomas (6701645335); Bert, Fabrice (7006916787); Shimomura, Kouichiro (59800260000); Berlie, Adam (36969653800); Alberto, Helena Vieira (57209266041); Watanabe, Isao (7402438308)</t>
  </si>
  <si>
    <t>7102718125; 7004826134; 7202607692; 26538413500; 57200616279; 11441061300; 6701645335; 7006916787; 59800260000; 36969653800; 57209266041; 7402438308</t>
  </si>
  <si>
    <t>Muon spin spectroscopy</t>
  </si>
  <si>
    <t>Nature Reviews Methods Primers</t>
  </si>
  <si>
    <t>10.1038/s43586-021-00089-0</t>
  </si>
  <si>
    <t>https://www.scopus.com/inward/record.uri?eid=2-s2.0-85124787281&amp;doi=10.1038%2Fs43586-021-00089-0&amp;partnerID=40&amp;md5=0536b5b651d8f414560ad4cf58d68f0a</t>
  </si>
  <si>
    <t>ISIS Neutron and Muon Source, Didcot, Oxfordshire, United Kingdom; University of Oxford, Oxford, Oxfordshire, United Kingdom; TRIUMF, Vancouver, BC, Canada; Simon Fraser University, Burnaby, BC, Canada; Department of Physics and Astronomy, University of Waterloo, Waterloo, ON, Canada; Toyota Central R&amp;D Labs., Inc., Nagakute, Aichi, Japan; Department of Physics, Fudan University, Shanghai, China; School of Chemistry, University of East Anglia, Norwich, Norfolk, United Kingdom; Laboratory for Muon Spin Spectroscopy, Paul Scherrer Institut, Villigen, AG, Switzerland; Université Paris-Saclay, Gif-sur-Yvette, Ile-de-France, France; High Energy Accelerator Research Organization, Tsukuba, Tsukuba, Ibaraki, Japan; Department of Physics, Centre for Physics of the University of Coimbra, Coimbra, Portugal; Advanced Meson Science Laboratory, Riken, Wako, Saitama, Japan</t>
  </si>
  <si>
    <t>Hillier, Adrian D., ISIS Neutron and Muon Source, Didcot, Oxfordshire, United Kingdom; Blundell, Stephen J., University of Oxford, Oxford, Oxfordshire, United Kingdom; McKenzie, Iain D., TRIUMF, Vancouver, BC, Canada, Simon Fraser University, Burnaby, BC, Canada, Department of Physics and Astronomy, University of Waterloo, Waterloo, ON, Canada; Umegaki, Izumi, Toyota Central R&amp;D Labs., Inc., Nagakute, Aichi, Japan; Shu, Lei, Department of Physics, Fudan University, Shanghai, China; Wright, Joseph A., School of Chemistry, University of East Anglia, Norwich, Norfolk, United Kingdom; Prokscha, Thomas, Laboratory for Muon Spin Spectroscopy, Paul Scherrer Institut, Villigen, AG, Switzerland; Bert, Fabrice, Université Paris-Saclay, Gif-sur-Yvette, Ile-de-France, France; Shimomura, Kouichiro, High Energy Accelerator Research Organization, Tsukuba, Tsukuba, Ibaraki, Japan; Berlie, Adam, ISIS Neutron and Muon Source, Didcot, Oxfordshire, United Kingdom; Alberto, Helena Vieira, Department of Physics, Centre for Physics of the University of Coimbra, Coimbra, Portugal; Watanabe, Isao, Advanced Meson Science Laboratory, Riken, Wako, Saitama, Japan</t>
  </si>
  <si>
    <t>A.D. Hillier; ISIS Neutron and Muon Facility, STFC Rutherford Appleton Laboratory, Didcot, United Kingdom; email: adrian.hillier@stfc.ac.uk</t>
  </si>
  <si>
    <t>Nat. Rev. Method. Prim.</t>
  </si>
  <si>
    <t>2-s2.0-85124787281</t>
  </si>
  <si>
    <t>Kim, T.-H.; Bao, C.; Chen, Z.; Kim, W.S.</t>
  </si>
  <si>
    <t>Kim, Tae Ho (56168759700); Bao, Chao (56612844400); Chen, Ziniu (57432972100); Kim, Woo Soo (17136903100)</t>
  </si>
  <si>
    <t>56168759700; 56612844400; 57432972100; 17136903100</t>
  </si>
  <si>
    <t>10.1038/s41528-022-00139-x</t>
  </si>
  <si>
    <t>https://www.scopus.com/inward/record.uri?eid=2-s2.0-85123795583&amp;doi=10.1038%2Fs41528-022-00139-x&amp;partnerID=40&amp;md5=5380b28d043125b7d1dc4a938fb129ed</t>
  </si>
  <si>
    <t>Kim, Tae Ho, School of Mechatronic Systems Engineering, Simon Fraser University, Burnaby, BC, Canada; Bao, Chao, School of Mechatronic Systems Engineering, Simon Fraser University, Burnaby, BC, Canada; Chen, Ziniu, School of Mechatronic Systems Engineering, Simon Fraser University, Burnaby, BC, Canada; Kim, Woo Soo, School of Mechatronic Systems Engineering, Simon Fraser University, Burnaby, BC, Canada</t>
  </si>
  <si>
    <t>2-s2.0-85123795583</t>
  </si>
  <si>
    <t>Taylor, A.K.; Prabhudev, S.; Botton, G.A.; Gates, B.D.</t>
  </si>
  <si>
    <t>Taylor, Audrey K. (55473545900); Prabhudev, Sagar (36802393200); Botton, Gianluigi A. (7004286678); Gates, Byron D. (7102128759)</t>
  </si>
  <si>
    <t>55473545900; 36802393200; 7004286678; 7102128759</t>
  </si>
  <si>
    <t>Assessing the Transformations of Supported Nanocatalysts Used in the Oxygen Evolution Reaction: A Case Study Using NiFe2O4Nanoparticles Supported on Textured Ni Electrodes</t>
  </si>
  <si>
    <t>ACS Applied Energy Materials</t>
  </si>
  <si>
    <t>10.1021/acsaem.2c01548</t>
  </si>
  <si>
    <t>https://www.scopus.com/inward/record.uri?eid=2-s2.0-85141363180&amp;doi=10.1021%2Facsaem.2c01548&amp;partnerID=40&amp;md5=6fe459420d599ed010fec7f33e79f34f</t>
  </si>
  <si>
    <t>Simon Fraser University, Burnaby, BC, Canada; McMaster University, Faculty of Engineering, Hamilton, ON, Canada</t>
  </si>
  <si>
    <t>Taylor, Audrey K., Simon Fraser University, Burnaby, BC, Canada; Prabhudev, Sagar, McMaster University, Faculty of Engineering, Hamilton, ON, Canada; Botton, Gianluigi A., McMaster University, Faculty of Engineering, Hamilton, ON, Canada; Gates, Byron D., Simon Fraser University, Burnaby, BC, Canada</t>
  </si>
  <si>
    <t>ACS Appl. Ener. Mat.</t>
  </si>
  <si>
    <t>2-s2.0-85141363180</t>
  </si>
  <si>
    <t>Allport, P.; Bach, E.; Basso, M.J.; Chisholm, A.; Cindro, V.; Fadeyev, V.; Fernandez-Tejero, J.; Fleta, C.; George, W.; Gonella, L.; Hara, K.; Hirose, S.; Ishii, T.; Klein, C.; Knight, T.; Koffas, T.; Kopsalis, I.; Kroll, J.; Kuramochi, K.; Kvasnička, J.; Latonova, V.; Mandic̀, I.; Mikestikova, M.; Orr, R.S.; Rossi, E.; Saito, K.; Sánchez, S.; Soldevila, U.; Staats, E.; Ullán, M.; Unno, Y.</t>
  </si>
  <si>
    <t>Allport, Philip Patrick (56224636200); Bach, È. (57965847500); Basso, Matthew J. (57211851570); Chisholm, Andrew S. (22970464400); Cindro, Vladimir (8791901800); Fadeyev, Vitaliy (55184573100); Fernandez-Tejero, J. (56418611300); Fleta, C. (8676539800); George, W. F. (57226498495); Gonella, Laura (36491574700); Hara, Kazuhiko (57211830650); Hirose, Shigeki (57211065599); Ishii, T. (57954387800); Klein, Christoph Thomas (57220791846); Knight, T. M. (57223212962); Koffas, Thomas (6602918957); Kopsalis, Ioannis (55973626800); Kroll, Jiri (35227513500); Kuramochi, K. (57965974800); Kvasnička, Jiri (57953236000); Latonova, V. (57203753054); Mandic̀, Igor (59230263500); Mikestikova, Marcela (16745277000); Orr, Robert S. (7102568880); Rossi, E. (57219646595); Saito, Kaishu (57217054508); Sánchez, S. (56957716600); Soldevila, Urmila (57210684394); Staats, E. J. (57218214535); Ullán, Miguel (10044839800); Unno, Yoshinobu (57220572546)</t>
  </si>
  <si>
    <t>56224636200; 57965847500; 57211851570; 22970464400; 8791901800; 55184573100; 56418611300; 8676539800; 57226498495; 36491574700; 57211830650; 57211065599; 57954387800; 57220791846; 57223212962; 6602918957; 55973626800; 35227513500; 57965974800; 57953236000; 57203753054; 59230263500; 16745277000; 7102568880; 57219646595; 57217054508; 56957716600; 57210684394; 57218214535; 10044839800; 57220572546</t>
  </si>
  <si>
    <t>C11002</t>
  </si>
  <si>
    <t>10.1088/1748-0221/17/11/C11002</t>
  </si>
  <si>
    <t>https://www.scopus.com/inward/record.uri?eid=2-s2.0-85141923930&amp;doi=10.1088%2F1748-0221%2F17%2F11%2FC11002&amp;partnerID=40&amp;md5=1e5e21d1c0db0a67d7a96255c3cf95fa</t>
  </si>
  <si>
    <t>School of Physics and Astronomy, University of Birmingham, Birmingham, West Midlands, United Kingdom; Campus UAB, CSIC - Instituto de Microelectronica de Barcelona (IMB-CNM), Cerdanyola del Valles, Barcelona, Spain; University of Toronto, Toronto, ON, Canada; Institut "Jožef Stefan", Ljubljana, Slovenia; Santa Cruz Institute for Particle Physics, Santa Cruz, CA, United States; Department of Physics, Simon Fraser University, Burnaby, BC, Canada; Institute of Pure and Applied Sciences, University of Tsukuba, Tsukuba, Ibaraki, Japan; Carleton University, Ottawa, ON, Canada; Institute of Physics of the Czech Academy of Sciences, Prague, Czech Republic; CSIC-UV - Instituto de Física Corpuscular (IFIC), Paterna, Valencia, Spain; High Energy Accelerator Research Organization, Institute of Particle and Nuclear Physics, Tsukuba, Ibaraki, Japan</t>
  </si>
  <si>
    <t>Allport, Philip Patrick, School of Physics and Astronomy, University of Birmingham, Birmingham, West Midlands, United Kingdom; Bach, È., Campus UAB, CSIC - Instituto de Microelectronica de Barcelona (IMB-CNM), Cerdanyola del Valles, Barcelona, Spain; Basso, Matthew J., University of Toronto, Toronto, ON, Canada; Chisholm, Andrew S., School of Physics and Astronomy, University of Birmingham, Birmingham, West Midlands, United Kingdom; Cindro, Vladimir, Institut "Jožef Stefan", Ljubljana, Slovenia; Fadeyev, Vitaliy, Santa Cruz Institute for Particle Physics, Santa Cruz, CA, United States; Fernandez-Tejero, J., Department of Physics, Simon Fraser University, Burnaby, BC, Canada; Fleta, C., Campus UAB, CSIC - Instituto de Microelectronica de Barcelona (IMB-CNM), Cerdanyola del Valles, Barcelona, Spain; George, W. F., School of Physics and Astronomy, University of Birmingham, Birmingham, West Midlands, United Kingdom; Gonella, Laura, School of Physics and Astronomy, University of Birmingham, Birmingham, West Midlands, United Kingdom; Hara, Kazuhiko, Institute of Pure and Applied Sciences, University of Tsukuba, Tsukuba, Ibaraki, Japan; Hirose, Shigeki, Institute of Pure and Applied Sciences, University of Tsukuba, Tsukuba, Ibaraki, Japan; Ishii, T., Institute of Pure and Applied Sciences, University of Tsukuba, Tsukuba, Ibaraki, Japan; Klein, Christoph Thomas, Carleton University, Ottawa, ON, Canada; Knight, T. M., University of Toronto, Toronto, ON, Canada; Koffas, Thomas, Carleton University, Ottawa, ON, Canada; Kopsalis, Ioannis, School of Physics and Astronomy, University of Birmingham, Birmingham, West Midlands, United Kingdom; Kroll, Jiri, Institute of Physics of the Czech Academy of Sciences, Prague, Czech Republic; Kuramochi, K., Institute of Pure and Applied Sciences, University of Tsukuba, Tsukuba, Ibaraki, Japan; Kvasnička, Jiri, Institute of Physics of the Czech Academy of Sciences, Prague, Czech Republic; Latonova, V., Institute of Physics of the Czech Academy of Sciences, Prague, Czech Republic; Mandic̀, Igor, Institut "Jožef Stefan", Ljubljana, Slovenia; Mikestikova, Marcela, Institute of Physics of the Czech Academy of Sciences, Prague, Czech Republic; Orr, Robert S., University of Toronto, Toronto, ON, Canada; Rossi, E., University of Toronto, Toronto, ON, Canada; Saito, Kaishu, Institute of Pure and Applied Sciences, University of Tsukuba, Tsukuba, Ibaraki, Japan; Sánchez, S., Campus UAB, CSIC - Instituto de Microelectronica de Barcelona (IMB-CNM), Cerdanyola del Valles, Barcelona, Spain; Soldevila, Urmila, CSIC-UV - Instituto de Física Corpuscular (IFIC), Paterna, Valencia, Spain; Staats, E. J., Carleton University, Ottawa, ON, Canada; Ullán, Miguel, Campus UAB, CSIC - Instituto de Microelectronica de Barcelona (IMB-CNM), Cerdanyola del Valles, Barcelona, Spain; Unno, Yoshinobu, High Energy Accelerator Research Organization, Institute of Particle and Nuclear Physics, Tsukuba, Ibaraki, Japan</t>
  </si>
  <si>
    <t>E. Bach; Centro Nacional de Microelectrónica (IMB-CNM, CSIC), Campus UAB-Bellaterra, Barcelona, Spain; email: eric.bach@imb-cnm.csic.es</t>
  </si>
  <si>
    <t>2-s2.0-85141923930</t>
  </si>
  <si>
    <t>Shang, H.L.; Cao, J.; Sang, P.</t>
  </si>
  <si>
    <t>Shang, Han Lin (57146422200); Cao, Jiguo (14622304000); Sang, Peijun (57073159000)</t>
  </si>
  <si>
    <t>57146422200; 14622304000; 57073159000</t>
  </si>
  <si>
    <t>Stopping time detection of wood panel compression: A functional time-series approach</t>
  </si>
  <si>
    <t>Journal of the Royal Statistical Society. Series C: Applied Statistics</t>
  </si>
  <si>
    <t>10.1111/rssc.12572</t>
  </si>
  <si>
    <t>https://www.scopus.com/inward/record.uri?eid=2-s2.0-85131319672&amp;doi=10.1111%2Frssc.12572&amp;partnerID=40&amp;md5=c4dfb18b896d7f10432b98c9b5f2dc05</t>
  </si>
  <si>
    <t>Department of Actuarial Studies and Business Analytics, Macquarie University, Sydney, NSW, Australia; Department of Statistics and Actuarial Science, Simon Fraser University, Burnaby, BC, Canada; Department of Statistics and Actuarial Science, University of Waterloo, Waterloo, ON, Canada</t>
  </si>
  <si>
    <t>Shang, Han Lin, Department of Actuarial Studies and Business Analytics, Macquarie University, Sydney, NSW, Australia; Cao, Jiguo, Department of Statistics and Actuarial Science, Simon Fraser University, Burnaby, BC, Canada; Sang, Peijun, Department of Statistics and Actuarial Science, University of Waterloo, Waterloo, ON, Canada</t>
  </si>
  <si>
    <t>H.L. Shang; Department of Actuarial Studies and Business Analytics, Macquarie University, Sydney, Australia; email: hanlin.shang@mq.edu.au</t>
  </si>
  <si>
    <t>J. R. Stat. Soc. Ser. C Appl. Stat.</t>
  </si>
  <si>
    <t>2-s2.0-85131319672</t>
  </si>
  <si>
    <t>Rashid, S.; Shin, S.; Jang, H.; Jung, S.-G.; Mun, E.; Park, T.</t>
  </si>
  <si>
    <t>Rashid, Samreen (57222093691); Shin, Soohyeon (56459324500); Jang, Harim (57195675328); Jung, Soon-gil (15128724200); Mun, Eundeok (17346654700); Park, Tuson (8251575700)</t>
  </si>
  <si>
    <t>57222093691; 56459324500; 57195675328; 15128724200; 17346654700; 8251575700</t>
  </si>
  <si>
    <t>Synthesis and characterization of iQC Al13Cr2 phase single crystal</t>
  </si>
  <si>
    <t>Materials Letters</t>
  </si>
  <si>
    <t>10.1016/j.matlet.2022.132861</t>
  </si>
  <si>
    <t>https://www.scopus.com/inward/record.uri?eid=2-s2.0-85134470122&amp;doi=10.1016%2Fj.matlet.2022.132861&amp;partnerID=40&amp;md5=8f9087ad519bd7c42e5ff9b45601d031</t>
  </si>
  <si>
    <t>Sungkyunkwan University, Seoul, South Korea; Laboratory for Multiscale Materials Experiments, Paul Scherrer Institut, Villigen, AG, Switzerland; Department of Physics, Simon Fraser University, Burnaby, BC, Canada</t>
  </si>
  <si>
    <t>Rashid, Samreen, Sungkyunkwan University, Seoul, South Korea; Shin, Soohyeon, Laboratory for Multiscale Materials Experiments, Paul Scherrer Institut, Villigen, AG, Switzerland; Jang, Harim, Sungkyunkwan University, Seoul, South Korea; Jung, Soon-gil, Sungkyunkwan University, Seoul, South Korea; Mun, Eundeok, Department of Physics, Simon Fraser University, Burnaby, BC, Canada; Park, Tuson, Sungkyunkwan University, Seoul, South Korea</t>
  </si>
  <si>
    <t>T. Park; Centre for Quantum Materials and Superconductivity (CQMS) Department of Physics, Sungkyunkwan University, Suwon, 16419, South Korea; email: tp8701@skku.edu</t>
  </si>
  <si>
    <t>0167577X</t>
  </si>
  <si>
    <t>MLETD</t>
  </si>
  <si>
    <t>Mater Lett</t>
  </si>
  <si>
    <t>2-s2.0-85134470122</t>
  </si>
  <si>
    <t>Timbrell, L.; Scott, C.; Habte, B.; Tefera, Y.; Monod, H.; Qazzih, M.; Marais, B.; Black, W.; Maroma, C.; Ndiema, E.; Henderson, S.; Elmes, K.; Plomp, K.; Grove, M.</t>
  </si>
  <si>
    <t>Timbrell, Lucy (57301519700); Scott, Christopher (57223087575); Habte, Behailu (57820268400); Tefera, Yosef (57820099800); Monod, Hélène (57820442600); Qazzih, Mouna (57819754400); Marais, Benjamin (57820268500); Black, Wendy (56315757000); Maroma, Christine (57820442700); Ndiema, Emmanuel K. (53064374100); Henderson, Struan (58401318700); Elmes, Katherine (57222210253); Plomp, Kimberly A. (55425784700); Grove, Matt (26032544100)</t>
  </si>
  <si>
    <t>57301519700; 57223087575; 57820268400; 57820099800; 57820442600; 57819754400; 57820268500; 56315757000; 57820442700; 53064374100; 58401318700; 57222210253; 55425784700; 26032544100</t>
  </si>
  <si>
    <t>Testing inter-observer error under a collaborative research framework for studying lithic shape variability</t>
  </si>
  <si>
    <t>Archaeological and Anthropological Sciences</t>
  </si>
  <si>
    <t>10.1007/s12520-022-01676-2</t>
  </si>
  <si>
    <t>https://www.scopus.com/inward/record.uri?eid=2-s2.0-85139191793&amp;doi=10.1007%2Fs12520-022-01676-2&amp;partnerID=40&amp;md5=cb5989923128b67cfc08d3281f503d30</t>
  </si>
  <si>
    <t>Department of Archaeology, University of Liverpool, Liverpool, Merseyside, United Kingdom; Authority for Research and Conservation of Cultural Heritage (ARCCH), National Museum of Ethiopia, Addis Ababa, Addis Ababa, Ethiopia; Département Homme et Environnement, Museé de l'Homme, Paris, France; Institut National des Sciences de l’Archéologie et du Patrimoine, Rabat, Morocco; Archaeology Unit, Cape Town, South Africa; Department of Archaeology, National Museums of Kenya, Nairobi, Nairobi, Kenya; Department of Archaeology, Max-Planck-Institut für Geoanthropologie, Jena, Thuringen, Germany; Mossel Bay Archaeological Project, Cape Town, South Africa; Archaeological Studies Program, University of the Philippines Diliman, Quezon City, Philippines; Department of Archaeology, Simon Fraser University, Burnaby, BC, Canada</t>
  </si>
  <si>
    <t>Timbrell, Lucy, Department of Archaeology, University of Liverpool, Liverpool, Merseyside, United Kingdom; Scott, Christopher, Department of Archaeology, University of Liverpool, Liverpool, Merseyside, United Kingdom; Habte, Behailu, Authority for Research and Conservation of Cultural Heritage (ARCCH), National Museum of Ethiopia, Addis Ababa, Addis Ababa, Ethiopia; Tefera, Yosef, Authority for Research and Conservation of Cultural Heritage (ARCCH), National Museum of Ethiopia, Addis Ababa, Addis Ababa, Ethiopia; Monod, Hélène, Département Homme et Environnement, Museé de l'Homme, Paris, France; Qazzih, Mouna, Institut National des Sciences de l’Archéologie et du Patrimoine, Rabat, Morocco; Marais, Benjamin, Archaeology Unit, Cape Town, South Africa; Black, Wendy, Archaeology Unit, Cape Town, South Africa; Maroma, Christine, Department of Archaeology, National Museums of Kenya, Nairobi, Nairobi, Kenya; Ndiema, Emmanuel K., Department of Archaeology, National Museums of Kenya, Nairobi, Nairobi, Kenya, Department of Archaeology, Max-Planck-Institut für Geoanthropologie, Jena, Thuringen, Germany; Henderson, Struan, Mossel Bay Archaeological Project, Cape Town, South Africa; Elmes, Katherine, Mossel Bay Archaeological Project, Cape Town, South Africa; Plomp, Kimberly A., Archaeological Studies Program, University of the Philippines Diliman, Quezon City, Philippines, Department of Archaeology, Simon Fraser University, Burnaby, BC, Canada; Grove, Matt, Department of Archaeology, University of Liverpool, Liverpool, Merseyside, United Kingdom</t>
  </si>
  <si>
    <t>L. Timbrell; Department of Archaeology, Classics and Egyptology, University of Liverpool, Liverpool, United Kingdom; email: lucy.timbrell@liverpool.ac.uk</t>
  </si>
  <si>
    <t>Archaeol. Anthropol. Sci.</t>
  </si>
  <si>
    <t>2-s2.0-85139191793</t>
  </si>
  <si>
    <t>Liu, Z.; Wu, H.; Yuan, Y.; Wan, H.; Luo, Z.; Gao, P.; Zhuang, J.; Zhang, J.; Zhang, N.; Li, J.; Zhan, Y.; Ren, W.; Ye, Z.-G.</t>
  </si>
  <si>
    <t>Liu, Zenghui (56599407500); Wu, Hua (7405584390); Yuan, Yi (57207812926); Wan, Hongyan (57191164138); Luo, Zeng (57194680258); Gao, Pan (55763930900); Zhuang, Jian (57202600151); Zhang, Jie (56016217200); Zhang, Nan (26023886900); Li, Jingrui (7410067435); Zhan, Yage (7102619897); Ren, Wei (57201421397); Ye, Zuo Guang (24443034100)</t>
  </si>
  <si>
    <t>56599407500; 7405584390; 57207812926; 57191164138; 57194680258; 55763930900; 57202600151; 56016217200; 26023886900; 7410067435; 7102619897; 57201421397; 24443034100</t>
  </si>
  <si>
    <t>Current Opinion in Solid State and Materials Science</t>
  </si>
  <si>
    <t>10.1016/j.cossms.2022.101016</t>
  </si>
  <si>
    <t>https://www.scopus.com/inward/record.uri?eid=2-s2.0-85132215202&amp;doi=10.1016%2Fj.cossms.2022.101016&amp;partnerID=40&amp;md5=944fa29dc666aaa7f3748061e6a37ab9</t>
  </si>
  <si>
    <t>Electronic Materials Research Laboratory, Xi'an Jiaotong University, Xi'an, Shaanxi, China; College of Sciences, Donghua University, Shanghai, Shanghai, China; Department of Chemistry and 4D LABS, Simon Fraser University, Burnaby, BC, Canada; School of Electronic Information and Artificial Intelligence, Shaanxi University of Science and Technology, Xinyang, Shaanxi, China</t>
  </si>
  <si>
    <t>Liu, Zenghui, Electronic Materials Research Laboratory, Xi'an Jiaotong University, Xi'an, Shaanxi, China; Wu, Hua, College of Sciences, Donghua University, Shanghai, Shanghai, China; Yuan, Yi, Department of Chemistry and 4D LABS, Simon Fraser University, Burnaby, BC, Canada; Wan, Hongyan, Electronic Materials Research Laboratory, Xi'an Jiaotong University, Xi'an, Shaanxi, China; Luo, Zeng, Electronic Materials Research Laboratory, Xi'an Jiaotong University, Xi'an, Shaanxi, China; Gao, Pan, School of Electronic Information and Artificial Intelligence, Shaanxi University of Science and Technology, Xinyang, Shaanxi, China; Zhuang, Jian, Electronic Materials Research Laboratory, Xi'an Jiaotong University, Xi'an, Shaanxi, China; Zhang, Jie, Electronic Materials Research Laboratory, Xi'an Jiaotong University, Xi'an, Shaanxi, China; Zhang, Nan, Electronic Materials Research Laboratory, Xi'an Jiaotong University, Xi'an, Shaanxi, China; Li, Jingrui, Electronic Materials Research Laboratory, Xi'an Jiaotong University, Xi'an, Shaanxi, China; Zhan, Yage, College of Sciences, Donghua University, Shanghai, Shanghai, China; Ren, Wei, Electronic Materials Research Laboratory, Xi'an Jiaotong University, Xi'an, Shaanxi, China; Ye, Zuo Guang, Department of Chemistry and 4D LABS, Simon Fraser University, Burnaby, BC, Canada</t>
  </si>
  <si>
    <t>Z. Liu; Electronic Materials Research Laboratory, Key Laboratory of the Ministry of Education &amp; International Center for Dielectric Research, School of Electronic Science and Engineering, Xi'an Jiaotong University, Xi'an, 710049, China; email: liu.z.h@xjtu.edu.cn</t>
  </si>
  <si>
    <t>Curr. Opin. Solid State Mater. Sci.</t>
  </si>
  <si>
    <t>2-s2.0-85132215202</t>
  </si>
  <si>
    <t>Yang, H.; Zhao, J.; Ren, W.; Ye, Z.-G.; Vinayakumar, K.B.; Alves Dias, R.A.; Pinto, R.M.R.; Zhuang, J.; Zhang, N.</t>
  </si>
  <si>
    <t>Yang, Hao (57218295059); Zhao, Jinyan (56149865900); Ren, Wei (57201421397); Ye, Zuo Guang (24443034100); Vinayakumar, K. B. (57202060410); Alves Dias, Rosana Alves (24721290200); Pinto, Rui M.R. (57209247586); Zhuang, Jian (57202600151); Zhang, Nan (26023886900)</t>
  </si>
  <si>
    <t>57218295059; 56149865900; 57201421397; 24443034100; 57202060410; 24721290200; 57209247586; 57202600151; 26023886900</t>
  </si>
  <si>
    <t>Lead free 0.9Na1/2Bi1/2TiO3-0.1BaZr0.2Ti0.8O3thin film with large piezoelectric electrostrain</t>
  </si>
  <si>
    <t>10.1063/5.0106934</t>
  </si>
  <si>
    <t>https://www.scopus.com/inward/record.uri?eid=2-s2.0-85139151295&amp;doi=10.1063%2F5.0106934&amp;partnerID=40&amp;md5=3779974a829a641ed99fef65802f3b8f</t>
  </si>
  <si>
    <t>Electronic Materials Research Laboratory, Xi'an Jiaotong University, Xi'an, Shaanxi, China; International Iberian Nanotechnology Laboratory, Braga, Minho, Portugal; Department of Chemistry and 4D LABS, Simon Fraser University, Burnaby, BC, Canada</t>
  </si>
  <si>
    <t>Yang, Hao, Electronic Materials Research Laboratory, Xi'an Jiaotong University, Xi'an, Shaanxi, China, International Iberian Nanotechnology Laboratory, Braga, Minho, Portugal; Zhao, Jinyan, Electronic Materials Research Laboratory, Xi'an Jiaotong University, Xi'an, Shaanxi, China; Ren, Wei, Electronic Materials Research Laboratory, Xi'an Jiaotong University, Xi'an, Shaanxi, China; Ye, Zuo Guang, Department of Chemistry and 4D LABS, Simon Fraser University, Burnaby, BC, Canada; Vinayakumar, K. B., International Iberian Nanotechnology Laboratory, Braga, Minho, Portugal; Alves Dias, Rosana Alves, International Iberian Nanotechnology Laboratory, Braga, Minho, Portugal; Pinto, Rui M.R., International Iberian Nanotechnology Laboratory, Braga, Minho, Portugal; Zhuang, Jian, Electronic Materials Research Laboratory, Xi'an Jiaotong University, Xi'an, Shaanxi, China; Zhang, Nan, Electronic Materials Research Laboratory, Xi'an Jiaotong University, Xi'an, Shaanxi, China</t>
  </si>
  <si>
    <t>J. Zhuang; Electronic Materials Research Laboratory, Key Laboratory of the Ministry of Education, International Center for Dielectric Research, School of Electronic Science and Engineering, Xi'An Jiaotong University, Xi'an, 710049, China; email: jzhuang@xjtu.edu.cn; N. Zhang; Electronic Materials Research Laboratory, Key Laboratory of the Ministry of Education, International Center for Dielectric Research, School of Electronic Science and Engineering, Xi'An Jiaotong University, Xi'an, 710049, China; email: nzhang1@xjtu.edu.cn</t>
  </si>
  <si>
    <t>2-s2.0-85139151295</t>
  </si>
  <si>
    <t>Rive, C.M.; Yung, E.; Dreolini, L.; Brown, S.D.; May, C.G.; Woodsworth, D.J.; Holt, R.A.</t>
  </si>
  <si>
    <t>Rive, Craig M. (56194455900); Yung, Eric (21835182800); Dreolini, Lisa (6503959566); Brown, Scott D. (57199191934); May, Christopher G. (57193749607); Woodsworth, Daniel J. (36988161600); Holt, Robert A. (7402085535)</t>
  </si>
  <si>
    <t>56194455900; 21835182800; 6503959566; 57199191934; 57193749607; 36988161600; 7402085535</t>
  </si>
  <si>
    <t>Selective B cell depletion upon intravenous infusion of replication-incompetent anti-CD19 CAR lentivirus</t>
  </si>
  <si>
    <t>Molecular Therapy Methods and Clinical Development</t>
  </si>
  <si>
    <t>10.1016/j.omtm.2022.05.006</t>
  </si>
  <si>
    <t>https://www.scopus.com/inward/record.uri?eid=2-s2.0-85131801494&amp;doi=10.1016%2Fj.omtm.2022.05.006&amp;partnerID=40&amp;md5=b52746cc2787532ce71128e4140d6e46</t>
  </si>
  <si>
    <t>British Columbia Cancer Agency, Vancouver, BC, Canada; Department of Medical Genetics, The University of British Columbia, Vancouver, BC, Canada; Department of Biochemistry and Molecular Biology, Simon Fraser University, Burnaby, BC, Canada</t>
  </si>
  <si>
    <t>Rive, Craig M., British Columbia Cancer Agency, Vancouver, BC, Canada; Yung, Eric, British Columbia Cancer Agency, Vancouver, BC, Canada; Dreolini, Lisa, British Columbia Cancer Agency, Vancouver, BC, Canada; Brown, Scott D., British Columbia Cancer Agency, Vancouver, BC, Canada; May, Christopher G., British Columbia Cancer Agency, Vancouver, BC, Canada; Woodsworth, Daniel J., British Columbia Cancer Agency, Vancouver, BC, Canada; Holt, Robert A., British Columbia Cancer Agency, Vancouver, BC, Canada, Department of Medical Genetics, The University of British Columbia, Vancouver, BC, Canada, Department of Biochemistry and Molecular Biology, Simon Fraser University, Burnaby, BC, Canada</t>
  </si>
  <si>
    <t>R.A. Holt; Canada's Michael Smith Genome Sciences Centre, BC Cancer, Vancouver, V5Z 1L3, Canada; email: rholt@bcgsc.ca</t>
  </si>
  <si>
    <t>Cell Press</t>
  </si>
  <si>
    <t>Mol. Ther. Methods Clin. Dev.</t>
  </si>
  <si>
    <t>2-s2.0-85131801494</t>
  </si>
  <si>
    <t>Hira, A.; Pacini, H.; Attafuah-Wadee, K.; Sikander, M.; Oruko, R.; Dinan, A.</t>
  </si>
  <si>
    <t>Hira, Anil (6602185359); Pacini, Henrique (36548985000); Attafuah-Wadee, Kweku (57782258800); Sikander, Mehak (57329315600); Oruko, Richard O. (56252386000); Dinan, Amanda (57863234800)</t>
  </si>
  <si>
    <t>6602185359; 36548985000; 57782258800; 57329315600; 56252386000; 57863234800</t>
  </si>
  <si>
    <t>Journal of Developing Societies</t>
  </si>
  <si>
    <t>10.1177/0169796X221104856</t>
  </si>
  <si>
    <t>https://www.scopus.com/inward/record.uri?eid=2-s2.0-85136820573&amp;doi=10.1177%2F0169796X221104856&amp;partnerID=40&amp;md5=39dce436c31bce2ff0549baf100ff818</t>
  </si>
  <si>
    <t>Simon Fraser University, Burnaby, BC, Canada; United Nations Conference on Trade and Development, Geneva, GE, Switzerland; Resources Transformation, Ghana; World Wide Fund for Nature, Lahore, Pakistan; The Animal Health and Industry Training Institute (AHITI), United States</t>
  </si>
  <si>
    <t xml:space="preserve">Hira, Anil, Simon Fraser University, Burnaby, BC, Canada; Pacini, Henrique, United Nations Conference on Trade and Development, Geneva, GE, Switzerland; Attafuah-Wadee, Kweku, Resources Transformation, Ghana; Sikander, Mehak, World Wide Fund for Nature, Lahore, Pakistan; Oruko, Richard O., The Animal Health and Industry Training Institute (AHITI), United States; Dinan, Amanda, </t>
  </si>
  <si>
    <t>A. Hira; Simon Fraser University, United States; email: ahira@sfu.ca</t>
  </si>
  <si>
    <t>0169796X</t>
  </si>
  <si>
    <t>J. Dev. Soc.</t>
  </si>
  <si>
    <t>2-s2.0-85136820573</t>
  </si>
  <si>
    <t>Hira, A.; Pacini, H.</t>
  </si>
  <si>
    <t>Hira, Anil (6602185359); Pacini, Henrique (36548985000)</t>
  </si>
  <si>
    <t>6602185359; 36548985000</t>
  </si>
  <si>
    <t>Reducing Manufacturing and Environmental Pollution in the Global South: Lessons from the SMEP Program</t>
  </si>
  <si>
    <t>10.1177/0169796X221107954</t>
  </si>
  <si>
    <t>https://www.scopus.com/inward/record.uri?eid=2-s2.0-85136160869&amp;doi=10.1177%2F0169796X221107954&amp;partnerID=40&amp;md5=e50b96376a737b659004a9fcd781e005</t>
  </si>
  <si>
    <t>Simon Fraser University, Burnaby, BC, Canada; United Nations Conference on Trade and Development, Geneva, GE, Switzerland</t>
  </si>
  <si>
    <t>Hira, Anil, Simon Fraser University, Burnaby, BC, Canada; Pacini, Henrique, United Nations Conference on Trade and Development, Geneva, GE, Switzerland</t>
  </si>
  <si>
    <t>2-s2.0-85136160869</t>
  </si>
  <si>
    <t>Chakraborty, A.; Pai, N.; Zhao, J.; Tuttle, B.R.; Simonov, A.N.; Pecunia, V.</t>
  </si>
  <si>
    <t>Chakraborty, Abhisek (57191486372); Pai, Narendra K. (57194281275); Zhao, Jing (57214117753); Tuttle, Blair R. (56262850800); Simonov, Alexandr N. (35894458100); Pecunia, Vincenzo (36017327500)</t>
  </si>
  <si>
    <t>57191486372; 57194281275; 57214117753; 56262850800; 35894458100; 36017327500</t>
  </si>
  <si>
    <t>Rudorffites and Beyond: Perovskite-Inspired Silver/Copper Pnictohalides for Next-Generation Environmentally Friendly Photovoltaics and Optoelectronics</t>
  </si>
  <si>
    <t>10.1002/adfm.202203300</t>
  </si>
  <si>
    <t>https://www.scopus.com/inward/record.uri?eid=2-s2.0-85134421629&amp;doi=10.1002%2Fadfm.202203300&amp;partnerID=40&amp;md5=14df76d8e8d501b497ef0ef86025a92f</t>
  </si>
  <si>
    <t>Joint International Research Laboratory of Carbon-Based Functional Materials and Devices, Soochow University, Suzhou, Jiangsu, China; Department of Chemical Engineering, Monash University, Melbourne, VIC, Australia; Department of Physics, Penn State Behrend, Erie, PA, United States; School of Chemistry, Monash University, Melbourne, VIC, Australia; School of Sustainable Energy Engineering, Simon Fraser University, Burnaby, BC, Canada</t>
  </si>
  <si>
    <t>Chakraborty, Abhisek, Joint International Research Laboratory of Carbon-Based Functional Materials and Devices, Soochow University, Suzhou, Jiangsu, China; Pai, Narendra K., Department of Chemical Engineering, Monash University, Melbourne, VIC, Australia; Zhao, Jing, Joint International Research Laboratory of Carbon-Based Functional Materials and Devices, Soochow University, Suzhou, Jiangsu, China; Tuttle, Blair R., Department of Physics, Penn State Behrend, Erie, PA, United States; Simonov, Alexandr N., School of Chemistry, Monash University, Melbourne, VIC, Australia; Pecunia, Vincenzo, School of Sustainable Energy Engineering, Simon Fraser University, Burnaby, BC, Canada</t>
  </si>
  <si>
    <t>A.N. Simonov; School of Chemistry, Monash University, 3800, Australia; email: alexandr.simonov@monash.edu; V. Pecunia; School of Sustainable Energy Engineering, Simon Fraser University, Surrey, V3T 0N1, Canada; email: pecunia@sfu.ca</t>
  </si>
  <si>
    <t>2-s2.0-85134421629</t>
  </si>
  <si>
    <t>Hira, A.; Pacini, H.; Attafuah-Wadee, K.; Vivas-Eugui, D.; Saltzberg, M.; Yeoh, T.N.</t>
  </si>
  <si>
    <t>Hira, Anil (6602185359); Pacini, Henrique (36548985000); Attafuah-Wadee, Kweku (57782258800); Vivas-Eugui, David (55824606000); Saltzberg, Michael A. (6603999244); Yeoh, Tze Ni (57806874700)</t>
  </si>
  <si>
    <t>6602185359; 36548985000; 57782258800; 55824606000; 6603999244; 57806874700</t>
  </si>
  <si>
    <t>10.1177/0169796X221104855</t>
  </si>
  <si>
    <t>https://www.scopus.com/inward/record.uri?eid=2-s2.0-85134353842&amp;doi=10.1177%2F0169796X221104855&amp;partnerID=40&amp;md5=3d22570830c5a961b83b2acb526a62cc</t>
  </si>
  <si>
    <t>Simon Fraser University, Burnaby, BC, Canada; United Nations Conference on Trade and Development, Geneva, GE, Switzerland; Resources Transformation Ghana, Ghana; DuPont, Wilmington, DE, United States; Circular Economy Alliance, Australia</t>
  </si>
  <si>
    <t>Hira, Anil, Simon Fraser University, Burnaby, BC, Canada; Pacini, Henrique, United Nations Conference on Trade and Development, Geneva, GE, Switzerland; Attafuah-Wadee, Kweku, Resources Transformation Ghana, Ghana; Vivas-Eugui, David, United Nations Conference on Trade and Development, Geneva, GE, Switzerland; Saltzberg, Michael A., DuPont, Wilmington, DE, United States; Yeoh, Tze Ni, Circular Economy Alliance, Australia</t>
  </si>
  <si>
    <t>A. Hira; Simon Fraser University, Canada; email: anil_hira@sfu.ca</t>
  </si>
  <si>
    <t>2-s2.0-85134353842</t>
  </si>
  <si>
    <t>Hira, A.; Pacini, H.; Sanches-Pereira, A.S.; Attafuah-Wadee, K.; Rashid, A.; Gara, F.; Munene, K.</t>
  </si>
  <si>
    <t>Hira, Anil (6602185359); Pacini, Henrique (36548985000); Sanches-Pereira, Alessandro (55578547600); Attafuah-Wadee, Kweku (57782258800); Rashid, Amir (56414139800); Gara, Faith (57806965300); Munene, Keru (57807915800)</t>
  </si>
  <si>
    <t>6602185359; 36548985000; 55578547600; 57782258800; 56414139800; 57806965300; 57807915800</t>
  </si>
  <si>
    <t>10.1177/0169796X221107217</t>
  </si>
  <si>
    <t>https://www.scopus.com/inward/record.uri?eid=2-s2.0-85134349586&amp;doi=10.1177%2F0169796X221107217&amp;partnerID=40&amp;md5=bd9d18672aa92193886312f208995168</t>
  </si>
  <si>
    <t>Simon Fraser University, Burnaby, BC, Canada; United Nations, New York, NY, United States; Curtin Sustainability Policy Institute, United States; SUNY College of Environmental Science and Forestry, Syracuse, NY, United States; The Royal Institute of Technology (KTH), Stockholm, Stockholms, Sweden; University of Cape Town, Cape Town, Western Cape, South Africa; Open Capital, South Africa</t>
  </si>
  <si>
    <t>Hira, Anil, Simon Fraser University, Burnaby, BC, Canada; Pacini, Henrique, United Nations, New York, NY, United States; Sanches-Pereira, Alessandro, Curtin Sustainability Policy Institute, United States; Attafuah-Wadee, Kweku, SUNY College of Environmental Science and Forestry, Syracuse, NY, United States; Rashid, Amir, The Royal Institute of Technology (KTH), Stockholm, Stockholms, Sweden; Gara, Faith, University of Cape Town, Cape Town, Western Cape, South Africa; Munene, Keru, Open Capital, South Africa</t>
  </si>
  <si>
    <t>2-s2.0-85134349586</t>
  </si>
  <si>
    <t>Hira, A.; Pacini, H.; Attafuah-Wadee, K.; Hassall, J.</t>
  </si>
  <si>
    <t>Hira, Anil (6602185359); Pacini, Henrique (36548985000); Attafuah-Wadee, Kweku (57782258800); Hassall, Jonathan D. (56720478100)</t>
  </si>
  <si>
    <t>6602185359; 36548985000; 57782258800; 56720478100</t>
  </si>
  <si>
    <t>Sustainable Manufacturing and Environmental Pollution Programme (SMEP): A Circular Economy Experiment in the Global South</t>
  </si>
  <si>
    <t>10.1177/0169796X221106013</t>
  </si>
  <si>
    <t>https://www.scopus.com/inward/record.uri?eid=2-s2.0-85133494275&amp;doi=10.1177%2F0169796X221106013&amp;partnerID=40&amp;md5=65fe0dcd94defc8644a7fe6b853cc532</t>
  </si>
  <si>
    <t>Simon Fraser University, Burnaby, BC, Canada; United Nations Conference on Trade and Development, Geneva, GE, Switzerland; Resources Transformation Ghana, Ghana; Commonwealth Development Office, United Kingdom</t>
  </si>
  <si>
    <t>Hira, Anil, Simon Fraser University, Burnaby, BC, Canada; Pacini, Henrique, United Nations Conference on Trade and Development, Geneva, GE, Switzerland; Attafuah-Wadee, Kweku, Resources Transformation Ghana, Ghana; Hassall, Jonathan D., Commonwealth Development Office, United Kingdom</t>
  </si>
  <si>
    <t>2-s2.0-85133494275</t>
  </si>
  <si>
    <t>Zhao, T.; Xia, K.; Natali, D.; Pecunia, V.</t>
  </si>
  <si>
    <t>Zhao, Ting (57742641100); Xia, Kai (57202014601); Natali, Dario (6602524718); Pecunia, Vincenzo (36017327500)</t>
  </si>
  <si>
    <t>57742641100; 57202014601; 6602524718; 36017327500</t>
  </si>
  <si>
    <t>Solution-Based Integration of Vertically Stacked Organic Photodetectors Toward Easy-To-Fabricate Filterless Multi-Color Light Sensors</t>
  </si>
  <si>
    <t>Advanced Optical Materials</t>
  </si>
  <si>
    <t>10.1002/adom.202200862</t>
  </si>
  <si>
    <t>https://www.scopus.com/inward/record.uri?eid=2-s2.0-85132038775&amp;doi=10.1002%2Fadom.202200862&amp;partnerID=40&amp;md5=65a6ea6ade31902d5238182fb2566b10</t>
  </si>
  <si>
    <t>Joint International Research Laboratory of Carbon-Based Functional Materials and Devices, Soochow University, Suzhou, Jiangsu, China; Information and Bioengineering, Politecnico di Milano, Milan, MI, Italy; Center for Nano Science and Technology@PoliMi, Istituto Italiano di Tecnologia, Genoa, GE, Italy; School of Sustainable Energy Engineering, Simon Fraser University, Burnaby, BC, Canada</t>
  </si>
  <si>
    <t>Zhao, Ting, Joint International Research Laboratory of Carbon-Based Functional Materials and Devices, Soochow University, Suzhou, Jiangsu, China; Xia, Kai, Joint International Research Laboratory of Carbon-Based Functional Materials and Devices, Soochow University, Suzhou, Jiangsu, China; Natali, Dario, Information and Bioengineering, Politecnico di Milano, Milan, MI, Italy, Center for Nano Science and Technology@PoliMi, Istituto Italiano di Tecnologia, Genoa, GE, Italy; Pecunia, Vincenzo, School of Sustainable Energy Engineering, Simon Fraser University, Burnaby, BC, Canada</t>
  </si>
  <si>
    <t>V. Pecunia; School of Sustainable Energy Engineering, Simon Fraser University, Surrey, 5118 – 10285 University Drive, V3T 0N1, Canada; email: pecunia@sfu.ca</t>
  </si>
  <si>
    <t>Adv. Opt. Mater.</t>
  </si>
  <si>
    <t>2-s2.0-85132038775</t>
  </si>
  <si>
    <t>Ghavami, B.; Raji, M.; Ibrami, M.; Shannon, L.</t>
  </si>
  <si>
    <t>Ghavami, Behnam (23008458900); Raji, Mohsen (26666252800); Ibrami, Milad (57701225800); Shannon, Lesley (8618963200)</t>
  </si>
  <si>
    <t>23008458900; 26666252800; 57701225800; 8618963200</t>
  </si>
  <si>
    <t>Reliable Circuit Design Using a Fast Incremental-Based Gate Sizing Under Process Variation</t>
  </si>
  <si>
    <t>IEEE Transactions on Device and Materials Reliability</t>
  </si>
  <si>
    <t>10.1109/TDMR.2022.3175914</t>
  </si>
  <si>
    <t>https://www.scopus.com/inward/record.uri?eid=2-s2.0-85130456048&amp;doi=10.1109%2FTDMR.2022.3175914&amp;partnerID=40&amp;md5=18614a3c46b25e499bfdcf3089be10b7</t>
  </si>
  <si>
    <t>Department of Computer Engineering, Shahid Bahonar University of Kerman, Kerman, Kerman, Iran; Shiraz University, Shiraz, Fars, Iran; School of Engineering Science, Simon Fraser University, Burnaby, BC, Canada</t>
  </si>
  <si>
    <t>Ghavami, Behnam, Department of Computer Engineering, Shahid Bahonar University of Kerman, Kerman, Kerman, Iran; Raji, Mohsen, Shiraz University, Shiraz, Fars, Iran; Ibrami, Milad, Department of Computer Engineering, Shahid Bahonar University of Kerman, Kerman, Kerman, Iran; Shannon, Lesley, School of Engineering Science, Simon Fraser University, Burnaby, BC, Canada</t>
  </si>
  <si>
    <t>B. Ghavami; Shahid Bahonar University of Kerman, Department of Computer Engineering, Kerman, 76169, Iran; email: ghavami@uk.ac.ir</t>
  </si>
  <si>
    <t>IEEE Trans. Device Mater. Reliab.</t>
  </si>
  <si>
    <t>2-s2.0-85130456048</t>
  </si>
  <si>
    <t>Sadeghifar, H.</t>
  </si>
  <si>
    <t>Sadeghifar, Hamidreza (36983411900)</t>
  </si>
  <si>
    <t>Maximizing the transport properties of two-dimensional fibrous materials</t>
  </si>
  <si>
    <t>10.1016/j.mtcomm.2022.103897</t>
  </si>
  <si>
    <t>https://www.scopus.com/inward/record.uri?eid=2-s2.0-85133705501&amp;doi=10.1016%2Fj.mtcomm.2022.103897&amp;partnerID=40&amp;md5=65d0ad9ad13e047cae280d546e2f7a98</t>
  </si>
  <si>
    <t>Department of Chemical and Biological Engineering, The University of British Columbia, Vancouver, BC, Canada; School of Mechatronic Systems Engineering, Simon Fraser University, Burnaby, BC, Canada; Department of Mechanical Engineering, University of Victoria, Victoria, BC, Canada; Loop Energy Inc., Burnaby, BC, Canada</t>
  </si>
  <si>
    <t>Sadeghifar, Hamidreza, Department of Chemical and Biological Engineering, The University of British Columbia, Vancouver, BC, Canada, School of Mechatronic Systems Engineering, Simon Fraser University, Burnaby, BC, Canada, Department of Mechanical Engineering, University of Victoria, Victoria, BC, Canada, Loop Energy Inc., Burnaby, BC, Canada</t>
  </si>
  <si>
    <t>H. Sadeghifar; Department of Chemical and Biological Engineering, University of British Columbia, Vancouver, 2360 East Mall, V6T 1Z3, Canada; email: hsf@mail.ubc.ca</t>
  </si>
  <si>
    <t>2-s2.0-85133705501</t>
  </si>
  <si>
    <t>Wang, R.; Yan, T.; Li, C.; Ren, W.; Niu, G.; Jiang, Z.; Wang, C.; Liu, M.; Ye, Z.-G.; Zhang, Y.</t>
  </si>
  <si>
    <t>Wang, Ruikang (57704150400); Yan, Tianyi (57703457300); Li, Chao (59057608500); Ren, Wei (57201421397); Niu, Gang (55392353500); Jiang, Zhuangde (57203495930); Wang, Chenying (55267391600); Liu, Ming (56517197100); Ye, Zuo Guang (24443034100); Zhang, Yijun (56338589500)</t>
  </si>
  <si>
    <t>57704150400; 57703457300; 59057608500; 57201421397; 55392353500; 57203495930; 55267391600; 56517197100; 24443034100; 56338589500</t>
  </si>
  <si>
    <t>Materials Chemistry and Physics</t>
  </si>
  <si>
    <t>10.1016/j.matchemphys.2022.126272</t>
  </si>
  <si>
    <t>https://www.scopus.com/inward/record.uri?eid=2-s2.0-85130565010&amp;doi=10.1016%2Fj.matchemphys.2022.126272&amp;partnerID=40&amp;md5=eba59eb0f41cc7acfa2ee0b5e9a5b48e</t>
  </si>
  <si>
    <t>Electronic Materials Research Laboratory, Xi'an Jiaotong University, Xi'an, Shaanxi, China; Collaborative Innovation Center of High-End Manufacturing Equipment, Xi'an Jiaotong University, Xi'an, Shaanxi, China; Department of Chemistry and 4D LABS, Simon Fraser University, Burnaby, BC, Canada; State Key Laboratory for Manufacturing Systems Engineering, Xi'an, Shaanxi, China; Xi'an Jiaotong University, Xi'an, Shaanxi, China</t>
  </si>
  <si>
    <t>Wang, Ruikang, Electronic Materials Research Laboratory, Xi'an Jiaotong University, Xi'an, Shaanxi, China; Yan, Tianyi, Electronic Materials Research Laboratory, Xi'an Jiaotong University, Xi'an, Shaanxi, China; Li, Chao, Xi'an Jiaotong University, Xi'an, Shaanxi, China; Ren, Wei, Electronic Materials Research Laboratory, Xi'an Jiaotong University, Xi'an, Shaanxi, China, Collaborative Innovation Center of High-End Manufacturing Equipment, Xi'an Jiaotong University, Xi'an, Shaanxi, China; Niu, Gang, Electronic Materials Research Laboratory, Xi'an Jiaotong University, Xi'an, Shaanxi, China; Jiang, Zhuangde, Collaborative Innovation Center of High-End Manufacturing Equipment, Xi'an Jiaotong University, Xi'an, Shaanxi, China, State Key Laboratory for Manufacturing Systems Engineering, Xi'an, Shaanxi, China; Wang, Chenying, Collaborative Innovation Center of High-End Manufacturing Equipment, Xi'an Jiaotong University, Xi'an, Shaanxi, China, State Key Laboratory for Manufacturing Systems Engineering, Xi'an, Shaanxi, China; Liu, Ming, Electronic Materials Research Laboratory, Xi'an Jiaotong University, Xi'an, Shaanxi, China, Collaborative Innovation Center of High-End Manufacturing Equipment, Xi'an Jiaotong University, Xi'an, Shaanxi, China; Ye, Zuo Guang, Department of Chemistry and 4D LABS, Simon Fraser University, Burnaby, BC, Canada; Zhang, Yijun, Electronic Materials Research Laboratory, Xi'an Jiaotong University, Xi'an, Shaanxi, China</t>
  </si>
  <si>
    <t>Y. Zhang; Electronic Materials Research Laboratory, Key Laboratory of the Ministry of Education and International Center for Dielectric Research, School of Electronic Science and Engineering, Xi'an Jiaotong University, Xi'an, 710049, China; email: zhangyj518@mail.xjtu.edu.cn</t>
  </si>
  <si>
    <t>MCHPD</t>
  </si>
  <si>
    <t>Mater Chem Phys</t>
  </si>
  <si>
    <t>2-s2.0-85130565010</t>
  </si>
  <si>
    <t>Kabir, F.; Manir, S.; Bhuiyan, M.M.H.; Aftab, S.; Ghanbari, H.; Hasani, A.; Fawzy, M.; de Silva, G.L.T.; Mohammadzadeh, M.R.; Ahmadi, R.; Abnavi, A.; Askar, A.; Adachi, M.M.</t>
  </si>
  <si>
    <t>Kabir, Fahmid (57204906651); Manir, Serajum (57575354600); Bhuiyan, M. M.H. (35839789200); Aftab, Sikandar (57200114034); Ghanbari, Hamidreza (57576416100); Hasani, Amirhossein (56501775400); Fawzy, Mirette (57223906642); de Silva, G. L.Thushani (57575566400); Mohammadzadeh, Mohammad Reza (60202275600); Ahmadi, Ribwar (57278170200); Abnavi, Amin (57194502466); Askar, Abdelrahman M. (56699722300); Adachi, Michael M. (16432591400)</t>
  </si>
  <si>
    <t>57204906651; 57575354600; 35839789200; 57200114034; 57576416100; 56501775400; 57223906642; 57575566400; 60202275600; 57278170200; 57194502466; 56699722300; 16432591400</t>
  </si>
  <si>
    <t>Instability of dye-sensitized solar cells using natural dyes and approaches to improving stability – An overview</t>
  </si>
  <si>
    <t>Sustainable Energy Technologies and Assessments</t>
  </si>
  <si>
    <t>10.1016/j.seta.2022.102196</t>
  </si>
  <si>
    <t>https://www.scopus.com/inward/record.uri?eid=2-s2.0-85128240243&amp;doi=10.1016%2Fj.seta.2022.102196&amp;partnerID=40&amp;md5=5b7b51de12b65a0a2438fb7c1eb0b636</t>
  </si>
  <si>
    <t>School of Engineering Science, Simon Fraser University, Burnaby, BC, Canada; Institute of Radiation and Polymer Technology, Atomic Energy Research Establishment, Dhaka, Dhaka, Bangladesh; Institute of Nuclear Science and Technology, Atomic Energy Research Establishment, Dhaka, Bangladesh; Department of Intelligent Mechatronics Engineering, Sejong University, Seoul, South Korea; Department of Physics, Simon Fraser University, Burnaby, BC, Canada</t>
  </si>
  <si>
    <t>Kabir, Fahmid, School of Engineering Science, Simon Fraser University, Burnaby, BC, Canada; Manir, Serajum, Institute of Radiation and Polymer Technology, Atomic Energy Research Establishment, Dhaka, Dhaka, Bangladesh; Bhuiyan, M. M.H., Institute of Nuclear Science and Technology, Atomic Energy Research Establishment, Dhaka, Bangladesh; Aftab, Sikandar, School of Engineering Science, Simon Fraser University, Burnaby, BC, Canada, Department of Intelligent Mechatronics Engineering, Sejong University, Seoul, South Korea; Ghanbari, Hamidreza, School of Engineering Science, Simon Fraser University, Burnaby, BC, Canada; Hasani, Amirhossein, School of Engineering Science, Simon Fraser University, Burnaby, BC, Canada; Fawzy, Mirette, Department of Physics, Simon Fraser University, Burnaby, BC, Canada; de Silva, G. L.Thushani, School of Engineering Science, Simon Fraser University, Burnaby, BC, Canada; Mohammadzadeh, Mohammad Reza, School of Engineering Science, Simon Fraser University, Burnaby, BC, Canada; Ahmadi, Ribwar, School of Engineering Science, Simon Fraser University, Burnaby, BC, Canada; Abnavi, Amin, School of Engineering Science, Simon Fraser University, Burnaby, BC, Canada; Askar, Abdelrahman M., School of Engineering Science, Simon Fraser University, Burnaby, BC, Canada; Adachi, Michael M., School of Engineering Science, Simon Fraser University, Burnaby, BC, Canada</t>
  </si>
  <si>
    <t>F. Kabir; School of Engineering Science, Simon Fraser University, Canada; email: fahmid.kabir07@gmail.com</t>
  </si>
  <si>
    <t>Sustainable Energy Technol. Assess.</t>
  </si>
  <si>
    <t>2-s2.0-85128240243</t>
  </si>
  <si>
    <t>Wiese, D.M.; Wood, C.A.; Ford, B.N.; Braid, L.R.</t>
  </si>
  <si>
    <t>Wiese, Danielle M. (57197758729); Wood, Catherine A. (57197763052); Ford, Barry N. (57197757166); Braid, Lorena R. (57190260677)</t>
  </si>
  <si>
    <t>57197758729; 57197763052; 57197757166; 57190260677</t>
  </si>
  <si>
    <t>Cytokine Activation Reveals Tissue-Imprinted Gene Profiles of Mesenchymal Stromal Cells</t>
  </si>
  <si>
    <t>10.3389/fimmu.2022.917790</t>
  </si>
  <si>
    <t>https://www.scopus.com/inward/record.uri?eid=2-s2.0-85135266955&amp;doi=10.3389%2Ffimmu.2022.917790&amp;partnerID=40&amp;md5=59b2724c5069c9733e9e202b6330e39d</t>
  </si>
  <si>
    <t>Aurora BioSolutions Inc., Medicine Hat, AB, Canada; Casualty Management Section, Defence Research and Development Canada, Ottawa, ON, Canada; Department of Biochemistry and Molecular Biology, Simon Fraser University, Burnaby, BC, Canada</t>
  </si>
  <si>
    <t>Wiese, Danielle M., Aurora BioSolutions Inc., Medicine Hat, AB, Canada; Wood, Catherine A., Aurora BioSolutions Inc., Medicine Hat, AB, Canada; Ford, Barry N., Casualty Management Section, Defence Research and Development Canada, Ottawa, ON, Canada; Braid, Lorena R., Aurora BioSolutions Inc., Medicine Hat, AB, Canada, Department of Biochemistry and Molecular Biology, Simon Fraser University, Burnaby, BC, Canada</t>
  </si>
  <si>
    <t>L.R. Braid; Aurora BioSolutions Inc., Medicine Hat, Canada; email: lorena@aurorabiosolutions.com</t>
  </si>
  <si>
    <t>2-s2.0-85135266955</t>
  </si>
  <si>
    <t>Higginbottom, D.B.; Kurkjian, A.T.K.; Chartrand, C.; Kazemi, M.; Brunelle, N.A.; MacQuarrie, E.R.; Klein, J.R.; Lee-Hone, N.R.; Stacho, J.; Ruether, M.; Bowness, C.; Bergeron, L.; DeAbreu, A.; Harrigan, S.R.; Kanaganayagam, J.; Marsden, D.W.; Richards, T.S.; Stott, L.A.; Roorda, S.; Morse, K.J.; Thewalt, M.L.W.; Simmons, S.</t>
  </si>
  <si>
    <t>Higginbottom, Daniel B. (55330606100); Kurkjian, Alexander T.K. (57203221971); Chartrand, Camille (57204605790); Kazemi, Moein (57223359408); Brunelle, Nicholas A. (57209575083); MacQuarrie, Evan R. (57188644453); Klein, James R. (57224657048); Lee-Hone, Nicholas R. (36998669900); Stacho, Jakub (57223357653); Ruether, Myles (57223768812); Bowness, Camille (57201136091); Bergeron, Laurent (57215486728); DeAbreu, Adam (56572674100); Harrigan, Stephen R. (57202744897); Kanaganayagam, Joshua (57222237504); Marsden, Danica W. (36615535300); Richards, Timothy S. (57201129737); Stott, Leea A. (57223368667); Roorda, Sjoerd (57206537236); Morse, Kevin J. (55904832900); Thewalt, Michael L.W. (7006609975); Simmons, Stephanie (36460336500)</t>
  </si>
  <si>
    <t>55330606100; 57203221971; 57204605790; 57223359408; 57209575083; 57188644453; 57224657048; 36998669900; 57223357653; 57223768812; 57201136091; 57215486728; 56572674100; 57202744897; 57222237504; 36615535300; 57201129737; 57223368667; 57206537236; 55904832900; 7006609975; 36460336500</t>
  </si>
  <si>
    <t>Optical observation of single spins in silicon</t>
  </si>
  <si>
    <t>Nature</t>
  </si>
  <si>
    <t>10.1038/s41586-022-04821-y</t>
  </si>
  <si>
    <t>https://www.scopus.com/inward/record.uri?eid=2-s2.0-85133989154&amp;doi=10.1038%2Fs41586-022-04821-y&amp;partnerID=40&amp;md5=1c1948c613feda6c3e6912afbf89622e</t>
  </si>
  <si>
    <t>Department of Physics, Simon Fraser University, Burnaby, BC, Canada; Photonic, Coquitlam, BC, Canada; Department of Physics, University of Montreal, Montreal, QC, Canada</t>
  </si>
  <si>
    <t>Higginbottom, Daniel B., Department of Physics, Simon Fraser University, Burnaby, BC, Canada; Kurkjian, Alexander T.K., Department of Physics, Simon Fraser University, Burnaby, BC, Canada, Photonic, Coquitlam, BC, Canada; Chartrand, Camille, Department of Physics, Simon Fraser University, Burnaby, BC, Canada, Photonic, Coquitlam, BC, Canada; Kazemi, Moein, Department of Physics, Simon Fraser University, Burnaby, BC, Canada; Brunelle, Nicholas A., Department of Physics, Simon Fraser University, Burnaby, BC, Canada; MacQuarrie, Evan R., Department of Physics, Simon Fraser University, Burnaby, BC, Canada, Photonic, Coquitlam, BC, Canada; Klein, James R., Department of Physics, Simon Fraser University, Burnaby, BC, Canada; Lee-Hone, Nicholas R., Department of Physics, Simon Fraser University, Burnaby, BC, Canada, Photonic, Coquitlam, BC, Canada; Stacho, Jakub, Department of Physics, Simon Fraser University, Burnaby, BC, Canada; Ruether, Myles, Department of Physics, Simon Fraser University, Burnaby, BC, Canada; Bowness, Camille, Department of Physics, Simon Fraser University, Burnaby, BC, Canada, Photonic, Coquitlam, BC, Canada; Bergeron, Laurent, Department of Physics, Simon Fraser University, Burnaby, BC, Canada; DeAbreu, Adam, Department of Physics, Simon Fraser University, Burnaby, BC, Canada; Harrigan, Stephen R., Department of Physics, Simon Fraser University, Burnaby, BC, Canada; Kanaganayagam, Joshua, Department of Physics, Simon Fraser University, Burnaby, BC, Canada; Marsden, Danica W., Department of Physics, Simon Fraser University, Burnaby, BC, Canada; Richards, Timothy S., Department of Physics, Simon Fraser University, Burnaby, BC, Canada; Stott, Leea A., Department of Physics, Simon Fraser University, Burnaby, BC, Canada; Roorda, Sjoerd, Department of Physics, University of Montreal, Montreal, QC, Canada; Morse, Kevin J., Department of Physics, Simon Fraser University, Burnaby, BC, Canada, Photonic, Coquitlam, BC, Canada; Thewalt, Michael L.W., Department of Physics, Simon Fraser University, Burnaby, BC, Canada; Simmons, Stephanie, Department of Physics, Simon Fraser University, Burnaby, BC, Canada, Photonic, Coquitlam, BC, Canada</t>
  </si>
  <si>
    <t>S. Simmons; Department of Physics, Simon Fraser University, Burnaby, Canada; email: s.simmons@sfu.ca</t>
  </si>
  <si>
    <t>9780203448410; 0203448413</t>
  </si>
  <si>
    <t>NATUA</t>
  </si>
  <si>
    <t>2-s2.0-85133989154</t>
  </si>
  <si>
    <t>Dong, W.; Wang, B.-X.; Yuan, Y.; Wu, H.; Bokov, A.A.; Ye, Z.-G.</t>
  </si>
  <si>
    <t>Dong, Wenhan (57563743300); Wang, Bixia (57205341535); Yuan, Yi (57207812926); Wu, Hua (7405584390); Bokov, Alexei A. (35564490800); Ye, Zuo Guang (24443034100)</t>
  </si>
  <si>
    <t>57563743300; 57205341535; 57207812926; 7405584390; 35564490800; 24443034100</t>
  </si>
  <si>
    <t>Synthesis, structural evolution, and dielectric properties of a new perovskite solid solution (Pb0.5Sr0.5)(Zr0.5Ti0.5)O3–PbTiO3</t>
  </si>
  <si>
    <t>Journal of the American Ceramic Society</t>
  </si>
  <si>
    <t>10.1111/jace.18449</t>
  </si>
  <si>
    <t>https://www.scopus.com/inward/record.uri?eid=2-s2.0-85127663089&amp;doi=10.1111%2Fjace.18449&amp;partnerID=40&amp;md5=b7d6633a8c745a91adfa18ba32aa7ec1</t>
  </si>
  <si>
    <t>Department of Chemistry and 4D LABS, Simon Fraser University, Burnaby, BC, Canada; Department of Applied Physics, Donghua University, Shanghai, Shanghai, China</t>
  </si>
  <si>
    <t>Dong, Wenhan, Department of Chemistry and 4D LABS, Simon Fraser University, Burnaby, BC, Canada; Wang, Bixia, Department of Chemistry and 4D LABS, Simon Fraser University, Burnaby, BC, Canada; Yuan, Yi, Department of Chemistry and 4D LABS, Simon Fraser University, Burnaby, BC, Canada; Wu, Hua, Department of Chemistry and 4D LABS, Simon Fraser University, Burnaby, BC, Canada, Department of Applied Physics, Donghua University, Shanghai, Shanghai, China; Bokov, Alexei A., Department of Chemistry and 4D LABS, Simon Fraser University, Burnaby, BC, Canada; Ye, Zuo Guang, Department of Chemistry and 4D LABS, Simon Fraser University, Burnaby, BC, Canada</t>
  </si>
  <si>
    <t>Z.-G. Ye; Department of Chemistry and 4D LABS, Simon Fraser University, Burnaby, Canada; email: zye@sfu.ca</t>
  </si>
  <si>
    <t>JACTA</t>
  </si>
  <si>
    <t>J Am Ceram Soc</t>
  </si>
  <si>
    <t>2-s2.0-85127663089</t>
  </si>
  <si>
    <t>Howlett, M.; Leong, C.</t>
  </si>
  <si>
    <t>Howlett, Michael P. (7004315057); Leong, Ching (35602671500)</t>
  </si>
  <si>
    <t>7004315057; 35602671500</t>
  </si>
  <si>
    <t>The “Inherent Vices” of Policy Design: Uncertainty, Maliciousness, and Noncompliance</t>
  </si>
  <si>
    <t>Risk Analysis</t>
  </si>
  <si>
    <t>10.1111/risa.13834</t>
  </si>
  <si>
    <t>https://www.scopus.com/inward/record.uri?eid=2-s2.0-85116961200&amp;doi=10.1111%2Frisa.13834&amp;partnerID=40&amp;md5=74e80002daaab70b9f050af5d77f3739</t>
  </si>
  <si>
    <t>Simon Fraser University, Burnaby, BC, Canada; Lee Kuan Yew School of Public Policy, Singapore City, Singapore</t>
  </si>
  <si>
    <t>Howlett, Michael P., Simon Fraser University, Burnaby, BC, Canada; Leong, Ching, Lee Kuan Yew School of Public Policy, Singapore City, Singapore</t>
  </si>
  <si>
    <t>M. Howlett; Department of Political Science, Simon Fraser University, Burnaby, Canada; email: howlett@sfu.ca</t>
  </si>
  <si>
    <t>RIAND</t>
  </si>
  <si>
    <t>Risk Anal.</t>
  </si>
  <si>
    <t>2-s2.0-85116961200</t>
  </si>
  <si>
    <t>Komatsu, Y.; Shimizu, R.; Sato, R.; Wilde, M.; Nishio, K.; Katase, T.; Matsumura, D.; Saitoh, H.; Miyauchi, M.; Adelman, J.R.; McFadden, R.M.L.; Fujimoto, D.; Ticknor, J.O.; Stachura, M.; McKenzie, I.; Morris, G.D.; MacFarlane, W.A.; Sugiyama, J.; Fukutani, K.; Tsuneyuki, S.; Hitosugi, T.</t>
  </si>
  <si>
    <t>Komatsu, Yuya (57218672733); Shimizu, Ryota (35422758300); Sato, Ryuhei (57044069800); Wilde, Markus (7006828833); Nishio, K. (36128820100); Katase, Takayoshi (24329572600); Matsumura, Daiju (6603159628); Saitoh, Hirioyuki (55541743700); Miyauchi, Masahiro (7103188536); Adelman, Jonah R. (57280833300); McFadden, Ryan M.L. (14023173600); Fujimoto, Derek (57203948301); Ticknor, John O. (57210960199); Stachura, Monika (25928115100); McKenzie, Iain D. (7202607692); Morris, Gerald D. (57223622664); MacFarlane, Andrew W. (7005655464); Sugiyama, Jun (35446091800); Fukutani, Katsuyuki (34569270700); Tsuneyuki, Shinji (7004169629); Hitosugi, Taro (35428017000)</t>
  </si>
  <si>
    <t>57218672733; 35422758300; 57044069800; 7006828833; 36128820100; 24329572600; 6603159628; 55541743700; 7103188536; 57280833300; 14023173600; 57203948301; 57210960199; 25928115100; 7202607692; 57223622664; 7005655464; 35446091800; 34569270700; 7004169629; 35428017000</t>
  </si>
  <si>
    <t>Chemistry of Materials</t>
  </si>
  <si>
    <t>10.1021/acs.chemmater.1c03450</t>
  </si>
  <si>
    <t>https://www.scopus.com/inward/record.uri?eid=2-s2.0-85128703298&amp;doi=10.1021%2Facs.chemmater.1c03450&amp;partnerID=40&amp;md5=54a68938766ca9c052155f154b2a0e6b</t>
  </si>
  <si>
    <t>School of Materials and Chemical Technology, Institute of Science Tokyo, Tokyo, Japan; Japan Science and Technology Agency, Kawaguchi, Saitama, Japan; Department of Physics, The University of Tokyo, Tokyo, Japan; Institute of Industrial Science, Tokyo, Japan; Institute of Science Tokyo, Tokyo, Japan; Materials Sciences Research Center, Japan Atomic Energy Agency, Kashiwa, Chiba, Japan; Quantum Beam Science Research Directorate, National Institutes for Quantum Science and Technology, Chiba, Chiba, Japan; The University of British Columbia, Vancouver, BC, Canada; The University of British Columbia, Vancouver, BC, Canada; Department of Physics and Astronomy, The University of British Columbia, Vancouver, BC, Canada; Simon Fraser University, Burnaby, BC, Canada; TRIUMF, Vancouver, BC, Canada; Neutron Science and Technology Center Neutron Science and Technology Center, Comprehensive Research Organization for Science and Society, Tsuchiura, Ibaraki, Japan; Japan Atomic Energy Agency, Kashiwa, Chiba, Japan</t>
  </si>
  <si>
    <t>Komatsu, Yuya, School of Materials and Chemical Technology, Institute of Science Tokyo, Tokyo, Japan; Shimizu, Ryota, School of Materials and Chemical Technology, Institute of Science Tokyo, Tokyo, Japan, Japan Science and Technology Agency, Kawaguchi, Saitama, Japan; Sato, Ryuhei, Department of Physics, The University of Tokyo, Tokyo, Japan; Wilde, Markus, Institute of Industrial Science, Tokyo, Japan; Nishio, K., School of Materials and Chemical Technology, Institute of Science Tokyo, Tokyo, Japan; Katase, Takayoshi, Japan Science and Technology Agency, Kawaguchi, Saitama, Japan, Institute of Science Tokyo, Tokyo, Japan; Matsumura, Daiju, Materials Sciences Research Center, Japan Atomic Energy Agency, Kashiwa, Chiba, Japan; Saitoh, Hirioyuki, Quantum Beam Science Research Directorate, National Institutes for Quantum Science and Technology, Chiba, Chiba, Japan; Miyauchi, Masahiro, School of Materials and Chemical Technology, Institute of Science Tokyo, Tokyo, Japan; Adelman, Jonah R., The University of British Columbia, Vancouver, BC, Canada; McFadden, Ryan M.L., The University of British Columbia, Vancouver, BC, Canada, The University of British Columbia, Vancouver, BC, Canada, TRIUMF, Vancouver, BC, Canada; Fujimoto, Derek, The University of British Columbia, Vancouver, BC, Canada, Department of Physics and Astronomy, The University of British Columbia, Vancouver, BC, Canada; Ticknor, John O., The University of British Columbia, Vancouver, BC, Canada, The University of British Columbia, Vancouver, BC, Canada; Stachura, Monika, TRIUMF, Vancouver, BC, Canada; McKenzie, Iain D., Simon Fraser University, Burnaby, BC, Canada, TRIUMF, Vancouver, BC, Canada; Morris, Gerald D., TRIUMF, Vancouver, BC, Canada; MacFarlane, Andrew W., The University of British Columbia, Vancouver, BC, Canada, The University of British Columbia, Vancouver, BC, Canada, TRIUMF, Vancouver, BC, Canada; Sugiyama, Jun, Neutron Science and Technology Center Neutron Science and Technology Center, Comprehensive Research Organization for Science and Society, Tsuchiura, Ibaraki, Japan, Japan Atomic Energy Agency, Kashiwa, Chiba, Japan; Fukutani, Katsuyuki, Institute of Industrial Science, Tokyo, Japan, Japan Atomic Energy Agency, Kashiwa, Chiba, Japan; Tsuneyuki, Shinji, Department of Physics, The University of Tokyo, Tokyo, Japan; Hitosugi, Taro, School of Materials and Chemical Technology, Institute of Science Tokyo, Tokyo, Japan</t>
  </si>
  <si>
    <t>R. Shimizu; School of Materials and Chemical Technology, Tokyo Institute of Technology, Tokyo, 152-8552, Japan; email: shimizu.r.af@m.titech.ac.jp; R. Sato; Department of Physics, University of Tokyo, Tokyo, 113-0033, Japan; email: ryuhei.sato.c1@tohoku.ac.jp</t>
  </si>
  <si>
    <t>CMATE</t>
  </si>
  <si>
    <t>Chem. Mater.</t>
  </si>
  <si>
    <t>2-s2.0-85128703298</t>
  </si>
  <si>
    <t>Adamou, A.; Turner, J.W.G.; Costall, A.; Jones, A.; Copeland, C.D.</t>
  </si>
  <si>
    <t>Adamou, Adamos (57212036829); Turner, James W.G. (55447567200); Costall, Aaron W. (9233686000); Jones, Andy (55317215800); Copeland, Colin D. (36136875400)</t>
  </si>
  <si>
    <t>57212036829; 55447567200; 9233686000; 55317215800; 36136875400</t>
  </si>
  <si>
    <t>Erratum to “Design, simulation, and validation of additively manufactured high-temperature combustion chambers for micro gas turbines” [Energy Convers. Manage., 248 (2021) 114805](S019689042100981X)(10.1016/j.enconman.2021.114805)</t>
  </si>
  <si>
    <t>10.1016/j.enconman.2022.115573</t>
  </si>
  <si>
    <t>https://www.scopus.com/inward/record.uri?eid=2-s2.0-85127753951&amp;doi=10.1016%2Fj.enconman.2022.115573&amp;partnerID=40&amp;md5=72fcbb18b95d9c5e91ebe5f122ea3d81</t>
  </si>
  <si>
    <t>Adamou, Adamos, Institute for Advanced Automotive Propulsion Systems, Bristol, United Kingdom; Turner, James W.G., Institute for Advanced Automotive Propulsion Systems, Bristol, United Kingdom; Costall, Aaron W., Institute for Advanced Automotive Propulsion Systems, Bristol, United Kingdom; Jones, Andy, HiETA Technologies Ltd, Bristol, United Kingdom; Copeland, Colin D., School of Sustainable Energy Engineering, Simon Fraser University, Burnaby, BC, Canada</t>
  </si>
  <si>
    <t>A. Adamou; Institute for Advanced Automotive Propulsion Systems (IAAPS), University of Bath, Bath, Claverton Down, BA2 7AY, United Kingdom; email: a.adamou@bath.ac.uk</t>
  </si>
  <si>
    <t>Erratum</t>
  </si>
  <si>
    <t>2-s2.0-85127753951</t>
  </si>
  <si>
    <t>Bao, C.; Kim, T.-H.; Hassanpoor Kalhori, A.; Kim, W.S.</t>
  </si>
  <si>
    <t>Bao, Chao (56612844400); Kim, Tae Ho (56168759700); Hassanpoor Kalhori, Amirhossein (57556668400); Kim, Woo Soo (17136903100)</t>
  </si>
  <si>
    <t>56612844400; 56168759700; 57556668400; 17136903100</t>
  </si>
  <si>
    <t>iScience</t>
  </si>
  <si>
    <t>10.1016/j.isci.2022.104119</t>
  </si>
  <si>
    <t>https://www.scopus.com/inward/record.uri?eid=2-s2.0-85127341736&amp;doi=10.1016%2Fj.isci.2022.104119&amp;partnerID=40&amp;md5=488d4f6a8883a4ac11810022efe3409f</t>
  </si>
  <si>
    <t>Bao, Chao, School of Mechatronic Systems Engineering, Simon Fraser University, Burnaby, BC, Canada; Kim, Tae Ho, School of Mechatronic Systems Engineering, Simon Fraser University, Burnaby, BC, Canada; Hassanpoor Kalhori, Amirhossein, School of Mechatronic Systems Engineering, Simon Fraser University, Burnaby, BC, Canada; Kim, Woo Soo, School of Mechatronic Systems Engineering, Simon Fraser University, Burnaby, BC, Canada</t>
  </si>
  <si>
    <t>Elsevier Inc.</t>
  </si>
  <si>
    <t>2-s2.0-85127341736</t>
  </si>
  <si>
    <t>Sokka, A.; Mooste, M.; Marandi, M.; Käärik, M.; Kozlova, J.; Kikas, A.; Kisand, V.; Treshchalov, A.; Tamm, A.; Leis, J.; Holdcroft, S.; Tammeveski, K.</t>
  </si>
  <si>
    <t>Sokka, Andri (57226423225); Mooste, Marek (55756772400); Marandi, Margus (6603093443); Käärik, Maike (15735143100); Kozlova, Jekaterina (35222046300); Kikas, Arvo (6603881774); Kisand, Vambola (7004348077); Treshchalov, Aleksei B. (6602084499); Tamm, Aile (57188771413); Leis, Jaan (56233840400); Holdcroft, Steven J. (7004469945); Tammeveski, Kaido (6603704456)</t>
  </si>
  <si>
    <t>57226423225; 55756772400; 6603093443; 15735143100; 35222046300; 6603881774; 7004348077; 6602084499; 57188771413; 56233840400; 7004469945; 6603704456</t>
  </si>
  <si>
    <t>Polypyrrole and Polythiophene Modified Carbon Nanotube-Based Cathode Catalysts for Anion Exchange Membrane Fuel Cell</t>
  </si>
  <si>
    <t>ChemElectroChem</t>
  </si>
  <si>
    <t>e202200161</t>
  </si>
  <si>
    <t>10.1002/celc.202200161</t>
  </si>
  <si>
    <t>https://www.scopus.com/inward/record.uri?eid=2-s2.0-85128194717&amp;doi=10.1002%2Fcelc.202200161&amp;partnerID=40&amp;md5=5913126ae59e64d294ba91a49943e46a</t>
  </si>
  <si>
    <t>Tartu Ülikooli Keemia Instituut, Tartu, Tartumaa, Estonia; Tartu Ülikooli Füüsika Instituut, Tartu, Tartumaa, Estonia; Simon Fraser University, Burnaby, BC, Canada</t>
  </si>
  <si>
    <t>Sokka, Andri, Tartu Ülikooli Keemia Instituut, Tartu, Tartumaa, Estonia; Mooste, Marek, Tartu Ülikooli Keemia Instituut, Tartu, Tartumaa, Estonia; Marandi, Margus, Tartu Ülikooli Keemia Instituut, Tartu, Tartumaa, Estonia; Käärik, Maike, Tartu Ülikooli Keemia Instituut, Tartu, Tartumaa, Estonia; Kozlova, Jekaterina, Tartu Ülikooli Füüsika Instituut, Tartu, Tartumaa, Estonia; Kikas, Arvo, Tartu Ülikooli Füüsika Instituut, Tartu, Tartumaa, Estonia; Kisand, Vambola, Tartu Ülikooli Füüsika Instituut, Tartu, Tartumaa, Estonia; Treshchalov, Aleksei B., Tartu Ülikooli Füüsika Instituut, Tartu, Tartumaa, Estonia; Tamm, Aile, Tartu Ülikooli Füüsika Instituut, Tartu, Tartumaa, Estonia; Leis, Jaan, Tartu Ülikooli Keemia Instituut, Tartu, Tartumaa, Estonia; Holdcroft, Steven J., Simon Fraser University, Burnaby, BC, Canada; Tammeveski, Kaido, Tartu Ülikooli Keemia Instituut, Tartu, Tartumaa, Estonia</t>
  </si>
  <si>
    <t>2-s2.0-85128194717</t>
  </si>
  <si>
    <t>Powers, K.; Kennedy, I.; Archer, J.; Eynon, P.; Horsley, J.; Brace, C.; Copeland, C.D.; Milewski, P.</t>
  </si>
  <si>
    <t>Powers, Katherine H. (57211978973); Kennedy, Ian J. (57195586827); Archer, Jamie (55816421600); Eynon, Paul A. (6506420230); Horsley, John (57411841800); Brace, Chris J. (7003779915); Copeland, Colin D. (36136875400); Milewski, Paul A. (7006718746)</t>
  </si>
  <si>
    <t>57211978973; 57195586827; 55816421600; 6506420230; 57411841800; 7003779915; 36136875400; 7006718746</t>
  </si>
  <si>
    <t>A new first-principles model to predict mild and deep surge for a centrifugal compressor</t>
  </si>
  <si>
    <t>10.1016/j.energy.2021.123050</t>
  </si>
  <si>
    <t>https://www.scopus.com/inward/record.uri?eid=2-s2.0-85122811679&amp;doi=10.1016%2Fj.energy.2021.123050&amp;partnerID=40&amp;md5=877cfd8e30fc83765c05d5fc6c7984ef</t>
  </si>
  <si>
    <t>University of Bath, Department of Mathematical Sciences, Bath, Somerset, United Kingdom; University of Bath, Department of Mechanical Engineering, Bath, Somerset, United Kingdom; Cummins Inc., Columbus, IN, United States; School of Sustainable Energy Engineering, Simon Fraser University, Burnaby, BC, Canada</t>
  </si>
  <si>
    <t>Powers, Katherine H., University of Bath, Department of Mathematical Sciences, Bath, Somerset, United Kingdom; Kennedy, Ian J., University of Bath, Department of Mechanical Engineering, Bath, Somerset, United Kingdom; Archer, Jamie, Cummins Inc., Columbus, IN, United States; Eynon, Paul A., Cummins Inc., Columbus, IN, United States; Horsley, John, Cummins Inc., Columbus, IN, United States; Brace, Chris J., University of Bath, Department of Mechanical Engineering, Bath, Somerset, United Kingdom; Copeland, Colin D., School of Sustainable Energy Engineering, Simon Fraser University, Burnaby, BC, Canada; Milewski, Paul A., University of Bath, Department of Mathematical Sciences, Bath, Somerset, United Kingdom</t>
  </si>
  <si>
    <t>K. Powers; Department of Mathematical Sciences, University of Bath, Bath, Claverton Down, BA2 7AY, United Kingdom; email: katherine.powers@cummins.com</t>
  </si>
  <si>
    <t>2-s2.0-85122811679</t>
  </si>
  <si>
    <t>McKinnon, T.; Heinrich, B.; Girt, E.</t>
  </si>
  <si>
    <t>McKinnon, Tommy (56007759300); Heinrich, Brett (59837956400); Girt, Erol (7004753025)</t>
  </si>
  <si>
    <t>56007759300; 59837956400; 7004753025</t>
  </si>
  <si>
    <t>Thermally robust synthetic antiferromagnetic fixed layers containing FeCoB for use in STT-MRAM devices</t>
  </si>
  <si>
    <t>Journal of Magnetism and Magnetic Materials</t>
  </si>
  <si>
    <t>10.1016/j.jmmm.2021.168646</t>
  </si>
  <si>
    <t>https://www.scopus.com/inward/record.uri?eid=2-s2.0-85121145949&amp;doi=10.1016%2Fj.jmmm.2021.168646&amp;partnerID=40&amp;md5=d6daedb6182ec97c6fc3f643c6c35e09</t>
  </si>
  <si>
    <t>Department of Physics, Simon Fraser University, Burnaby, BC, Canada</t>
  </si>
  <si>
    <t>McKinnon, Tommy, Department of Physics, Simon Fraser University, Burnaby, BC, Canada; Heinrich, Brett, Department of Physics, Simon Fraser University, Burnaby, BC, Canada; Girt, Erol, Department of Physics, Simon Fraser University, Burnaby, BC, Canada</t>
  </si>
  <si>
    <t>T. McKinnon; Simon Fraser University, Department of Physics, Burnaby, V5A 1S6, Canada; email: tommy_mckinnon@sfu.ca</t>
  </si>
  <si>
    <t>JMMMD</t>
  </si>
  <si>
    <t>J Magn Magn Mater</t>
  </si>
  <si>
    <t>2-s2.0-85121145949</t>
  </si>
  <si>
    <t>Lin, M.C.-M.; Kim, T.-H.; Kim, W.S.; Hakanson, I.; Hussein, A.; Hung, L.</t>
  </si>
  <si>
    <t>Lin, Margaret Chen Mei (57222610489); Kim, Tae Ho (56168759700); Kim, Woo Soo (17136903100); Hakanson, Ingrid (57483325400); Hussein, Ali (57484003900); Hung, Lillian (36337671200)</t>
  </si>
  <si>
    <t>57222610489; 56168759700; 17136903100; 57483325400; 57484003900; 36337671200</t>
  </si>
  <si>
    <t>Involvement of frontline clinicians in healthcare technology development: Lessons learned from a ventilator project</t>
  </si>
  <si>
    <t>Health and Technology</t>
  </si>
  <si>
    <t>10.1007/s12553-022-00655-w</t>
  </si>
  <si>
    <t>https://www.scopus.com/inward/record.uri?eid=2-s2.0-85126134926&amp;doi=10.1007%2Fs12553-022-00655-w&amp;partnerID=40&amp;md5=0f56d4362561a4d72d7fbf107e479500</t>
  </si>
  <si>
    <t>The University of British Columbia, Vancouver, BC, Canada; School of Mechatronic Systems Engineering, Simon Fraser University, Burnaby, BC, Canada; Intensive Care Unit, Vancouver General Hospital, Vancouver, BC, Canada; Faculty of Science, The University of British Columbia, Vancouver, BC, Canada</t>
  </si>
  <si>
    <t>Lin, Margaret Chen Mei, The University of British Columbia, Vancouver, BC, Canada; Kim, Tae Ho, School of Mechatronic Systems Engineering, Simon Fraser University, Burnaby, BC, Canada; Kim, Woo Soo, School of Mechatronic Systems Engineering, Simon Fraser University, Burnaby, BC, Canada; Hakanson, Ingrid, Intensive Care Unit, Vancouver General Hospital, Vancouver, BC, Canada; Hussein, Ali, Faculty of Science, The University of British Columbia, Vancouver, BC, Canada; Hung, Lillian, The University of British Columbia, Vancouver, BC, Canada</t>
  </si>
  <si>
    <t>M.C.-M. Lin; School of Nursing, University of British Columbia, Vancouver, T201 2211 Wesbrook Mall, V6T 2B5, Canada; email: chenmei.lin@ubc.ca</t>
  </si>
  <si>
    <t>Health Technol.</t>
  </si>
  <si>
    <t>All Open Access; Green Final Open Access; Green Open Access; Hybrid Gold Open Access</t>
  </si>
  <si>
    <t>2-s2.0-85126134926</t>
  </si>
  <si>
    <t>Xia, L.; Zhang, Z.G.; Li, Q.-L.</t>
  </si>
  <si>
    <t>Xia, Li (55260428300); Zhang, Zhe George (57216960787); Li, Quanlin (55516038600)</t>
  </si>
  <si>
    <t>55260428300; 57216960787; 55516038600</t>
  </si>
  <si>
    <t>A c/μ-Rule for Job Assignment in Heterogeneous Group-Server Queues</t>
  </si>
  <si>
    <t>Production and Operations Management</t>
  </si>
  <si>
    <t>10.1111/poms.13605</t>
  </si>
  <si>
    <t>https://www.scopus.com/inward/record.uri?eid=2-s2.0-85119845098&amp;doi=10.1111%2Fpoms.13605&amp;partnerID=40&amp;md5=d0627eaf46febcc7d945523529c456e9</t>
  </si>
  <si>
    <t>Sun Yat-sen Business School, Guangzhou, Guangdong, China; Sun Yat-Sen University, Guangzhou, Guangdong, China; Department of Decision Sciences, Western Washington University, Bellingham, WA, United States; Beedie School of Business, Burnaby, BC, Canada; School of Economics and Management, Beijing University of Technology, Beijing, China</t>
  </si>
  <si>
    <t>Xia, Li, Sun Yat-sen Business School, Guangzhou, Guangdong, China, Sun Yat-Sen University, Guangzhou, Guangdong, China; Zhang, Zhe George, Department of Decision Sciences, Western Washington University, Bellingham, WA, United States, Beedie School of Business, Burnaby, BC, Canada; Li, Quanlin, School of Economics and Management, Beijing University of Technology, Beijing, China</t>
  </si>
  <si>
    <t>Z.G. Zhang; Department of Decision Sciences, Western Washington University, Bellingham, 98225, United States; email: george.zhang@wwu.edu</t>
  </si>
  <si>
    <t>Prod. Oper. Manage.</t>
  </si>
  <si>
    <t>2-s2.0-85119845098</t>
  </si>
  <si>
    <t>McKenzie, I.; Fujimoto, D.; Karner, V.; Li, R.; MacFarlane, W.A.; McFadden, R.M.L.; Morris, G.D.; Pearson, M.R.; Raegen, A.N.; Stachura, M.; Ticknor, J.O.; Forrest, J.A.</t>
  </si>
  <si>
    <t>McKenzie, Iain D. (7202607692); Fujimoto, Derek (57203948301); Karner, Victoria L. (56659803900); Li, Ruohong (57192062269); MacFarlane, Andrew W. (7005655464); McFadden, Ryan M.L. (14023173600); Morris, Gerald D. (57223622664); Pearson, Matthew R. (58426280900); Raegen, Adam N. (13404955100); Stachura, Monika (25928115100); Ticknor, John O. (57210960199); Forrest, James A. (55913096800)</t>
  </si>
  <si>
    <t>7202607692; 57203948301; 56659803900; 57192062269; 7005655464; 14023173600; 57223622664; 58426280900; 13404955100; 25928115100; 57210960199; 55913096800</t>
  </si>
  <si>
    <t>A β -NMR study of the depth, temperature, and molecular-weight dependence of secondary dynamics in polystyrene: Entropy-enthalpy compensation and dynamic gradients near the free surface</t>
  </si>
  <si>
    <t>Journal of Chemical Physics</t>
  </si>
  <si>
    <t>10.1063/5.0081185</t>
  </si>
  <si>
    <t>https://www.scopus.com/inward/record.uri?eid=2-s2.0-85125498553&amp;doi=10.1063%2F5.0081185&amp;partnerID=40&amp;md5=db538444ad45dd908c6c83a103b52554</t>
  </si>
  <si>
    <t>TRIUMF, Vancouver, BC, Canada; Simon Fraser University, Burnaby, BC, Canada; Department of Physics and Astronomy, University of Waterloo, Waterloo, ON, Canada; Department of Physics and Astronomy, The University of British Columbia, Vancouver, BC, Canada; The University of British Columbia, Vancouver, BC, Canada; The University of British Columbia, Vancouver, BC, Canada; University of Liverpool, Liverpool, Merseyside, United Kingdom; Perimeter Institute for Theoretical Physics, Waterloo, ON, Canada</t>
  </si>
  <si>
    <t>McKenzie, Iain D., TRIUMF, Vancouver, BC, Canada, Simon Fraser University, Burnaby, BC, Canada, Department of Physics and Astronomy, University of Waterloo, Waterloo, ON, Canada; Fujimoto, Derek, Department of Physics and Astronomy, The University of British Columbia, Vancouver, BC, Canada, The University of British Columbia, Vancouver, BC, Canada; Karner, Victoria L., The University of British Columbia, Vancouver, BC, Canada, The University of British Columbia, Vancouver, BC, Canada; Li, Ruohong, TRIUMF, Vancouver, BC, Canada; MacFarlane, Andrew W., TRIUMF, Vancouver, BC, Canada, The University of British Columbia, Vancouver, BC, Canada, The University of British Columbia, Vancouver, BC, Canada; McFadden, Ryan M.L., The University of British Columbia, Vancouver, BC, Canada, The University of British Columbia, Vancouver, BC, Canada; Morris, Gerald D., TRIUMF, Vancouver, BC, Canada; Pearson, Matthew R., University of Liverpool, Liverpool, Merseyside, United Kingdom; Raegen, Adam N., TRIUMF, Vancouver, BC, Canada, Department of Physics and Astronomy, University of Waterloo, Waterloo, ON, Canada; Stachura, Monika, TRIUMF, Vancouver, BC, Canada; Ticknor, John O., The University of British Columbia, Vancouver, BC, Canada, The University of British Columbia, Vancouver, BC, Canada; Forrest, James A., Department of Physics and Astronomy, University of Waterloo, Waterloo, ON, Canada, Perimeter Institute for Theoretical Physics, Waterloo, ON, Canada</t>
  </si>
  <si>
    <t>I. Mckenzie; TRIUMF, Vancouver, V6T 2A3, Canada; email: iainmckenzie@triumf.ca</t>
  </si>
  <si>
    <t>JCPSA</t>
  </si>
  <si>
    <t>J Chem Phys</t>
  </si>
  <si>
    <t>2-s2.0-85125498553</t>
  </si>
  <si>
    <t>Lee, S.; van Santen, J.A.; Farzaneh, N.; Liu, D.Y.; Pye, C.R.; Baumeister, T.U.H.; Wong, W.R.; Linington, R.G.</t>
  </si>
  <si>
    <t>Lee, Sanghoon (57212311772); van Santen, Jeffrey A. (56699718200); Farzaneh, Nima (57442070700); Liu, Dennis Y. (57203150185); Pye, Cameron R. (56441192900); Baumeister, Tim U.H. (57200964945); Wong, Weng Ruh (55204702700); Linington, Roger G. (6508105568)</t>
  </si>
  <si>
    <t>57212311772; 56699718200; 57442070700; 57203150185; 56441192900; 57200964945; 55204702700; 6508105568</t>
  </si>
  <si>
    <t>NP Analyst: An Open Online Platform for Compound Activity Mapping</t>
  </si>
  <si>
    <t>ACS Central Science</t>
  </si>
  <si>
    <t>10.1021/acscentsci.1c01108</t>
  </si>
  <si>
    <t>https://www.scopus.com/inward/record.uri?eid=2-s2.0-85124140185&amp;doi=10.1021%2Facscentsci.1c01108&amp;partnerID=40&amp;md5=147156a26617aefef382c53e6fc45577</t>
  </si>
  <si>
    <t>Simon Fraser University, Burnaby, BC, Canada; Unnatural Products, Santa Cruz, CA, United States; Department of Chemistry and Biochemistry, University of California, Santa Cruz, Santa Cruz, CA, United States</t>
  </si>
  <si>
    <t>Lee, Sanghoon, Simon Fraser University, Burnaby, BC, Canada; van Santen, Jeffrey A., Simon Fraser University, Burnaby, BC, Canada; Farzaneh, Nima, Simon Fraser University, Burnaby, BC, Canada; Liu, Dennis Y., Simon Fraser University, Burnaby, BC, Canada; Pye, Cameron R., Unnatural Products, Santa Cruz, CA, United States; Baumeister, Tim U.H., Simon Fraser University, Burnaby, BC, Canada; Wong, Weng Ruh, Department of Chemistry and Biochemistry, University of California, Santa Cruz, Santa Cruz, CA, United States; Linington, Roger G., Simon Fraser University, Burnaby, BC, Canada</t>
  </si>
  <si>
    <t>R.G. Linington; Department of Chemistry, Simon Fraser University, Burnaby, 8888 University Drive, V5A 1S6, Canada; email: rliningt@sfu.ca</t>
  </si>
  <si>
    <t>ACSCI</t>
  </si>
  <si>
    <t>ACS Cent. Sci.</t>
  </si>
  <si>
    <t>2-s2.0-85124140185</t>
  </si>
  <si>
    <t>Yousefi, N.; Pettipas, R.D.; Kelly, T.L.; Kaake, L.G.</t>
  </si>
  <si>
    <t>Yousefi, Nastaran (57216452932); Pettipas, Richard D. (57217847536); Kelly, Timothy L. (7403230815); Kaake, Loren G. (16679060400)</t>
  </si>
  <si>
    <t>57216452932; 57217847536; 7403230815; 16679060400</t>
  </si>
  <si>
    <t>Self-Assembly of PBTTT-C14 thin films in supercritical fluids</t>
  </si>
  <si>
    <t>Materials Advances</t>
  </si>
  <si>
    <t>10.1039/d1ma00847a</t>
  </si>
  <si>
    <t>https://www.scopus.com/inward/record.uri?eid=2-s2.0-85127324163&amp;doi=10.1039%2Fd1ma00847a&amp;partnerID=40&amp;md5=a3c483d498bb3dce973f24664d90307d</t>
  </si>
  <si>
    <t>Yousefi, Nastaran, Simon Fraser University, Burnaby, BC, Canada; Pettipas, Richard D., University of Saskatchewan, Saskatoon, SK, Canada; Kelly, Timothy L., University of Saskatchewan, Saskatoon, SK, Canada; Kaake, Loren G., Simon Fraser University, Burnaby, BC, Canada</t>
  </si>
  <si>
    <t>L.G. Kaake; Department of Chemistry, Simon Fraser University, Burnaby, 8888 University Dr, V5A 1S6, Canada; email: lkaake@sfu.ca</t>
  </si>
  <si>
    <t>Mater. Adv.</t>
  </si>
  <si>
    <t>2-s2.0-85127324163</t>
  </si>
  <si>
    <t>Bao, C.; Su, H.; Seol, S.K.; Kim, W.S.</t>
  </si>
  <si>
    <t>Bao, Chao (56612844400); Su, Haotian (57441274400); Seol, Seung-kwon (7003771508); Kim, Woo Soo (17136903100)</t>
  </si>
  <si>
    <t>56612844400; 57441274400; 7003771508; 17136903100</t>
  </si>
  <si>
    <t>A 3-D Printed Portable Neuromorphic System</t>
  </si>
  <si>
    <t>IEEE Sensors Letters</t>
  </si>
  <si>
    <t>10.1109/LSENS.2022.3146353</t>
  </si>
  <si>
    <t>https://www.scopus.com/inward/record.uri?eid=2-s2.0-85124107852&amp;doi=10.1109%2FLSENS.2022.3146353&amp;partnerID=40&amp;md5=3dd3e41bdfad4ac65575192a5d1ec49c</t>
  </si>
  <si>
    <t>School of Mechatronic Systems Engineering, Simon Fraser University, Burnaby, BC, Canada; Korea Electrotechnology Research Institute, Changwon, Gyeongsangnam-do, South Korea</t>
  </si>
  <si>
    <t>Bao, Chao, School of Mechatronic Systems Engineering, Simon Fraser University, Burnaby, BC, Canada; Su, Haotian, School of Mechatronic Systems Engineering, Simon Fraser University, Burnaby, BC, Canada; Seol, Seung-kwon, Korea Electrotechnology Research Institute, Changwon, Gyeongsangnam-do, South Korea; Kim, Woo Soo, School of Mechatronic Systems Engineering, Simon Fraser University, Burnaby, BC, Canada</t>
  </si>
  <si>
    <t>W.S. Kim; School of Mechatronic Systems Engineering, Simon Fraser University, Surrey, V3T0A3, Canada; email: woosook@sfu.ca</t>
  </si>
  <si>
    <t>IEEE Sensors Let.</t>
  </si>
  <si>
    <t>2-s2.0-85124107852</t>
  </si>
  <si>
    <t>Zhang, J.; Liu, Y.; Ronneberger, S.; Tarakina, N.V.; Merbouh, N.; Loeffler, F.F.</t>
  </si>
  <si>
    <t>Zhang, Junfang (57208535039); Liu, Yuxin (56443654800); Ronneberger, Sebastian (57220203052); Tarakina, Nadezda V. (57195241264); Merbouh, Nabyl (6508144272); Loeffler, Felix F. (57946133800)</t>
  </si>
  <si>
    <t>57208535039; 56443654800; 57220203052; 57195241264; 6508144272; 57946133800</t>
  </si>
  <si>
    <t>Nanolayer Laser Absorber for Femtoliter Chemistry in Polymer Reactors</t>
  </si>
  <si>
    <t>Advanced Materials</t>
  </si>
  <si>
    <t>10.1002/adma.202108493</t>
  </si>
  <si>
    <t>https://www.scopus.com/inward/record.uri?eid=2-s2.0-85122765202&amp;doi=10.1002%2Fadma.202108493&amp;partnerID=40&amp;md5=671cf0bbc942b28c7d7a0361f8ea4459</t>
  </si>
  <si>
    <t>Max-Planck-Institut für Kolloid- und Grenzflächenforschung, Potsdam, Brandenburg, Germany; Institute of Chemistry and Biochemistry, Freie Universität Berlin, Berlin, Berlin, Germany; Karl-Liebknecht-Strasse 24-25 House 14, Universität Potsdam, Potsdam, Brandenburg, Germany; Simon Fraser University, Burnaby, BC, Canada</t>
  </si>
  <si>
    <t>Zhang, Junfang, Max-Planck-Institut für Kolloid- und Grenzflächenforschung, Potsdam, Brandenburg, Germany, Institute of Chemistry and Biochemistry, Freie Universität Berlin, Berlin, Berlin, Germany; Liu, Yuxin, Max-Planck-Institut für Kolloid- und Grenzflächenforschung, Potsdam, Brandenburg, Germany, Institute of Chemistry and Biochemistry, Freie Universität Berlin, Berlin, Berlin, Germany; Ronneberger, Sebastian, Max-Planck-Institut für Kolloid- und Grenzflächenforschung, Potsdam, Brandenburg, Germany, Karl-Liebknecht-Strasse 24-25 House 14, Universität Potsdam, Potsdam, Brandenburg, Germany; Tarakina, Nadezda V., Max-Planck-Institut für Kolloid- und Grenzflächenforschung, Potsdam, Brandenburg, Germany; Merbouh, Nabyl, Simon Fraser University, Burnaby, BC, Canada; Loeffler, Felix F., Max-Planck-Institut für Kolloid- und Grenzflächenforschung, Potsdam, Brandenburg, Germany</t>
  </si>
  <si>
    <t>J. Zhang; Max-Planck-Institute of Colloids and Interfaces, Potsdam, Am Muehlenberg 1, 14476, Germany; email: Junfang.Zhang@mpikg.mpg.de; F.F. Loeffler; Max-Planck-Institute of Colloids and Interfaces, Potsdam, Am Muehlenberg 1, 14476, Germany; email: felix.loeffler@mpikg.mpg.de</t>
  </si>
  <si>
    <t>ADVME</t>
  </si>
  <si>
    <t>Adv Mater</t>
  </si>
  <si>
    <t>2-s2.0-85122765202</t>
  </si>
  <si>
    <t>Hong, J.; Kim, C.; In, C.M.; Kim, S.; Cho, W.-J.; Pecunia, V.; Lee, M.J.; Hwang, I.</t>
  </si>
  <si>
    <t>Hong, Jungyun (57202892767); Kim, Chaewon (55966983500); In, Chang-min (57368516400); Kim, Sohyeon (57212461587); Cho, Won-ju (35228417400); Pecunia, Vincenzo (36017327500); Lee, Mijung (55716916400); Hwang, Inchan (55386512200)</t>
  </si>
  <si>
    <t>57202892767; 55966983500; 57368516400; 57212461587; 35228417400; 36017327500; 55716916400; 55386512200</t>
  </si>
  <si>
    <t>Serendipitous Doping in Nickel Oxide upon Microwave-Induced Low-Temperature Crystallization Enhances Efficiency of Perovskite Solar Cells</t>
  </si>
  <si>
    <t>Solar RRL</t>
  </si>
  <si>
    <t>10.1002/solr.202100992</t>
  </si>
  <si>
    <t>https://www.scopus.com/inward/record.uri?eid=2-s2.0-85120916357&amp;doi=10.1002%2Fsolr.202100992&amp;partnerID=40&amp;md5=fad8f0a161ec095b0bce6a9dcec03785</t>
  </si>
  <si>
    <t>Department of Electronic Materials Engineering, Kwangwoon University, Seoul, South Korea; Joint International Research Laboratory of Carbon-Based Functional Materials and Devices, Soochow University, Suzhou, Jiangsu, China; School of Advanced Materials Engineering, Kookmin University, Seoul, South Korea; School of Sustainable Energy Engineering, Simon Fraser University, Burnaby, BC, Canada</t>
  </si>
  <si>
    <t>Hong, Jungyun, Department of Electronic Materials Engineering, Kwangwoon University, Seoul, South Korea; Kim, Chaewon, Joint International Research Laboratory of Carbon-Based Functional Materials and Devices, Soochow University, Suzhou, Jiangsu, China; In, Chang-min, School of Advanced Materials Engineering, Kookmin University, Seoul, South Korea; Kim, Sohyeon, Department of Electronic Materials Engineering, Kwangwoon University, Seoul, South Korea; Cho, Won-ju, Department of Electronic Materials Engineering, Kwangwoon University, Seoul, South Korea; Pecunia, Vincenzo, School of Sustainable Energy Engineering, Simon Fraser University, Burnaby, BC, Canada; Lee, Mijung, School of Advanced Materials Engineering, Kookmin University, Seoul, South Korea; Hwang, Inchan, Department of Electronic Materials Engineering, Kwangwoon University, Seoul, South Korea</t>
  </si>
  <si>
    <t>I. Hwang; Department of Electronic Materials Engineering, Kwangwoon University, Seoul, 01897, South Korea; email: ihwang@kw.ac.kr; M.J. Lee; School of Advanced Materials Engineering, Kookmin University, Seoul, 02707, South Korea; email: mijung@kookmin.ac.kr; V. Pecunia; School of Sustainable Energy Engineering, Simon Fraser University, Surrey, V3T 4B7, Canada; email: vincenzo_pecunia@sfu.ca</t>
  </si>
  <si>
    <t>2-s2.0-85120916357</t>
  </si>
  <si>
    <t>Shafiepour, A.; McCague, C.; Bahrami, M.</t>
  </si>
  <si>
    <t>Shafiepour, A. (57310254000); McCague, Claire (6507466317); Bahrami, Majid M. (35499001600)</t>
  </si>
  <si>
    <t>57310254000; 6507466317; 35499001600</t>
  </si>
  <si>
    <t>International Journal of Heat and Mass Transfer</t>
  </si>
  <si>
    <t>10.1016/j.ijheatmasstransfer.2021.122098</t>
  </si>
  <si>
    <t>https://www.scopus.com/inward/record.uri?eid=2-s2.0-85117816984&amp;doi=10.1016%2Fj.ijheatmasstransfer.2021.122098&amp;partnerID=40&amp;md5=ec1204f828f29897af883861363c3b40</t>
  </si>
  <si>
    <t>Shafiepour, A., School of Mechatronic Systems Engineering, Simon Fraser University, Burnaby, BC, Canada; McCague, Claire, School of Mechatronic Systems Engineering, Simon Fraser University, Burnaby, BC, Canada; Bahrami, Majid M., School of Mechatronic Systems Engineering, Simon Fraser University, Burnaby, BC, Canada</t>
  </si>
  <si>
    <t>M. Bahrami; Laboratory for Alternative Energy Conversion (LAEC), School of Mechatronic Systems Engineering, Simon Fraser University, V3T 0A3, Canada; email: mbahrami@sfu.ca</t>
  </si>
  <si>
    <t>IJHMA</t>
  </si>
  <si>
    <t>Int. J. Heat Mass Transf.</t>
  </si>
  <si>
    <t>2-s2.0-85117816984</t>
  </si>
  <si>
    <t>Xie, Y.; Wang, B.-X.; Claire, N.; Ye, Z.-G.</t>
  </si>
  <si>
    <t>Xie, Yujuan (55710306800); Wang, Bixia (57205341535); Claire, Neha (57270459200); Ye, Zuo Guang (24443034100)</t>
  </si>
  <si>
    <t>55710306800; 57205341535; 57270459200; 24443034100</t>
  </si>
  <si>
    <t>Structure and properties of Bi(Zn½Ti½)O3-modified Pb(Zr,Ti)O3 piezo-/ferroelectric ceramics around the ternary morphotropic phase boundary</t>
  </si>
  <si>
    <t>10.1111/jace.18114</t>
  </si>
  <si>
    <t>https://www.scopus.com/inward/record.uri?eid=2-s2.0-85115606335&amp;doi=10.1111%2Fjace.18114&amp;partnerID=40&amp;md5=ad97be5c488ee5fc3451f08e2e632049</t>
  </si>
  <si>
    <t>Department of Chemistry and 4D LABS, Simon Fraser University, Burnaby, BC, Canada</t>
  </si>
  <si>
    <t>Xie, Yujuan, Department of Chemistry and 4D LABS, Simon Fraser University, Burnaby, BC, Canada; Wang, Bixia, Department of Chemistry and 4D LABS, Simon Fraser University, Burnaby, BC, Canada; Claire, Neha, Department of Chemistry and 4D LABS, Simon Fraser University, Burnaby, BC, Canada; Ye, Zuo Guang, Department of Chemistry and 4D LABS, Simon Fraser University, Burnaby, BC, Canada</t>
  </si>
  <si>
    <t>B.-X. Wang; Department of Chemistry and 4D LABS, Simon Fraser University, Burnaby, Canada; email: bixia_wang@sfu.ca; Z.-G. Ye; Department of Chemistry and 4D LABS, Simon Fraser University, Burnaby, Canada; email: zye@sfu.ca</t>
  </si>
  <si>
    <t>2-s2.0-85115606335</t>
  </si>
  <si>
    <t>Boyle, K.G.; Napoleone, G.; Ramsook, A.H.; Mitchell, R.A.; Guenette, J.A.</t>
  </si>
  <si>
    <t>Boyle, Kyle G.P.J.M. (57209824215); Napoleone, Gabby (57260494200); Ramsook, Andrew H. (55603031000); Mitchell, Reid A. (57193767673); Guenette, Jordan A. (8761817800)</t>
  </si>
  <si>
    <t>57209824215; 57260494200; 55603031000; 57193767673; 8761817800</t>
  </si>
  <si>
    <t>Effects of the Elevation Training Mask® 2.0 on dyspnea and respiratory muscle mechanics, electromyography, and fatigue during exhaustive cycling in healthy humans</t>
  </si>
  <si>
    <t>Journal of Science and Medicine in Sport</t>
  </si>
  <si>
    <t>10.1016/j.jsams.2021.08.022</t>
  </si>
  <si>
    <t>https://www.scopus.com/inward/record.uri?eid=2-s2.0-85114986436&amp;doi=10.1016%2Fj.jsams.2021.08.022&amp;partnerID=40&amp;md5=9ccec4b5c6d86776abe7e97a6035cb99</t>
  </si>
  <si>
    <t>The University of British Columbia, Vancouver, BC, Canada; Department of Physical Therapy, University of British Columbia, Faculty of Medicine, Vancouver, BC, Canada; School of Kinesiology, The University of British Columbia, Vancouver, BC, Canada; Department of Biomedical Physiology and Kinesiology, Simon Fraser University, Burnaby, BC, Canada</t>
  </si>
  <si>
    <t>Boyle, Kyle G.P.J.M., The University of British Columbia, Vancouver, BC, Canada, Department of Physical Therapy, University of British Columbia, Faculty of Medicine, Vancouver, BC, Canada; Napoleone, Gabby, The University of British Columbia, Vancouver, BC, Canada, Department of Biomedical Physiology and Kinesiology, Simon Fraser University, Burnaby, BC, Canada; Ramsook, Andrew H., The University of British Columbia, Vancouver, BC, Canada, Department of Physical Therapy, University of British Columbia, Faculty of Medicine, Vancouver, BC, Canada; Mitchell, Reid A., The University of British Columbia, Vancouver, BC, Canada, Department of Physical Therapy, University of British Columbia, Faculty of Medicine, Vancouver, BC, Canada; Guenette, Jordan A., The University of British Columbia, Vancouver, BC, Canada, Department of Physical Therapy, University of British Columbia, Faculty of Medicine, Vancouver, BC, Canada, School of Kinesiology, The University of British Columbia, Vancouver, BC, Canada</t>
  </si>
  <si>
    <t>J.A. Guenette; Centre for Heart and Lung Innovation, Providence Health Care Research Institute, The University of British Columbia, St. Paul's Hospital, Canada; email: Jordan.Guenette@hli.ubc.ca</t>
  </si>
  <si>
    <t>JSMSF</t>
  </si>
  <si>
    <t>J. Sci. Med. Sport</t>
  </si>
  <si>
    <t>2-s2.0-85114986436</t>
  </si>
  <si>
    <t>Borden, S.A.; Saatchi, A.; Vandergrift, G.W.; Palaty, J.; Lysyshyn, M.; Gill, C.</t>
  </si>
  <si>
    <t>Borden, Scott A. (57204782022); Saatchi, Armin (57222205914); Vandergrift, Gregory W. (56568381000); Palaty, Jan (7801485606); Lysyshyn, Mark (57195582410); Gill, Christopher G. (57212485188)</t>
  </si>
  <si>
    <t>57204782022; 57222205914; 56568381000; 7801485606; 57195582410; 57212485188</t>
  </si>
  <si>
    <t>A new quantitative drug checking technology for harm reduction: Pilot study in Vancouver, Canada using paper spray mass spectrometry</t>
  </si>
  <si>
    <t>Drug and Alcohol Review</t>
  </si>
  <si>
    <t>10.1111/dar.13370</t>
  </si>
  <si>
    <t>https://www.scopus.com/inward/record.uri?eid=2-s2.0-85111746417&amp;doi=10.1111%2Fdar.13370&amp;partnerID=40&amp;md5=311280bd1168f032adcac4454425fa64</t>
  </si>
  <si>
    <t>Department of Chemistry, Vancouver Island University, Nanaimo, BC, Canada; University of Victoria, Victoria, BC, Canada; LifeLabs Medical Laboratories, Burnaby, BC, Canada; School of Population and Public Health, The University of British Columbia, Vancouver, BC, Canada; Vancouver Coastal Health, Vancouver, BC, Canada; Simon Fraser University, Burnaby, BC, Canada; Department of Occupational and Environmental Health, University of Washington, Seattle, WA, United States</t>
  </si>
  <si>
    <t>Borden, Scott A., Department of Chemistry, Vancouver Island University, Nanaimo, BC, Canada, University of Victoria, Victoria, BC, Canada; Saatchi, Armin, Department of Chemistry, Vancouver Island University, Nanaimo, BC, Canada; Vandergrift, Gregory W., Department of Chemistry, Vancouver Island University, Nanaimo, BC, Canada, University of Victoria, Victoria, BC, Canada; Palaty, Jan, LifeLabs Medical Laboratories, Burnaby, BC, Canada; Lysyshyn, Mark, School of Population and Public Health, The University of British Columbia, Vancouver, BC, Canada, Vancouver Coastal Health, Vancouver, BC, Canada; Gill, Christopher G., Department of Chemistry, Vancouver Island University, Nanaimo, BC, Canada, University of Victoria, Victoria, BC, Canada, Simon Fraser University, Burnaby, BC, Canada, Department of Occupational and Environmental Health, University of Washington, Seattle, WA, United States</t>
  </si>
  <si>
    <t>C.G. Gill; Applied Environmental Research Laboratories, Department of Chemistry, Vancouver Island University, Nanaimo, Canada; email: chris.gill@viu.ca</t>
  </si>
  <si>
    <t>Drug Alcohol Rev.</t>
  </si>
  <si>
    <t>2-s2.0-85111746417</t>
  </si>
  <si>
    <t>Zhou, H.; Chen, K.; Zhang, W.; Yu, N.</t>
  </si>
  <si>
    <t>Zhou, Hang (57192375762); Chen, Kejiang (57193571285); Zhang, Weiming (56459354100); Yu, Nenghaif Hai (57201634030)</t>
  </si>
  <si>
    <t>57192375762; 57193571285; 56459354100; 57201634030</t>
  </si>
  <si>
    <t>3D mesh steganography and steganalysis: review and prospect; 3D网格隐写与隐写分析回顾与展望</t>
  </si>
  <si>
    <t>Journal of Image and Graphics</t>
  </si>
  <si>
    <t>10.11834/jig.210371</t>
  </si>
  <si>
    <t>https://www.scopus.com/inward/record.uri?eid=2-s2.0-85123249943&amp;doi=10.11834%2Fjig.210371&amp;partnerID=40&amp;md5=804e8635beb355fba2ac68d3e88c6652</t>
  </si>
  <si>
    <t>School of Information, University of Science and Technology of China, Hefei, Anhui, China; School of Computer Science, Simon Fraser University, Burnaby, BC, Canada; Chinese Academy of Sciences, Beijing, Beijing, China</t>
  </si>
  <si>
    <t>Zhou, Hang, School of Information, University of Science and Technology of China, Hefei, Anhui, China, School of Computer Science, Simon Fraser University, Burnaby, BC, Canada; Chen, Kejiang, School of Information, University of Science and Technology of China, Hefei, Anhui, China, Chinese Academy of Sciences, Beijing, Beijing, China; Zhang, Weiming, School of Information, University of Science and Technology of China, Hefei, Anhui, China, Chinese Academy of Sciences, Beijing, Beijing, China; Yu, Nenghaif Hai, School of Information, University of Science and Technology of China, Hefei, Anhui, China, Chinese Academy of Sciences, Beijing, Beijing, China</t>
  </si>
  <si>
    <t>W. Zhang; School of Cyberspace Information, University of Science and Technology of China, Hefei, 230027, China; email: zhangwm@ustc.edu.cn; W. Zhang; School of Cyberspace Information, University of Science and Technology of China, Hefei, 230027, China; email: zhangwm@ustc.edu.cn</t>
  </si>
  <si>
    <t>Editorial and Publishing Board of JIG</t>
  </si>
  <si>
    <t>J. Image and Graphics</t>
  </si>
  <si>
    <t>2-s2.0-85123249943</t>
  </si>
  <si>
    <t>Liu, Z.; Wu, H.; Zhuang, J.; Niu, G.; Zhang, N.; Ren, W.; Ye, Z.-G.</t>
  </si>
  <si>
    <t>Liu, Zenghui (56599407500); Wu, Hua (7405584390); Zhuang, Jian (57202600151); Niu, Gang (55392353500); Zhang, Nan (26023886900); Ren, Wei (57201421397); Ye, Zuo Guang (24443034100)</t>
  </si>
  <si>
    <t>56599407500; 7405584390; 57202600151; 55392353500; 26023886900; 57201421397; 24443034100</t>
  </si>
  <si>
    <t>CrystEngComm</t>
  </si>
  <si>
    <t>10.1039/d1ce00962a</t>
  </si>
  <si>
    <t>https://www.scopus.com/inward/record.uri?eid=2-s2.0-85122761987&amp;doi=10.1039%2Fd1ce00962a&amp;partnerID=40&amp;md5=986bbb96eb33235b387d18000ceb1feb</t>
  </si>
  <si>
    <t>Liu, Zenghui, Electronic Materials Research Laboratory, Xi'an Jiaotong University, Xi'an, Shaanxi, China; Wu, Hua, Department of Applied Physics, Donghua University, Shanghai, Shanghai, China; Zhuang, Jian, Electronic Materials Research Laboratory, Xi'an Jiaotong University, Xi'an, Shaanxi, China; Niu, Gang, Electronic Materials Research Laboratory, Xi'an Jiaotong University, Xi'an, Shaanxi, China; Zhang, Nan, Electronic Materials Research Laboratory, Xi'an Jiaotong University, Xi'an, Shaanxi, China; Ren, Wei, Electronic Materials Research Laboratory, Xi'an Jiaotong University, Xi'an, Shaanxi, China; Ye, Zuo Guang, Department of Chemistry and 4D LABS, Simon Fraser University, Burnaby, BC, Canada</t>
  </si>
  <si>
    <t>CRECF</t>
  </si>
  <si>
    <t>Crystengcomm</t>
  </si>
  <si>
    <t>2-s2.0-85122761987</t>
  </si>
  <si>
    <t>Ali, R.F.; Gates, B.D.</t>
  </si>
  <si>
    <t>Ali, Rana Faryad (57195591123); Gates, Byron D. (7102128759)</t>
  </si>
  <si>
    <t>57195591123; 7102128759</t>
  </si>
  <si>
    <t>Lithium niobate particles with a tunable diameter and porosity for optical second harmonic generation</t>
  </si>
  <si>
    <t>RSC Advances</t>
  </si>
  <si>
    <t>10.1039/d1ra07216a</t>
  </si>
  <si>
    <t>https://www.scopus.com/inward/record.uri?eid=2-s2.0-85122957033&amp;doi=10.1039%2Fd1ra07216a&amp;partnerID=40&amp;md5=7b15abfde1069594a30e2eb74a54a662</t>
  </si>
  <si>
    <t>Ali, Rana Faryad, Department of Chemistry and 4D LABS, Simon Fraser University, Burnaby, BC, Canada; Gates, Byron D., Department of Chemistry and 4D LABS, Simon Fraser University, Burnaby, BC, Canada</t>
  </si>
  <si>
    <t>B.D. Gates; Department of Chemistry and 4D Labs, Simon Fraser University, Burnaby, 8888 University Drive, V5A 1S6, Canada; email: bgates@sfu.ca</t>
  </si>
  <si>
    <t>RSCAC</t>
  </si>
  <si>
    <t>RSC Adv.</t>
  </si>
  <si>
    <t>2-s2.0-85122957033</t>
  </si>
  <si>
    <t>Burville, K.; Lee, C.; Gimpel, C.; Hardjoho, A.; Divsalar, D.N.; Godinho, M.; Richter, S.</t>
  </si>
  <si>
    <t>Burville, Kevin (57222005648); Lee, Charles (58531586600); Gimpel, Caleb (58530843100); Hardjoho, Alessandro (58530843200); Divsalar, Donya Naz (57208622655); Godinho, Michael (58530995300); Richter, Steven (57222009832)</t>
  </si>
  <si>
    <t>57222005648; 58531586600; 58530843100; 58530843200; 57208622655; 58530995300; 57222009832</t>
  </si>
  <si>
    <t>Low-cost Manufacturing and Testing of Attitude Control Systems for CubeSats</t>
  </si>
  <si>
    <t>Proceedings of the International Astronautical Congress, IAC</t>
  </si>
  <si>
    <t>2022-September</t>
  </si>
  <si>
    <t>https://www.scopus.com/inward/record.uri?eid=2-s2.0-85167626755&amp;partnerID=40&amp;md5=80e3b4885a27d5c9b9c01ef1ca409dd6</t>
  </si>
  <si>
    <t>School of Mechatronic Systems Engineering, Simon Fraser University, Burnaby, BC, Canada; Faculty of Applied Science, The University of British Columbia, Vancouver, BC, Canada; Department of Biomedical Physiology and Kinesiology, Simon Fraser University, Burnaby, BC, Canada</t>
  </si>
  <si>
    <t>Burville, Kevin, School of Mechatronic Systems Engineering, Simon Fraser University, Burnaby, BC, Canada; Lee, Charles, Faculty of Applied Science, The University of British Columbia, Vancouver, BC, Canada; Gimpel, Caleb, School of Mechatronic Systems Engineering, Simon Fraser University, Burnaby, BC, Canada; Hardjoho, Alessandro, Faculty of Applied Science, The University of British Columbia, Vancouver, BC, Canada; Divsalar, Donya Naz, Department of Biomedical Physiology and Kinesiology, Simon Fraser University, Burnaby, BC, Canada; Godinho, Michael, School of Mechatronic Systems Engineering, Simon Fraser University, Burnaby, BC, Canada; Richter, Steven, School of Mechatronic Systems Engineering, Simon Fraser University, Burnaby, BC, Canada</t>
  </si>
  <si>
    <t>K. Burville; School of Mechatronic Systems Engineering, Faculty of Applied Sciences, Simon Fraser University, Burnaby, 8888 University Dr, V5A 1S6, Canada; email: kburville@gmail.com</t>
  </si>
  <si>
    <t>International Astronautical Federation, IAF</t>
  </si>
  <si>
    <t>9781713843085; 9798331312114; 9798331312268; 9781510855373; 9798331312077; 9781713843122; 9798331312107; 9798331312367; 9781713843054; 9798331312213</t>
  </si>
  <si>
    <t>Proc. Int. Astronaut. Congr., IAC</t>
  </si>
  <si>
    <t>2-s2.0-85167626755</t>
  </si>
  <si>
    <t>Oldknow, K.</t>
  </si>
  <si>
    <t>Oldknow, Kevin D. (6507360376)</t>
  </si>
  <si>
    <t>A BRIEF HISTORY OF WHEEL-RAIL FRICTION MANAGEMENT</t>
  </si>
  <si>
    <t>CM 2022 - 12th International Conference on Contact Mechanics and Wear of Rail/Wheel Systems, Conference Proceedings</t>
  </si>
  <si>
    <t>https://www.scopus.com/inward/record.uri?eid=2-s2.0-85149184246&amp;partnerID=40&amp;md5=1994a36be32c9a70eb32b8996058f046</t>
  </si>
  <si>
    <t>Oldknow, Kevin D., Simon Fraser University, Burnaby, BC, Canada</t>
  </si>
  <si>
    <t>K. Oldknow; Simon Fraser University, Surrey, 5118-10285 University Drive, V3T 0N1, Canada; email: koldknow@sfu.ca</t>
  </si>
  <si>
    <t>Meehan, P.; Yan, W.; Mutton, P.; Pun, J.</t>
  </si>
  <si>
    <t>International Conference on Contact Mechanics of Wheel / Rail Systems</t>
  </si>
  <si>
    <t>CM - Int. Conf. Contact Mech. Wear Rail/Wheel Syst., Conf. Proc.</t>
  </si>
  <si>
    <t>2-s2.0-85149184246</t>
  </si>
  <si>
    <t>Magel, E.; Oldknow, K.; Stock, R.</t>
  </si>
  <si>
    <t>Magel, Eric E. (7003651790); Oldknow, Kevin D. (6507360376); Stock, Richard (7102081768)</t>
  </si>
  <si>
    <t>7003651790; 6507360376; 7102081768</t>
  </si>
  <si>
    <t>THE IMPACT OF RELATIVE WHEEL-RAIL HARDNESS ON RCF, PLASTIC FLOW, AND RAIL GRINDING</t>
  </si>
  <si>
    <t>https://www.scopus.com/inward/record.uri?eid=2-s2.0-85149168915&amp;partnerID=40&amp;md5=62d964c5aabb30ea6d237be70c961edd</t>
  </si>
  <si>
    <t>National Research Council Canada, Ottawa, ON, Canada; Simon Fraser University, Burnaby, BC, Canada; Institut de Recherche en Immunologie et en Cancérologie de l’Université de Montréal, Montreal, QC, Canada</t>
  </si>
  <si>
    <t>Magel, Eric E., National Research Council Canada, Ottawa, ON, Canada; Oldknow, Kevin D., Simon Fraser University, Burnaby, BC, Canada; Stock, Richard, Institut de Recherche en Immunologie et en Cancérologie de l’Université de Montréal, Montreal, QC, Canada</t>
  </si>
  <si>
    <t>E. Magel; National Research Council of Canada, Ottawa, 2320 Lester Road, K1V 1S2, Canada; email: eric.magel@nrc.ca</t>
  </si>
  <si>
    <t>2-s2.0-85149168915</t>
  </si>
  <si>
    <t>Chhokar, C.; Abadi, G.B.; McDaniel, N.; Botting, C.; Bahrami, M.</t>
  </si>
  <si>
    <t>Chhokar, Callum (57828781300); Abadi, Gholamreza Bamorovat (57224064971); McDaniel, Nicholas (58028218500); Botting, Chris (6701322235); Bahrami, Majid M. (35499001600)</t>
  </si>
  <si>
    <t>57828781300; 57224064971; 58028218500; 6701322235; 35499001600</t>
  </si>
  <si>
    <t>NATURALLY-COOLED HEAT SINKS for NEXT-GENERATION BATTERY CHARGERS</t>
  </si>
  <si>
    <t>Proceedings of ASME 2022 International Technical Conference and Exhibition on Packaging and Integration of Electronic and Photonic Microsystems, InterPACK 2022</t>
  </si>
  <si>
    <t>v001t09a010</t>
  </si>
  <si>
    <t>10.1115/IPACK2022-98077</t>
  </si>
  <si>
    <t>https://www.scopus.com/inward/record.uri?eid=2-s2.0-85144615122&amp;doi=10.1115%2FIPACK2022-98077&amp;partnerID=40&amp;md5=bfa6985bc2aed7820ab5b00cd4f7844d</t>
  </si>
  <si>
    <t>Laboratory for Alternative Energy Conversion (LAEC), Simon Fraser University, Burnaby, BC, Canada; Delta-Q Technologies Corp., Burnaby, BC, Canada</t>
  </si>
  <si>
    <t>Chhokar, Callum, Laboratory for Alternative Energy Conversion (LAEC), Simon Fraser University, Burnaby, BC, Canada; Abadi, Gholamreza Bamorovat, Laboratory for Alternative Energy Conversion (LAEC), Simon Fraser University, Burnaby, BC, Canada; McDaniel, Nicholas, Laboratory for Alternative Energy Conversion (LAEC), Simon Fraser University, Burnaby, BC, Canada; Botting, Chris, Delta-Q Technologies Corp., Burnaby, BC, Canada; Bahrami, Majid M., Laboratory for Alternative Energy Conversion (LAEC), Simon Fraser University, Burnaby, BC, Canada</t>
  </si>
  <si>
    <t>Proc. ASME Int. Tech. Conf. Exhib. Packag. Integr. Electron. Photonic Microsyst., InterPACK</t>
  </si>
  <si>
    <t>2-s2.0-85144615122</t>
  </si>
  <si>
    <t>Policy volatility and the propensity of policies to fail: dealing with uncertainty, maliciousness and compliance in public policy-making</t>
  </si>
  <si>
    <t>International Journal of Public Policy</t>
  </si>
  <si>
    <t>10.1504/ijpp.2022.127431</t>
  </si>
  <si>
    <t>https://www.scopus.com/inward/record.uri?eid=2-s2.0-85144411154&amp;doi=10.1504%2Fijpp.2022.127431&amp;partnerID=40&amp;md5=1ec8b6aa89cd28b0f97fe23ea10d2d2d</t>
  </si>
  <si>
    <t>Department of Political Science, Simon Fraser University, Burnaby, BC, Canada; Lee Kuan Yew School of Public Policy, Singapore City, Singapore</t>
  </si>
  <si>
    <t>Howlett, Michael P., Department of Political Science, Simon Fraser University, Burnaby, BC, Canada; Leong, Ching, Lee Kuan Yew School of Public Policy, Singapore City, Singapore</t>
  </si>
  <si>
    <t>M. Howlett; Department of Political Science, Simon Fraser University, Vancouver, Canada; email: howlett@sfu.ca</t>
  </si>
  <si>
    <t>Inderscience Publishers</t>
  </si>
  <si>
    <t>Int. J. Public Policy</t>
  </si>
  <si>
    <t>2-s2.0-85144411154</t>
  </si>
  <si>
    <t>REVIEW OF TRANSFER LEARNING IN ADDITIVE MANUFACTURING MODELING</t>
  </si>
  <si>
    <t>V002T02A013</t>
  </si>
  <si>
    <t>10.1115/DETC2022-89300</t>
  </si>
  <si>
    <t>https://www.scopus.com/inward/record.uri?eid=2-s2.0-85142525661&amp;doi=10.1115%2FDETC2022-89300&amp;partnerID=40&amp;md5=14bbade15b1ef9650061f785679381ea</t>
  </si>
  <si>
    <t>2-s2.0-85142525661</t>
  </si>
  <si>
    <t>ITERATIVE UNCERTAINTY CALIBRATION FOR MODELING METAL ADDITIVE MANUFACTURING PROCESSES USING STATISTICAL MOMENT-BASED METRIC</t>
  </si>
  <si>
    <t>3-B</t>
  </si>
  <si>
    <t>V03BT03A029</t>
  </si>
  <si>
    <t>10.1115/DETC2022-89511</t>
  </si>
  <si>
    <t>https://www.scopus.com/inward/record.uri?eid=2-s2.0-85142494737&amp;doi=10.1115%2FDETC2022-89511&amp;partnerID=40&amp;md5=4d56bc42d4d7b8e394400fc9099d90b3</t>
  </si>
  <si>
    <t>Rahmani Dehaghani, Mostafa, Product Design and Optimization Laboratory, Simon Fraser University, Burnaby, BC, Canada; Tang, Yifan, Product Design and Optimization Laboratory, Simon Fraser University, Burnaby, BC, Canada; Wang, G. Gary, Product Design and Optimization Laboratory, Simon Fraser University, Burnaby, BC, Canada</t>
  </si>
  <si>
    <t>9780791886229; 9780791886236</t>
  </si>
  <si>
    <t>2-s2.0-85142494737</t>
  </si>
  <si>
    <t>Pecunia, V.; Portilla, L.</t>
  </si>
  <si>
    <t>Pecunia, Vincenzo (36017327500); Portilla, Luis (55983121600)</t>
  </si>
  <si>
    <t>36017327500; 55983121600</t>
  </si>
  <si>
    <t>6th IEEE Electron Devices Technology and Manufacturing Conference, EDTM 2022</t>
  </si>
  <si>
    <t>10.1109/EDTM53872.2022.9797966</t>
  </si>
  <si>
    <t>https://www.scopus.com/inward/record.uri?eid=2-s2.0-85133979176&amp;doi=10.1109%2FEDTM53872.2022.9797966&amp;partnerID=40&amp;md5=85ed7fc6d0f572551881ecc14e3494da</t>
  </si>
  <si>
    <t>Simon Fraser University, Burnaby, BC, Canada; Fudan University, Shanghai, China</t>
  </si>
  <si>
    <t>Pecunia, Vincenzo, Simon Fraser University, Burnaby, BC, Canada; Portilla, Luis, Fudan University, Shanghai, China</t>
  </si>
  <si>
    <t>V. Pecunia; Simon Fraser University, Surrey, Canada; email: vincenzo_pecunia@sfu.ca</t>
  </si>
  <si>
    <t>IEEE Electron Devices Technol. Manuf. Conf., EDTM</t>
  </si>
  <si>
    <t>2-s2.0-85133979176</t>
  </si>
  <si>
    <t>Heng, W.; Yang, G.; Kim, W.S.; Xu, K.</t>
  </si>
  <si>
    <t>Heng, Wenzheng (57212027826); Yang, Geng (54961736000); Kim, Woo Soo (17136903100); Xu, Kaichen (57189468699)</t>
  </si>
  <si>
    <t>57212027826; 54961736000; 17136903100; 57189468699</t>
  </si>
  <si>
    <t>Emerging wearable flexible sensors for sweat analysis</t>
  </si>
  <si>
    <t>Bio-Design and Manufacturing</t>
  </si>
  <si>
    <t>10.1007/s42242-021-00171-2</t>
  </si>
  <si>
    <t>https://www.scopus.com/inward/record.uri?eid=2-s2.0-85120303080&amp;doi=10.1007%2Fs42242-021-00171-2&amp;partnerID=40&amp;md5=20ea28c8633c8b489c1e10d83d636933</t>
  </si>
  <si>
    <t>State Key Laboratory of Fluid Power and Mechatronic Systems, Hangzhou, Zhejiang, China; California Institute of Technology Division of Engineering and Applied Science, Pasadena, CA, United States; School of Mechatronic Systems Engineering, Simon Fraser University, Burnaby, BC, Canada</t>
  </si>
  <si>
    <t>Heng, Wenzheng, State Key Laboratory of Fluid Power and Mechatronic Systems, Hangzhou, Zhejiang, China, California Institute of Technology Division of Engineering and Applied Science, Pasadena, CA, United States; Yang, Geng, State Key Laboratory of Fluid Power and Mechatronic Systems, Hangzhou, Zhejiang, China; Kim, Woo Soo, School of Mechatronic Systems Engineering, Simon Fraser University, Burnaby, BC, Canada; Xu, Kaichen, State Key Laboratory of Fluid Power and Mechatronic Systems, Hangzhou, Zhejiang, China</t>
  </si>
  <si>
    <t>G. Yang; State Key Laboratory of Fluid Power and Mechatronic Systems, School of Mechanical Engineering, Zhejiang University, Hangzhou, 310027, China; email: yanggeng@zju.edu.cn; K. Xu; State Key Laboratory of Fluid Power and Mechatronic Systems, School of Mechanical Engineering, Zhejiang University, Hangzhou, 310027, China; email: xukc@zju.edu.cn</t>
  </si>
  <si>
    <t>Bio-Des. Manufact.</t>
  </si>
  <si>
    <t>2-s2.0-85120303080</t>
  </si>
  <si>
    <t>Anderson, B.</t>
  </si>
  <si>
    <t>Anderson, Benjamin (57373810700)</t>
  </si>
  <si>
    <t>The forgotten labour of craft: Exploitation and organizing in artisanal industries</t>
  </si>
  <si>
    <t>Labour/ Le Travail</t>
  </si>
  <si>
    <t>10.52975/llt.2021v88.0005</t>
  </si>
  <si>
    <t>https://www.scopus.com/inward/record.uri?eid=2-s2.0-85121281320&amp;doi=10.52975%2Fllt.2021v88.0005&amp;partnerID=40&amp;md5=3da2c69cb1f7fe0df51011ce0899675a</t>
  </si>
  <si>
    <t>Anderson, Benjamin, Simon Fraser University, Burnaby, BC, Canada</t>
  </si>
  <si>
    <t>Athabasca University</t>
  </si>
  <si>
    <t>Labour Travail</t>
  </si>
  <si>
    <t>2-s2.0-85121281320</t>
  </si>
  <si>
    <t>Beller, J.A.; Greenfield, H.J.; MAEIR, A.M.</t>
  </si>
  <si>
    <t>Beller, Jeremy A. (57190429720); Greenfield, Haskel J. (7005963340); MAEIR, Aren M. (8291422700)</t>
  </si>
  <si>
    <t>57190429720; 7005963340; 8291422700</t>
  </si>
  <si>
    <t>Evaluating manufacture marks on ground stone objects as a new proxy for the spread of metal technology in the southern Levant</t>
  </si>
  <si>
    <t>10.1016/j.jasrep.2021.103233</t>
  </si>
  <si>
    <t>https://www.scopus.com/inward/record.uri?eid=2-s2.0-85118513184&amp;doi=10.1016%2Fj.jasrep.2021.103233&amp;partnerID=40&amp;md5=68622832d2ba8c3a5985db78bc6a47af</t>
  </si>
  <si>
    <t>Department of Archaeology, Simon Fraser University, Burnaby, BC, Canada; Department of Anthropology and St, St. Paul`s College, University of Manitoba, Winnipeg, MB, Canada; Department of Land of Israel Studies and Archaeology, Bar-Ilan University, Ramat Gan, Tel Aviv District, Israel</t>
  </si>
  <si>
    <t>Beller, Jeremy A., Department of Archaeology, Simon Fraser University, Burnaby, BC, Canada; Greenfield, Haskel J., Department of Anthropology and St, St. Paul`s College, University of Manitoba, Winnipeg, MB, Canada; MAEIR, Aren M., Department of Land of Israel Studies and Archaeology, Bar-Ilan University, Ramat Gan, Tel Aviv District, Israel</t>
  </si>
  <si>
    <t>J.A. Beller; Simon Fraser University, Department of Archaeology, Burnaby, Canada; email: beller.jeremy.a@gmail.com</t>
  </si>
  <si>
    <t>2-s2.0-85118513184</t>
  </si>
  <si>
    <t>Iqbal, M.W.; Asghar, M.; Noor, N.A.; Ullah, H.; Zahid, T.; Aftab, S.; Mahmood, A.</t>
  </si>
  <si>
    <t>Iqbal, Muhammad Waqas (57210908320); Asghar, Mazia (57263047300); Noor, Naveed Ahmad (35812147900); Ullah, Hamid (57208601029); Zahid, Tausif (57190029688); Aftab, Sikandar (57200114034); Mahmood, Asif Khalid (57197949063)</t>
  </si>
  <si>
    <t>57210908320; 57263047300; 35812147900; 57208601029; 57190029688; 57200114034; 57197949063</t>
  </si>
  <si>
    <t>Analysis of ternary AlGaX2(X = As, Sb) compounds for optoelectronic and renewable energy devices using density functional theory</t>
  </si>
  <si>
    <t>Physica Scripta</t>
  </si>
  <si>
    <t>10.1088/1402-4896/ac2024</t>
  </si>
  <si>
    <t>https://www.scopus.com/inward/record.uri?eid=2-s2.0-85115175504&amp;doi=10.1088%2F1402-4896%2Fac2024&amp;partnerID=40&amp;md5=bb564ef6e38d53b014adab92dfa8843e</t>
  </si>
  <si>
    <t>Department of Physics, Riphah International University, Islamabad, Pakistan; Department of Electrical Engineering, Riphah International University, Islamabad, Pakistan; Department of Electrical Engineering, Simon Fraser University, Burnaby, BC, Canada; Department of Chemical Engineering, King Saud University, Riyadh, Riyad, Saudi Arabia</t>
  </si>
  <si>
    <t>Iqbal, Muhammad Waqas, Department of Physics, Riphah International University, Islamabad, Pakistan; Asghar, Mazia, Department of Physics, Riphah International University, Islamabad, Pakistan; Noor, Naveed Ahmad, Department of Physics, Riphah International University, Islamabad, Pakistan; Ullah, Hamid, Department of Physics, Riphah International University, Islamabad, Pakistan; Zahid, Tausif, Department of Electrical Engineering, Riphah International University, Islamabad, Pakistan; Aftab, Sikandar, Department of Electrical Engineering, Simon Fraser University, Burnaby, BC, Canada; Mahmood, Asif Khalid, Department of Chemical Engineering, King Saud University, Riyadh, Riyad, Saudi Arabia</t>
  </si>
  <si>
    <t>N.A. Noor; Department of Physics, RIPHAH International University, Campus Lahore, Pakistan; email: naveedcssp@gmail.com</t>
  </si>
  <si>
    <t>IOP Publishing Ltd</t>
  </si>
  <si>
    <t>PHSTB</t>
  </si>
  <si>
    <t>Phys Scr</t>
  </si>
  <si>
    <t>2-s2.0-85115175504</t>
  </si>
  <si>
    <t>McNeil, B.L.; Robertson, A.K.H.; Fu, W.; Yang, H.; Hoehr, C.; Ramogida, C.F.; Schaffer, P.</t>
  </si>
  <si>
    <t>McNeil, Brooke L. (57198862611); Robertson, Andrew Kyle Henderson (57198466545); Fu, Winnie (57222617965); Yang, Hua (56019802000); Hoehr, Cornelia (55326269700); Ramogida, Caterina Fortunata (37034801500); Schaffer, Paul (7102320285)</t>
  </si>
  <si>
    <t>57198862611; 57198466545; 57222617965; 56019802000; 55326269700; 37034801500; 7102320285</t>
  </si>
  <si>
    <t>Production, purification, and radiolabeling of the 203Pb/212Pb theranostic pair</t>
  </si>
  <si>
    <t>EJNMMI Radiopharmacy and Chemistry</t>
  </si>
  <si>
    <t>10.1186/s41181-021-00121-4</t>
  </si>
  <si>
    <t>https://www.scopus.com/inward/record.uri?eid=2-s2.0-85103473552&amp;doi=10.1186%2Fs41181-021-00121-4&amp;partnerID=40&amp;md5=447bf58e442f10dcdf83e3fd52656cdb</t>
  </si>
  <si>
    <t>Division of Life Sciences, TRIUMF, Vancouver, BC, Canada; Department of Chemistry, Simon Fraser University, Burnaby, BC, Canada; Department of Physics and Astronomy, The University of British Columbia, Vancouver, BC, Canada; Department of Radiology, The University of British Columbia, Vancouver, BC, Canada</t>
  </si>
  <si>
    <t>McNeil, Brooke L., Division of Life Sciences, TRIUMF, Vancouver, BC, Canada, Department of Chemistry, Simon Fraser University, Burnaby, BC, Canada; Robertson, Andrew Kyle Henderson, Division of Life Sciences, TRIUMF, Vancouver, BC, Canada, Department of Physics and Astronomy, The University of British Columbia, Vancouver, BC, Canada; Fu, Winnie, Division of Life Sciences, TRIUMF, Vancouver, BC, Canada; Yang, Hua, Division of Life Sciences, TRIUMF, Vancouver, BC, Canada; Hoehr, Cornelia, Division of Life Sciences, TRIUMF, Vancouver, BC, Canada; Ramogida, Caterina Fortunata, Division of Life Sciences, TRIUMF, Vancouver, BC, Canada, Department of Chemistry, Simon Fraser University, Burnaby, BC, Canada; Schaffer, Paul, Division of Life Sciences, TRIUMF, Vancouver, BC, Canada, Department of Chemistry, Simon Fraser University, Burnaby, BC, Canada, Department of Radiology, The University of British Columbia, Vancouver, BC, Canada</t>
  </si>
  <si>
    <t>C.F. Ramogida; Life Sciences Division, TRIUMF, Vancouver, Canada; email: cfr@sfu.ca; P. Schaffer; Life Sciences Division, TRIUMF, Vancouver, Canada; email: pschaffer@triumf.ca</t>
  </si>
  <si>
    <t>EJNMMI Radiopharm. Chem.</t>
  </si>
  <si>
    <t>2-s2.0-85103473552</t>
  </si>
  <si>
    <t>Zhang, L.; Zhou, A.G.; Sun, B.R.; Chen, K.S.; Yu, H.-Z.</t>
  </si>
  <si>
    <t>Zhang, Lishen (57197774098); Zhou, Alvin G.C. (57221976275); Sun, Brigitta R. (57221981307); Chen, Kennedy S. (57215129380); Yu, Huazhong Hogan (7405855808)</t>
  </si>
  <si>
    <t>57197774098; 57221976275; 57221981307; 57215129380; 7405855808</t>
  </si>
  <si>
    <t>10.1038/s41467-021-21219-y</t>
  </si>
  <si>
    <t>https://www.scopus.com/inward/record.uri?eid=2-s2.0-85100856146&amp;doi=10.1038%2Fs41467-021-21219-y&amp;partnerID=40&amp;md5=1c9709e9a52862247d20f96acfb64228</t>
  </si>
  <si>
    <t>Zhang, Lishen, Simon Fraser University, Burnaby, BC, Canada; Zhou, Alvin G.C., Simon Fraser University, Burnaby, BC, Canada; Sun, Brigitta R., Simon Fraser University, Burnaby, BC, Canada; Chen, Kennedy S., Simon Fraser University, Burnaby, BC, Canada; Yu, Huazhong Hogan, Simon Fraser University, Burnaby, BC, Canada</t>
  </si>
  <si>
    <t>H.-Z. Yu; Department of Chemistry, Simon Fraser University, Burnaby, Canada; email: hogan_yu@sfu.ca</t>
  </si>
  <si>
    <t>2-s2.0-85100856146</t>
  </si>
  <si>
    <t>Li, H.; Wang, X.; Li, X.; Yu, H.-Z.</t>
  </si>
  <si>
    <t>Li, Haiqin (57345388300); Wang, Xiaoyuan (59885928100); Li, Xiaochun (55639415300); Yu, Huazhong Hogan (7405855808)</t>
  </si>
  <si>
    <t>57345388300; 59885928100; 55639415300; 7405855808</t>
  </si>
  <si>
    <t>10.1021/acs.analchem.1c03393</t>
  </si>
  <si>
    <t>https://www.scopus.com/inward/record.uri?eid=2-s2.0-85119360052&amp;doi=10.1021%2Facs.analchem.1c03393&amp;partnerID=40&amp;md5=a10bc4d5431a1b75526319f1e77edfb3</t>
  </si>
  <si>
    <t>Department of Biomedical Engineering, Taiyuan University of Technology, Taiyuan, Shanxi, China; Simon Fraser University, Burnaby, BC, Canada</t>
  </si>
  <si>
    <t>Li, Haiqin, Department of Biomedical Engineering, Taiyuan University of Technology, Taiyuan, Shanxi, China; Wang, Xiaoyuan, Department of Biomedical Engineering, Taiyuan University of Technology, Taiyuan, Shanxi, China; Li, Xiaochun, Department of Biomedical Engineering, Taiyuan University of Technology, Taiyuan, Shanxi, China; Yu, Huazhong Hogan, Department of Biomedical Engineering, Taiyuan University of Technology, Taiyuan, Shanxi, China, Simon Fraser University, Burnaby, BC, Canada</t>
  </si>
  <si>
    <t>X. Li; College of Biomedical Engineering, Taiyuan University of Technology, Taiyuan, Shanxi, 030600, China; email: lixiaochun@tyut.edu.cn; H.-Z. Yu; College of Biomedical Engineering, Taiyuan University of Technology, Taiyuan, Shanxi, 030600, China; email: hogan_yu@sfu.ca</t>
  </si>
  <si>
    <t>2-s2.0-85119360052</t>
  </si>
  <si>
    <t>Design, simulation, and validation of additively manufactured high-temperature combustion chambers for micro gas turbines</t>
  </si>
  <si>
    <t>10.1016/j.enconman.2021.114805</t>
  </si>
  <si>
    <t>https://www.scopus.com/inward/record.uri?eid=2-s2.0-85116484321&amp;doi=10.1016%2Fj.enconman.2021.114805&amp;partnerID=40&amp;md5=277fd4b06260eaaf940f788c06bc6af8</t>
  </si>
  <si>
    <t>All Open Access; Bronze Open Access; Green Accepted Open Access; Green Open Access</t>
  </si>
  <si>
    <t>2-s2.0-85116484321</t>
  </si>
  <si>
    <t>Nadeem, A.; Brown, E.A.; Radford, M.J.; Andreu, I.; Gates, B.D.; Rider, D.A.</t>
  </si>
  <si>
    <t>Nadeem, Ayesha (57326228700); Brown, Emily A. (57195632072); Radford, Melissa J. (57210841527); Andreu, Irene (55257067900); Gates, Byron D. (7102128759); Rider, David A. (57213438429)</t>
  </si>
  <si>
    <t>57326228700; 57195632072; 57210841527; 55257067900; 7102128759; 57213438429</t>
  </si>
  <si>
    <t>Macromolecules</t>
  </si>
  <si>
    <t>10.1021/acs.macromol.1c01613</t>
  </si>
  <si>
    <t>https://www.scopus.com/inward/record.uri?eid=2-s2.0-85118619127&amp;doi=10.1021%2Facs.macromol.1c01613&amp;partnerID=40&amp;md5=97522d4f89a4e6918e5317dc673b232c</t>
  </si>
  <si>
    <t>Department of Chemistry, Western Washington University, Bellingham, WA, United States; Department of Engineering and Design, Western Washington University, Bellingham, WA, United States; Simon Fraser University, Burnaby, BC, Canada</t>
  </si>
  <si>
    <t>Nadeem, Ayesha, Department of Chemistry, Western Washington University, Bellingham, WA, United States; Brown, Emily A., Department of Chemistry, Western Washington University, Bellingham, WA, United States; Radford, Melissa J., Simon Fraser University, Burnaby, BC, Canada; Andreu, Irene, Simon Fraser University, Burnaby, BC, Canada; Gates, Byron D., Simon Fraser University, Burnaby, BC, Canada; Rider, David A., Department of Chemistry, Western Washington University, Bellingham, WA, United States, Department of Engineering and Design, Western Washington University, Bellingham, WA, United States</t>
  </si>
  <si>
    <t>D.A. Rider; Chemistry Department, Western Washington University, Bellingham, 516 High Street, 98225, United States; email: david.rider@wwu.edu</t>
  </si>
  <si>
    <t>MAMOB</t>
  </si>
  <si>
    <t>2-s2.0-85118619127</t>
  </si>
  <si>
    <t>Radchenko, V.; Morgenstern, A.; Jalilian, A.R.; Ramogida, C.F.; Cutler, C.; Duchemin, C.; Hoehr, C.; Haddad, F.; Bruchertseifer, F.; Gausemel, H.; Yang, H.; Osso, J.A.; Washiyama, K.; Czerwinski, K.; Leufgen, K.; Pruszynski, M.; Valzdorf, O.; Causey, P.; Schaffer, P.; Perron, R.; Maxim, S.; Wilbur, D.; Stora, T.; Li, Y.</t>
  </si>
  <si>
    <t>Radchenko, Valery I. (57740320900); Morgenstern, Alfred (7003443298); Jalilian, Amir Reza (35310287700); Ramogida, Caterina Fortunata (37034801500); Cutler, Cathy Sue (7103162185); Duchemin, Charlotte (55959087100); Hoehr, Cornelia (55326269700); Haddad, Férid (7203034613); Bruchertseifer, Frank (16174125700); Gausemel, Haavar (57349276900); Yang, Hua (56019802000); Osso, João Alberto (6603085730); Washiyama, Kohshin (35742134900); Czerwinski, Kenneth R. (7004040079); Leufgen, Kirsten (57349421600); Pruszynski, Marek (58371125400); Valzdorf, Olga (57349421700); Causey, Patrick W. (55879681100); Schaffer, Paul (7102320285); Perron, Randy W. (57215078283); Maxim, Samsonov (57349562100); Wilbur, Daniel Scott (21735578000); Stora, Thierry (6602903896); Li, Yawen (57199181452)</t>
  </si>
  <si>
    <t>57740320900; 7003443298; 35310287700; 37034801500; 7103162185; 55959087100; 55326269700; 7203034613; 16174125700; 57349276900; 56019802000; 6603085730; 35742134900; 7004040079; 57349421600; 58371125400; 57349421700; 55879681100; 7102320285; 57215078283; 57349562100; 21735578000; 6602903896; 57199181452</t>
  </si>
  <si>
    <t>Production and supply of a-particle-emitting radionuclides for targeted a-therapy</t>
  </si>
  <si>
    <t>Journal of Nuclear Medicine</t>
  </si>
  <si>
    <t>10.2967/jnumed.120.261016</t>
  </si>
  <si>
    <t>https://www.scopus.com/inward/record.uri?eid=2-s2.0-85119600442&amp;doi=10.2967%2Fjnumed.120.261016&amp;partnerID=40&amp;md5=ddf421502a6ea3b9fa951d1526b491fc</t>
  </si>
  <si>
    <t>Division of Life Sciences, TRIUMF, Vancouver, BC, Canada; The University of British Columbia, Vancouver, BC, Canada; European Commission Joint Research Centre, Brussels, Belgium; International Atomic Energy Agency, Vienna, Vienna, Vienna, Austria; Simon Fraser University, Burnaby, BC, Canada; Collider-Accelerator Department, Brookhaven National Laboratory, Upton, NY, United States; Organisation Européenne pour la Recherche Nucléaire, Geneva, GE, Switzerland; Departement Natuurkunde en Sterrenkunde, Leuven, Vlaams-Brabant, Belgium; Arronax, Nantes, France; Bayer American Samoa, Oslo, Norway; Advanced Clinical Research Center, Fukushima Medical University, Fukushima, Fukushima, Japan; Radiochemistry Program, University of Nevada, Las Vegas, Las Vegas, NV, United States; SCIPROM Sarl, St Sulpice, Switzerland; Institute of Nuclear Chemistry and Technology, Warsaw, Warsaw, MA, Poland; NOMATEN Centre of Excellence, Narodowe Centrum Badań Jądrowych, Otwock, Otwock, MA, Poland; The State Atomic Energy Corporation ROSATOM, Moscow, Russian Federation; BWXT Medical Ltd., Ottawa, ON, Canada; Laboratoires Nucléaires Canadiens, Chalk River, ON, Canada; The State Atomic Energy Corporation ROSATOM, Moscow, Russian Federation; University of Washington School of Medicine, Seattle, WA, United States</t>
  </si>
  <si>
    <t>Radchenko, Valery I., Division of Life Sciences, TRIUMF, Vancouver, BC, Canada, The University of British Columbia, Vancouver, BC, Canada; Morgenstern, Alfred, European Commission Joint Research Centre, Brussels, Belgium; Jalilian, Amir Reza, International Atomic Energy Agency, Vienna, Vienna, Vienna, Austria; Ramogida, Caterina Fortunata, Division of Life Sciences, TRIUMF, Vancouver, BC, Canada, Simon Fraser University, Burnaby, BC, Canada; Cutler, Cathy Sue, Collider-Accelerator Department, Brookhaven National Laboratory, Upton, NY, United States; Duchemin, Charlotte, Organisation Européenne pour la Recherche Nucléaire, Geneva, GE, Switzerland, Departement Natuurkunde en Sterrenkunde, Leuven, Vlaams-Brabant, Belgium; Hoehr, Cornelia, Division of Life Sciences, TRIUMF, Vancouver, BC, Canada; Haddad, Férid, Arronax, Nantes, France; Bruchertseifer, Frank, European Commission Joint Research Centre, Brussels, Belgium; Gausemel, Haavar, Bayer American Samoa, Oslo, Norway; Yang, Hua, Division of Life Sciences, TRIUMF, Vancouver, BC, Canada; Osso, João Alberto, International Atomic Energy Agency, Vienna, Vienna, Vienna, Austria; Washiyama, Kohshin, Advanced Clinical Research Center, Fukushima Medical University, Fukushima, Fukushima, Japan; Czerwinski, Kenneth R., Radiochemistry Program, University of Nevada, Las Vegas, Las Vegas, NV, United States; Leufgen, Kirsten, SCIPROM Sarl, St Sulpice, Switzerland; Pruszynski, Marek, Institute of Nuclear Chemistry and Technology, Warsaw, Warsaw, MA, Poland, NOMATEN Centre of Excellence, Narodowe Centrum Badań Jądrowych, Otwock, Otwock, MA, Poland; Valzdorf, Olga, The State Atomic Energy Corporation ROSATOM, Moscow, Russian Federation; Causey, Patrick W., BWXT Medical Ltd., Ottawa, ON, Canada; Schaffer, Paul, Division of Life Sciences, TRIUMF, Vancouver, BC, Canada; Perron, Randy W., Laboratoires Nucléaires Canadiens, Chalk River, ON, Canada; Maxim, Samsonov, The State Atomic Energy Corporation ROSATOM, Moscow, Russian Federation; Wilbur, Daniel Scott, University of Washington School of Medicine, Seattle, WA, United States; Stora, Thierry, Organisation Européenne pour la Recherche Nucléaire, Geneva, GE, Switzerland; Li, Yawen, University of Washington School of Medicine, Seattle, WA, United States</t>
  </si>
  <si>
    <t>V. Radchenko; Life Sciences Division, TRIUMF, Vancouver, Canada; email: vradchenko@triumf.ca</t>
  </si>
  <si>
    <t>Society of Nuclear Medicine Inc.</t>
  </si>
  <si>
    <t>JNMEA</t>
  </si>
  <si>
    <t>J. Nucl. Med.</t>
  </si>
  <si>
    <t>2-s2.0-85119600442</t>
  </si>
  <si>
    <t>Iqbal, M.Z.; Khan, J.; Alam, S.; Ali, R.; Iqbal, M.J.; Afzal, A.M.; Aftab, S.</t>
  </si>
  <si>
    <t>Iqbal, Muhammad Zahir (59594047700); Khan, Junaid Ahmad (57220763239); Alam, Shahid (57213490911); Ali, Rashid (7201812575); Iqbal, Muhammad Javaid (57213578075); Afzal, Amir Muhammad (57200106539); Aftab, Sikandar (57200114034)</t>
  </si>
  <si>
    <t>59594047700; 57220763239; 57213490911; 7201812575; 57213578075; 57200106539; 57200114034</t>
  </si>
  <si>
    <t>Enhanced electrochemical performance of battery-grade cobalt phosphate via magnetron sputtered copper interfacial layer for potential supercapattery applications</t>
  </si>
  <si>
    <t>International Journal of Energy Research</t>
  </si>
  <si>
    <t>10.1002/er.6974</t>
  </si>
  <si>
    <t>https://www.scopus.com/inward/record.uri?eid=2-s2.0-85108409837&amp;doi=10.1002%2Fer.6974&amp;partnerID=40&amp;md5=97638ee95a36750c6bda00c625cd502b</t>
  </si>
  <si>
    <t>Faculty of Engineering Sciences, Ghulam Ishaq Khan Institute of Engineering Sciences and Technology, Topi, Khyber Pakhtunkhwa, Pakistan; Faculty of Materials and Chemical Engineering, Ghulam Ishaq Khan Institute of Engineering Sciences and Technology, Topi, Khyber Pakhtunkhwa, Pakistan; Centre of Excellence in Solid State Physics, University of the Punjab, Lahore, Punjab, Pakistan; Department of Engineering, Simon Fraser University, Burnaby, BC, Canada</t>
  </si>
  <si>
    <t>Iqbal, Muhammad Zahir, Faculty of Engineering Sciences, Ghulam Ishaq Khan Institute of Engineering Sciences and Technology, Topi, Khyber Pakhtunkhwa, Pakistan; Khan, Junaid Ahmad, Faculty of Engineering Sciences, Ghulam Ishaq Khan Institute of Engineering Sciences and Technology, Topi, Khyber Pakhtunkhwa, Pakistan; Alam, Shahid, Faculty of Engineering Sciences, Ghulam Ishaq Khan Institute of Engineering Sciences and Technology, Topi, Khyber Pakhtunkhwa, Pakistan; Ali, Rashid, Faculty of Materials and Chemical Engineering, Ghulam Ishaq Khan Institute of Engineering Sciences and Technology, Topi, Khyber Pakhtunkhwa, Pakistan; Iqbal, Muhammad Javaid, Centre of Excellence in Solid State Physics, University of the Punjab, Lahore, Punjab, Pakistan; Afzal, Amir Muhammad, Faculty of Engineering Sciences, Ghulam Ishaq Khan Institute of Engineering Sciences and Technology, Topi, Khyber Pakhtunkhwa, Pakistan; Aftab, Sikandar, Department of Engineering, Simon Fraser University, Burnaby, BC, Canada</t>
  </si>
  <si>
    <t>M.Z. Iqbal; Nanotechnology Research Laboratory, Faculty of Engineering Sciences, GIK Institute of Engineering Sciences and Technology, Topi, Pakistan; email: zahir.upc@gmail.com</t>
  </si>
  <si>
    <t>John Wiley and Sons Ltd</t>
  </si>
  <si>
    <t>0363907X</t>
  </si>
  <si>
    <t>IJERD</t>
  </si>
  <si>
    <t>Int. J. Energy Res.</t>
  </si>
  <si>
    <t>2-s2.0-85108409837</t>
  </si>
  <si>
    <t>Rentzsch, M.; Wawrzinek, R.; Zelle-Rieser, C.; Strandt, H.; Bellmann, L.; Fuchsberger, F.F.; Schulze, J.; Busmann, J.; Rademacher, J.; Sigl, S.; del Frari, B.; Stoitzner, P.; Rademacher, C.</t>
  </si>
  <si>
    <t>Rentzsch, Mareike (57208926799); Wawrzinek, Robert (52264954100); Zelle-Rieser, Claudia (6603488338); Strandt, Helen (56708953000); Bellmann, Lydia (57191416676); Fuchsberger, Felix F. (57204466235); Schulze, Jessica (13613627600); Busmann, Jil A. (57203033290); Rademacher, Juliane (57216292059); Sigl, Stephan (57190405118); del Frari, Barbara (57204584880); Stoitzner, Patrizia (55888656000); Rademacher, Christoph (23989670000)</t>
  </si>
  <si>
    <t>57208926799; 52264954100; 6603488338; 56708953000; 57191416676; 57204466235; 13613627600; 57203033290; 57216292059; 57190405118; 57204584880; 55888656000; 23989670000</t>
  </si>
  <si>
    <t>Specific Protein Antigen Delivery to Human Langerhans Cells in Intact Skin</t>
  </si>
  <si>
    <t>10.3389/fimmu.2021.732298</t>
  </si>
  <si>
    <t>https://www.scopus.com/inward/record.uri?eid=2-s2.0-85118670366&amp;doi=10.3389%2Ffimmu.2021.732298&amp;partnerID=40&amp;md5=0ec07547cd9fdc9eb9539095b0218457</t>
  </si>
  <si>
    <t>Department of Biomolecular Systems, Max-Planck-Institut für Kolloid- und Grenzflächenforschung, Potsdam, Brandenburg, Germany; Department of Pharmaceutical Sciences, Universität Wien, Vienna, Vienna, Austria; Department of Dermatology, Medizinische Universitat Innsbruck, Innsbruck, Tyrol, Austria; Department of Plastic, Medizinische Universitat Innsbruck, Innsbruck, Tyrol, Austria; Department of Pharmaceutical Sciences, Universität Wien, Vienna, Vienna, Austria; Department of Microbiology and Immunology, Universität Wien, Vienna, Vienna, Austria; Department of Pharmaceutical Sciences, Universität Wien, Vienna, Vienna, Austria; Department of Microbiology and Immunology, Universität Wien, Vienna, Vienna, Austria; Department of Pharmaceutical Sciences, Universität Wien, Vienna, Vienna, Austria; Department of Microbiology and Immunology, Universität Wien, Vienna, Vienna, Austria; Department of Pharmaceutical Sciences, Universität Wien, Vienna, Vienna, Austria; Department of Microbiology and Immunology, Universität Wien, Vienna, Vienna, Austria; Chemical Biology, Simon Fraser University, Burnaby, BC, Canada</t>
  </si>
  <si>
    <t>Rentzsch, Mareike, Department of Biomolecular Systems, Max-Planck-Institut für Kolloid- und Grenzflächenforschung, Potsdam, Brandenburg, Germany, Department of Pharmaceutical Sciences, Universität Wien, Vienna, Vienna, Austria, Department of Pharmaceutical Sciences, Universität Wien, Vienna, Vienna, Austria, Department of Microbiology and Immunology, Universität Wien, Vienna, Vienna, Austria, Department of Pharmaceutical Sciences, Universität Wien, Vienna, Vienna, Austria, Department of Microbiology and Immunology, Universität Wien, Vienna, Vienna, Austria, Department of Pharmaceutical Sciences, Universität Wien, Vienna, Vienna, Austria, Department of Microbiology and Immunology, Universität Wien, Vienna, Vienna, Austria, Department of Pharmaceutical Sciences, Universität Wien, Vienna, Vienna, Austria, Department of Microbiology and Immunology, Universität Wien, Vienna, Vienna, Austria, Chemical Biology, Simon Fraser University, Burnaby, BC, Canada; Wawrzinek, Robert, Department of Biomolecular Systems, Max-Planck-Institut für Kolloid- und Grenzflächenforschung, Potsdam, Brandenburg, Germany, Department of Pharmaceutical Sciences, Universität Wien, Vienna, Vienna, Austria, Department of Pharmaceutical Sciences, Universität Wien, Vienna, Vienna, Austria, Department of Microbiology and Immunology, Universität Wien, Vienna, Vienna, Austria, Department of Pharmaceutical Sciences, Universität Wien, Vienna, Vienna, Austria, Department of Microbiology and Immunology, Universität Wien, Vienna, Vienna, Austria, Department of Pharmaceutical Sciences, Universität Wien, Vienna, Vienna, Austria, Department of Microbiology and Immunology, Universität Wien, Vienna, Vienna, Austria, Department of Pharmaceutical Sciences, Universität Wien, Vienna, Vienna, Austria, Department of Microbiology and Immunology, Universität Wien, Vienna, Vienna, Austria, Chemical Biology, Simon Fraser University, Burnaby, BC, Canada; Zelle-Rieser, Claudia, Department of Dermatology, Medizinische Universitat Innsbruck, Innsbruck, Tyrol, Austria; Strandt, Helen, Department of Dermatology, Medizinische Universitat Innsbruck, Innsbruck, Tyrol, Austria; Bellmann, Lydia, Department of Dermatology, Medizinische Universitat Innsbruck, Innsbruck, Tyrol, Austria; Fuchsberger, Felix F., Department of Biomolecular Systems, Max-Planck-Institut für Kolloid- und Grenzflächenforschung, Potsdam, Brandenburg, Germany, Department of Pharmaceutical Sciences, Universität Wien, Vienna, Vienna, Austria, Department of Microbiology and Immunology, Universität Wien, Vienna, Vienna, Austria, Department of Pharmaceutical Sciences, Universität Wien, Vienna, Vienna, Austria, Department of Microbiology and Immunology, Universität Wien, Vienna, Vienna, Austria, Department of Pharmaceutical Sciences, Universität Wien, Vienna, Vienna, Austria, Department of Microbiology and Immunology, Universität Wien, Vienna, Vienna, Austria, Department of Pharmaceutical Sciences, Universität Wien, Vienna, Vienna, Austria, Department of Microbiology and Immunology, Universität Wien, Vienna, Vienna, Austria, Chemical Biology, Simon Fraser University, Burnaby, BC, Canada; Schulze, Jessica, Department of Biomolecular Systems, Max-Planck-Institut für Kolloid- und Grenzflächenforschung, Potsdam, Brandenburg, Germany; Busmann, Jil A., Department of Biomolecular Systems, Max-Planck-Institut für Kolloid- und Grenzflächenforschung, Potsdam, Brandenburg, Germany, Department of Pharmaceutical Sciences, Universität Wien, Vienna, Vienna, Austria, Department of Microbiology and Immunology, Universität Wien, Vienna, Vienna, Austria, Department of Pharmaceutical Sciences, Universität Wien, Vienna, Vienna, Austria, Department of Microbiology and Immunology, Universität Wien, Vienna, Vienna, Austria, Department of Pharmaceutical Sciences, Universität Wien, Vienna, Vienna, Austria, Department of Microbiology and Immunology, Universität Wien, Vienna, Vienna, Austria, Department of Pharmaceutical Sciences, Universität Wien, Vienna, Vienna, Austria, Department of Microbiology and Immunology, Universität Wien, Vienna, Vienna, Austria, Chemical Biology, Simon Fraser University, Burnaby, BC, Canada; Rademacher, Juliane, Department of Biomolecular Systems, Max-Planck-Institut für Kolloid- und Grenzflächenforschung, Potsdam, Brandenburg, Germany; Sigl, Stephan, Department of Plastic, Medizinische Universitat Innsbruck, Innsbruck, Tyrol, Austria; del Frari, Barbara, Department of Plastic, Medizinische Universitat Innsbruck, Innsbruck, Tyrol, Austria; Stoitzner, Patrizia, Department of Dermatology, Medizinische Universitat Innsbruck, Innsbruck, Tyrol, Austria; Rademacher, Christoph, Department of Biomolecular Systems, Max-Planck-Institut für Kolloid- und Grenzflächenforschung, Potsdam, Brandenburg, Germany, Department of Pharmaceutical Sciences, Universität Wien, Vienna, Vienna, Austria, Department of Microbiology and Immunology, Universität Wien, Vienna, Vienna, Austria, Department of Pharmaceutical Sciences, Universität Wien, Vienna, Vienna, Austria, Department of Microbiology and Immunology, Universität Wien, Vienna, Vienna, Austria, Department of Pharmaceutical Sciences, Universität Wien, Vienna, Vienna, Austria, Department of Microbiology and Immunology, Universität Wien, Vienna, Vienna, Austria, Department of Pharmaceutical Sciences, Universität Wien, Vienna, Vienna, Austria, Department of Microbiology and Immunology, Universität Wien, Vienna, Vienna, Austria, Chemical Biology, Simon Fraser University, Burnaby, BC, Canada</t>
  </si>
  <si>
    <t>2-s2.0-85118670366</t>
  </si>
  <si>
    <t>Juliana, C.; Gani, L.; Jermias, J.</t>
  </si>
  <si>
    <t>Juliana, Christina (57226312797); Gani, Lindawati (8387723100); Jermias, Johnny V. (6506871472)</t>
  </si>
  <si>
    <t>57226312797; 8387723100; 6506871472</t>
  </si>
  <si>
    <t>Performance implications of misalignment among business strategy, leadership style, organizational culture and management accounting systems</t>
  </si>
  <si>
    <t>International Journal of Ethics and Systems</t>
  </si>
  <si>
    <t>10.1108/IJOES-02-2021-0033</t>
  </si>
  <si>
    <t>https://www.scopus.com/inward/record.uri?eid=2-s2.0-85111077697&amp;doi=10.1108%2FIJOES-02-2021-0033&amp;partnerID=40&amp;md5=1e7ba253eb81caf5f655fe9779442b85</t>
  </si>
  <si>
    <t>Universitas Katolik Indonesia Atma Jaya, Jakarta, Indonesia; Faculty of Economics and Business, Depok, Indonesia; Beedie School of Business, Burnaby, BC, Canada; Universitas Persada Indonesia YAI Jakarta, Indonesia, Central Jakarta, Indonesia</t>
  </si>
  <si>
    <t>Juliana, Christina, Universitas Katolik Indonesia Atma Jaya, Jakarta, Indonesia; Gani, Lindawati, Faculty of Economics and Business, Depok, Indonesia; Jermias, Johnny V., Beedie School of Business, Burnaby, BC, Canada, Universitas Persada Indonesia YAI Jakarta, Indonesia, Central Jakarta, Indonesia</t>
  </si>
  <si>
    <t>J. Jermias; Beedie School of Business, Simon Fraser University, Vancouver, Canada; email: jjermias@sfu.ca</t>
  </si>
  <si>
    <t>Emerald Group Holdings Ltd.</t>
  </si>
  <si>
    <t>Int. J. Ethics. Syst.</t>
  </si>
  <si>
    <t>2-s2.0-85111077697</t>
  </si>
  <si>
    <t>Sun, C.; Zhang, J.; Zhang, Y.; Zhao, F.; Xie, J.; Liu, Z.; Zhuang, J.; Zhang, N.; Ren, W.; Ye, Z.-G.</t>
  </si>
  <si>
    <t>Sun, Chao (57202602280); Zhang, Jie (56016217200); Zhang, Yijun (56338589500); Zhao, Fengwan (57218658882); Xie, Jun (57037472500); Liu, Zenghui (56599407500); Zhuang, Jian (57202600151); Zhang, Nan (26023886900); Ren, Wei (57201421397); Ye, Zuo Guang (24443034100)</t>
  </si>
  <si>
    <t>57202602280; 56016217200; 56338589500; 57218658882; 57037472500; 56599407500; 57202600151; 26023886900; 57201421397; 24443034100</t>
  </si>
  <si>
    <t>Design and fabrication of flexible strain sensor based on ZnO-decorated PVDF via atomic layer deposition</t>
  </si>
  <si>
    <t>Applied Surface Science</t>
  </si>
  <si>
    <t>10.1016/j.apsusc.2021.150126</t>
  </si>
  <si>
    <t>https://www.scopus.com/inward/record.uri?eid=2-s2.0-85108718948&amp;doi=10.1016%2Fj.apsusc.2021.150126&amp;partnerID=40&amp;md5=2a1a311d7987373824c0be1064e9741b</t>
  </si>
  <si>
    <t>Electronic Materials Research Laboratory, Xi'an Jiaotong University, Xi'an, Shaanxi, China; Department of Chemistry and 4D LABS, Simon Fraser University, Burnaby, BC, Canada</t>
  </si>
  <si>
    <t>Sun, Chao, Electronic Materials Research Laboratory, Xi'an Jiaotong University, Xi'an, Shaanxi, China; Zhang, Jie, Electronic Materials Research Laboratory, Xi'an Jiaotong University, Xi'an, Shaanxi, China; Zhang, Yijun, Electronic Materials Research Laboratory, Xi'an Jiaotong University, Xi'an, Shaanxi, China; Zhao, Fengwan, Electronic Materials Research Laboratory, Xi'an Jiaotong University, Xi'an, Shaanxi, China; Xie, Jun, Electronic Materials Research Laboratory, Xi'an Jiaotong University, Xi'an, Shaanxi, China; Liu, Zenghui, Electronic Materials Research Laboratory, Xi'an Jiaotong University, Xi'an, Shaanxi, China; Zhuang, Jian, Electronic Materials Research Laboratory, Xi'an Jiaotong University, Xi'an, Shaanxi, China; Zhang, Nan, Electronic Materials Research Laboratory, Xi'an Jiaotong University, Xi'an, Shaanxi, China; Ren, Wei, Electronic Materials Research Laboratory, Xi'an Jiaotong University, Xi'an, Shaanxi, China; Ye, Zuo Guang, Department of Chemistry and 4D LABS, Simon Fraser University, Burnaby, BC, Canada</t>
  </si>
  <si>
    <t>J. Zhang; Electronic Materials Research Laboratory, Key Laboratory of the Ministry of Education &amp; International Center for Dielectric Research, Xi'an Jiaotong University, Xi'an, 710049, China; email: jzhang12@mail.xjtu.edu.cn</t>
  </si>
  <si>
    <t>ASUSE</t>
  </si>
  <si>
    <t>Appl Surf Sci</t>
  </si>
  <si>
    <t>2-s2.0-85108718948</t>
  </si>
  <si>
    <t>Wang, X.; Crosta, G.B.; Clague, J.J.; Stead, D.; Sun, J.; Qi, S.; Liu, H.</t>
  </si>
  <si>
    <t>Wang, Xueliang (39863627200); Crosta, Giovanni Battista (7005690420); Clague, John Joseph (7102359243); Stead, Douglas (7006004275); Sun, Juanjuan (57214823276); Qi, Shengwen (55411952900); Liu, Haiyang (57214908561)</t>
  </si>
  <si>
    <t>39863627200; 7005690420; 7102359243; 7006004275; 57214823276; 55411952900; 57214908561</t>
  </si>
  <si>
    <t>Fault controls on spatial variation of fracture density and rock mass strength within the Yarlung Tsangpo Fault damage zone (southeastern Tibet)</t>
  </si>
  <si>
    <t>Engineering Geology</t>
  </si>
  <si>
    <t>10.1016/j.enggeo.2021.106238</t>
  </si>
  <si>
    <t>https://www.scopus.com/inward/record.uri?eid=2-s2.0-85108071708&amp;doi=10.1016%2Fj.enggeo.2021.106238&amp;partnerID=40&amp;md5=347bc48590528cac559cb88acc9abfdf</t>
  </si>
  <si>
    <t>Chinese Academy of Sciences, Beijing, Beijing, China; Institutions of Earth Science, Chinese Academy of Sciences, Beijing, Beijing, China; University of Chinese Academy of Sciences, Beijing, China; Department of Earth and Environmental Sciences, Università degli Studi di Milano-Bicocca, Milan, MI, Italy; Department of Earth Sciences, Simon Fraser University, Burnaby, BC, Canada</t>
  </si>
  <si>
    <t>Wang, Xueliang, Chinese Academy of Sciences, Beijing, Beijing, China, Institutions of Earth Science, Chinese Academy of Sciences, Beijing, Beijing, China, University of Chinese Academy of Sciences, Beijing, China; Crosta, Giovanni Battista, Department of Earth and Environmental Sciences, Università degli Studi di Milano-Bicocca, Milan, MI, Italy; Clague, John Joseph, Department of Earth Sciences, Simon Fraser University, Burnaby, BC, Canada; Stead, Douglas, Department of Earth Sciences, Simon Fraser University, Burnaby, BC, Canada; Sun, Juanjuan, Chinese Academy of Sciences, Beijing, Beijing, China, Institutions of Earth Science, Chinese Academy of Sciences, Beijing, Beijing, China, University of Chinese Academy of Sciences, Beijing, China; Qi, Shengwen, Chinese Academy of Sciences, Beijing, Beijing, China, Institutions of Earth Science, Chinese Academy of Sciences, Beijing, Beijing, China, University of Chinese Academy of Sciences, Beijing, China; Liu, Haiyang, Chinese Academy of Sciences, Beijing, Beijing, China, Institutions of Earth Science, Chinese Academy of Sciences, Beijing, Beijing, China, University of Chinese Academy of Sciences, Beijing, China</t>
  </si>
  <si>
    <t>X. Wang; Key Laboratory of Shale Gas and Geoengineering, Institute of Geology and Geophysics, Chinese Academy of Sciences, Beijing, 100029, China; email: wangxueliang@mail.iggcas.ac.cn</t>
  </si>
  <si>
    <t>0632032235; 9780632032235</t>
  </si>
  <si>
    <t>EGGOA</t>
  </si>
  <si>
    <t>Eng. Geol.</t>
  </si>
  <si>
    <t>2-s2.0-85108071708</t>
  </si>
  <si>
    <t>Efaz1, E.T.; Rhaman, M.M.; Safayat-Al-Imam, S.; Bashar, K.L.; Kabir, F.; Mourtaza, M.D.E.; Sakib, S.N.; Mozahid, F.A.</t>
  </si>
  <si>
    <t>Efaz1, Erteza Tawsif (57298797900); Rhaman, Md Meganur (55975350800); Safayat-Al-Imam, Safayat Al (56412939400); Bashar, Khandaker Lubaba (57189522753); Kabir, Fahmid (57204906651); Mourtaza, Md Ehasan (57297792200); Sakib, Syed Nazmus (56412971600); Mozahid, Faisal (57203888125)</t>
  </si>
  <si>
    <t>57298797900; 55975350800; 56412939400; 57189522753; 57204906651; 57297792200; 56412971600; 57203888125</t>
  </si>
  <si>
    <t>Engineering Research Express</t>
  </si>
  <si>
    <t>10.1088/2631-8695/ac2353</t>
  </si>
  <si>
    <t>https://www.scopus.com/inward/record.uri?eid=2-s2.0-85117206710&amp;doi=10.1088%2F2631-8695%2Fac2353&amp;partnerID=40&amp;md5=396afdd55a88a66e82bcadce31051e6f</t>
  </si>
  <si>
    <t>Department of Electrical and Electronic Engineering, Ahsanullah University of Science and Technology, Dhaka, Bangladesh; Faculty of Applied Sciences, Simon Fraser University, Burnaby, BC, Canada; Department of Business Administration, East West University, Dhaka, Bangladesh; Department of Electronics and Telecommunication Engineering, Daffodil International University, Dhaka, Bangladesh; Department of Glass and Ceramic Engineering, Bangladesh University of Engineering and Technology, Dhaka, Dhaka, Bangladesh</t>
  </si>
  <si>
    <t>Efaz1, Erteza Tawsif, Department of Electrical and Electronic Engineering, Ahsanullah University of Science and Technology, Dhaka, Bangladesh; Rhaman, Md Meganur, Department of Electrical and Electronic Engineering, Ahsanullah University of Science and Technology, Dhaka, Bangladesh; Safayat-Al-Imam, Safayat Al, Department of Electrical and Electronic Engineering, Ahsanullah University of Science and Technology, Dhaka, Bangladesh; Bashar, Khandaker Lubaba, Department of Electrical and Electronic Engineering, Ahsanullah University of Science and Technology, Dhaka, Bangladesh; Kabir, Fahmid, Faculty of Applied Sciences, Simon Fraser University, Burnaby, BC, Canada; Mourtaza, Md Ehasan, Department of Business Administration, East West University, Dhaka, Bangladesh; Sakib, Syed Nazmus, Department of Electronics and Telecommunication Engineering, Daffodil International University, Dhaka, Bangladesh; Mozahid, Faisal, Department of Glass and Ceramic Engineering, Bangladesh University of Engineering and Technology, Dhaka, Dhaka, Bangladesh</t>
  </si>
  <si>
    <t>E.T. Efaz1; Department of Electrical &amp; Electronic Engineering, Ahsanullah University of Science &amp; Technology, Dhaka, 1208, Bangladesh; email: ertezatawsif@gmail.com</t>
  </si>
  <si>
    <t>Eng. Res. Exp.</t>
  </si>
  <si>
    <t>2-s2.0-85117206710</t>
  </si>
  <si>
    <t>Kim, T.-H.; Min, X.; Baker, D.; Lee, W.; Kim, W.S.</t>
  </si>
  <si>
    <t>Kim, Tae Ho (56168759700); Min, Xin (57200558036); Baker, Daina V. (58754207900); Lee, Wonchul (57264775600); Kim, Woo Soo (17136903100)</t>
  </si>
  <si>
    <t>56168759700; 57200558036; 58754207900; 57264775600; 17136903100</t>
  </si>
  <si>
    <t>3D architectured air sensing tubes for a portable mechanical ventilator</t>
  </si>
  <si>
    <t>10.1088/2058-8585/ac1fd6</t>
  </si>
  <si>
    <t>https://www.scopus.com/inward/record.uri?eid=2-s2.0-85115219065&amp;doi=10.1088%2F2058-8585%2Fac1fd6&amp;partnerID=40&amp;md5=3246821568f599910a042d55ca9359a3</t>
  </si>
  <si>
    <t>Kim, Tae Ho, School of Mechatronic Systems Engineering, Simon Fraser University, Burnaby, BC, Canada; Min, Xin, School of Mechatronic Systems Engineering, Simon Fraser University, Burnaby, BC, Canada; Baker, Daina V., School of Mechatronic Systems Engineering, Simon Fraser University, Burnaby, BC, Canada; Lee, Wonchul, School of Mechatronic Systems Engineering, Simon Fraser University, Burnaby, BC, Canada; Kim, Woo Soo, School of Mechatronic Systems Engineering, Simon Fraser University, Burnaby, BC, Canada</t>
  </si>
  <si>
    <t>2-s2.0-85115219065</t>
  </si>
  <si>
    <t>McLaughlin, J.B.; Gallina, G.; Retiére, F.; Croix, A.D.S.; Giampa, P.; Mahtab, M.; Margetak, P.; Martin, L.; Massacret, N.; Monroe, J.; Patel, M.; Raymond, K.; Roiseux, J.; Xie, L.; Zhang, G.</t>
  </si>
  <si>
    <t>McLaughlin, Joseph Biagio (57203455989); Gallina, G. (57204237090); Retiére, Fabriece (35227865600); Croix, Austin De St (57211523032); Giampa, Pietro (56156914900); Mahtab, Mahsa (57226336044); Margetak, Peter (57209467986); Martin, Lars (57198961600); Massacret, Nicolas (57213265763); Monroe, Jocelyn R. (7102671476); Patel, Mayur (57226611490); Raymond, Kurtis (57205191523); Roiseux, Jolie (57226599500); Xie, Liang (57226591263); Zhang, Guoqing (56996299000)</t>
  </si>
  <si>
    <t>57203455989; 57204237090; 35227865600; 57211523032; 56156914900; 57226336044; 57209467986; 57198961600; 57213265763; 7102671476; 57226611490; 57205191523; 57226599500; 57226591263; 56996299000</t>
  </si>
  <si>
    <t>Characterisation of sipm photon emission in the dark</t>
  </si>
  <si>
    <t>10.3390/s21175947</t>
  </si>
  <si>
    <t>https://www.scopus.com/inward/record.uri?eid=2-s2.0-85114209736&amp;doi=10.3390%2Fs21175947&amp;partnerID=40&amp;md5=7ae6a5b66f10d0a13848dfb18c5bfe14</t>
  </si>
  <si>
    <t>TRIUMF, Vancouver, BC, Canada; Department of Physics, Royal Holloway, University of London, Egham, Surrey, United Kingdom; Department of Physics, Simon Fraser University, Burnaby, BC, Canada; Department of Physics, Queen’s University, Kingston, ON, Canada; SNOLAB, Lively, ON, Canada; School of Sciences, Xi'an Polytechnic University, Xi'an, Shaanxi, China</t>
  </si>
  <si>
    <t>McLaughlin, Joseph Biagio, TRIUMF, Vancouver, BC, Canada, Department of Physics, Royal Holloway, University of London, Egham, Surrey, United Kingdom; Gallina, G., TRIUMF, Vancouver, BC, Canada; Retiére, Fabriece, TRIUMF, Vancouver, BC, Canada, Department of Physics, Simon Fraser University, Burnaby, BC, Canada; Croix, Austin De St, TRIUMF, Vancouver, BC, Canada, Department of Physics, Queen’s University, Kingston, ON, Canada; Giampa, Pietro, TRIUMF, Vancouver, BC, Canada, SNOLAB, Lively, ON, Canada; Mahtab, Mahsa, TRIUMF, Vancouver, BC, Canada; Margetak, Peter, TRIUMF, Vancouver, BC, Canada; Martin, Lars, TRIUMF, Vancouver, BC, Canada; Massacret, Nicolas, TRIUMF, Vancouver, BC, Canada; Monroe, Jocelyn R., Department of Physics, Royal Holloway, University of London, Egham, Surrey, United Kingdom; Patel, Mayur, TRIUMF, Vancouver, BC, Canada, Department of Physics, Simon Fraser University, Burnaby, BC, Canada; Raymond, Kurtis, TRIUMF, Vancouver, BC, Canada; Roiseux, Jolie, TRIUMF, Vancouver, BC, Canada; Xie, Liang, TRIUMF, Vancouver, BC, Canada; Zhang, Guoqing, School of Sciences, Xi'an Polytechnic University, Xi'an, Shaanxi, China</t>
  </si>
  <si>
    <t>J.B. McLaughlin; TRIUMF, Vancouver, 4004 Wesbrook Mall, V6T 2A3, Canada; email: joseph.mclaughlin.2018@live.rhul.ac.uk</t>
  </si>
  <si>
    <t>All Open Access; Gold Open Access; Green Accepted Open Access; Green Final Open Access; Green Open Access</t>
  </si>
  <si>
    <t>2-s2.0-85114209736</t>
  </si>
  <si>
    <t>Rabinow, S.; Giovas, C.</t>
  </si>
  <si>
    <t>Rabinow, Sophie A. (57222965053); Giovas, Christina M. (26429468000)</t>
  </si>
  <si>
    <t>57222965053; 26429468000</t>
  </si>
  <si>
    <t>A systematic review of agouti (Dasyproctidae: Dasyprocta) records from the pre-1492 Lesser Antilles: New perspectives on an introduced commensal</t>
  </si>
  <si>
    <t>International Journal of Osteoarchaeology</t>
  </si>
  <si>
    <t>10.1002/oa.2987</t>
  </si>
  <si>
    <t>https://www.scopus.com/inward/record.uri?eid=2-s2.0-85104236486&amp;doi=10.1002%2Foa.2987&amp;partnerID=40&amp;md5=5c6fe5c13ff14020ef6cb62c8fa1924a</t>
  </si>
  <si>
    <t>Department of Archaeology, Simon Fraser University, Burnaby, BC, Canada</t>
  </si>
  <si>
    <t>Rabinow, Sophie A., Department of Archaeology, Simon Fraser University, Burnaby, BC, Canada; Giovas, Christina M., Department of Archaeology, Simon Fraser University, Burnaby, BC, Canada</t>
  </si>
  <si>
    <t>S. Rabinow; Department of Archaeology, Simon Fraser University, Burnaby, Canada; email: srabinow@sfu.ca</t>
  </si>
  <si>
    <t>1047482X</t>
  </si>
  <si>
    <t>IJOHE</t>
  </si>
  <si>
    <t>Int. J. Osteoarchaeol.</t>
  </si>
  <si>
    <t>2-s2.0-85104236486</t>
  </si>
  <si>
    <t>Hayashi, K.; Wood, E.; Dong, H.; Buxton, J.A.; Fairbairn, N.; DeBeck, K.; Milloy, M.-J.; Kerr, T.</t>
  </si>
  <si>
    <t>Hayashi, Kanna (33267650300); Wood, Evan (57191525672); Dong, Huiru (56438464300); Buxton, Jane A. (7006242730); Fairbairn, Nadia Souhalya (12646826900); DeBeck, Kora (16063277500); Milloy, Michael John S. (24448566900); Kerr, Thomas H. (26643236200)</t>
  </si>
  <si>
    <t>33267650300; 57191525672; 56438464300; 7006242730; 12646826900; 16063277500; 24448566900; 26643236200</t>
  </si>
  <si>
    <t>Awareness of fentanyl exposure and the associated overdose risks among people who inject drugs in a Canadian setting</t>
  </si>
  <si>
    <t>10.1111/dar.13261</t>
  </si>
  <si>
    <t>https://www.scopus.com/inward/record.uri?eid=2-s2.0-85100992399&amp;doi=10.1111%2Fdar.13261&amp;partnerID=40&amp;md5=4481e509c7da8935a8b268c7982883ad</t>
  </si>
  <si>
    <t>British Columbia Centre on Substance Use, Vancouver, BC, Canada; Simon Fraser University, Burnaby, BC, Canada; Department of Medicine, The University of British Columbia, Vancouver, BC, Canada; School of Population and Public Health, The University of British Columbia, Vancouver, BC, Canada; BC Centre for Disease Control, Vancouver, BC, Canada; School of Public Policy, Simon Fraser University, Burnaby, BC, Canada</t>
  </si>
  <si>
    <t>Hayashi, Kanna, British Columbia Centre on Substance Use, Vancouver, BC, Canada, Simon Fraser University, Burnaby, BC, Canada; Wood, Evan, British Columbia Centre on Substance Use, Vancouver, BC, Canada, Department of Medicine, The University of British Columbia, Vancouver, BC, Canada; Dong, Huiru, British Columbia Centre on Substance Use, Vancouver, BC, Canada, School of Population and Public Health, The University of British Columbia, Vancouver, BC, Canada; Buxton, Jane A., School of Population and Public Health, The University of British Columbia, Vancouver, BC, Canada, BC Centre for Disease Control, Vancouver, BC, Canada; Fairbairn, Nadia Souhalya, British Columbia Centre on Substance Use, Vancouver, BC, Canada, Department of Medicine, The University of British Columbia, Vancouver, BC, Canada; DeBeck, Kora, British Columbia Centre on Substance Use, Vancouver, BC, Canada, School of Public Policy, Simon Fraser University, Burnaby, BC, Canada; Milloy, Michael John S., British Columbia Centre on Substance Use, Vancouver, BC, Canada, Department of Medicine, The University of British Columbia, Vancouver, BC, Canada; Kerr, Thomas H., British Columbia Centre on Substance Use, Vancouver, BC, Canada, Department of Medicine, The University of British Columbia, Vancouver, BC, Canada</t>
  </si>
  <si>
    <t>K. Hayashi; British Columbia Centre on Substance Use, Vancouver, Canada; email: bccsu-kh@bccsu.ubc.ca</t>
  </si>
  <si>
    <t>2-s2.0-85100992399</t>
  </si>
  <si>
    <t>George, K.J.H.; Borjian, S.; Cross, M.; Hicks, J.W.; Schaffer, P.; Kovacs, M.S.</t>
  </si>
  <si>
    <t>George, Keller J.H. (57193836091); Borjian, Sogol (56319163400); Cross, Michael C. (57330664700); Hicks, Justin W. (25947455500); Schaffer, Paul (7102320285); Kovacs, Michael S. (35310922000)</t>
  </si>
  <si>
    <t>57193836091; 56319163400; 57330664700; 25947455500; 7102320285; 35310922000</t>
  </si>
  <si>
    <t>Expanding the PET radioisotope universe utilizing solid targets on small medical cyclotrons</t>
  </si>
  <si>
    <t>10.1039/d1ra04480j</t>
  </si>
  <si>
    <t>https://www.scopus.com/inward/record.uri?eid=2-s2.0-85118927596&amp;doi=10.1039%2Fd1ra04480j&amp;partnerID=40&amp;md5=c58961b8c9802b70824c80284b81fd50</t>
  </si>
  <si>
    <t>Lawson Health Research Institute, London, ON, Canada; Medical Biophysics, Western University, London, ON, Canada; Western University, London, ON, Canada; Department of Life Science, TRIUMF, Vancouver, BC, Canada; ARTMS Inc., Burnaby, BC, Canada; Department of Radiology, The University of British Columbia, Vancouver, BC, Canada; Simon Fraser University, Burnaby, BC, Canada</t>
  </si>
  <si>
    <t>George, Keller J.H., Lawson Health Research Institute, London, ON, Canada, Medical Biophysics, Western University, London, ON, Canada; Borjian, Sogol, ARTMS Inc., Burnaby, BC, Canada; Cross, Michael C., ARTMS Inc., Burnaby, BC, Canada; Hicks, Justin W., Lawson Health Research Institute, London, ON, Canada, Medical Biophysics, Western University, London, ON, Canada; Schaffer, Paul, Department of Life Science, TRIUMF, Vancouver, BC, Canada, ARTMS Inc., Burnaby, BC, Canada, Department of Radiology, The University of British Columbia, Vancouver, BC, Canada, Simon Fraser University, Burnaby, BC, Canada; Kovacs, Michael S., Lawson Health Research Institute, London, ON, Canada, Medical Biophysics, Western University, London, ON, Canada, Western University, London, ON, Canada</t>
  </si>
  <si>
    <t>M.S. Kovacs; Lawson Health Research Institute, London, 268 Grosvenor Street, N6A 4V2, Canada; email: mkovacs@lawsonimaging.ca</t>
  </si>
  <si>
    <t>2-s2.0-85118927596</t>
  </si>
  <si>
    <t>Lashitew, A.A.; Ross, M.L.; Werker, E.</t>
  </si>
  <si>
    <t>Lashitew, Addisu A. (54179465800); Ross, Michael L. (7403662259); Werker, Eric D. (22936119100)</t>
  </si>
  <si>
    <t>54179465800; 7403662259; 22936119100</t>
  </si>
  <si>
    <t>What Drives Successful Economic Diversification in Resource-Rich Countries?</t>
  </si>
  <si>
    <t>World Bank Research Observer</t>
  </si>
  <si>
    <t>10.1093/wbro/lkaa001</t>
  </si>
  <si>
    <t>https://www.scopus.com/inward/record.uri?eid=2-s2.0-85121205816&amp;doi=10.1093%2Fwbro%2Flkaa001&amp;partnerID=40&amp;md5=6905f769ad75447e2cababadd52ea2e0</t>
  </si>
  <si>
    <t>The Brookings Institution, Washington, D.C., United States; Department of Political Science, University of California, Los Angeles, Los Angeles, CA, United States; Beedie School of Business, Burnaby, BC, Canada</t>
  </si>
  <si>
    <t>Lashitew, Addisu A., The Brookings Institution, Washington, D.C., United States; Ross, Michael L., Department of Political Science, University of California, Los Angeles, Los Angeles, CA, United States; Werker, Eric D., Beedie School of Business, Burnaby, BC, Canada</t>
  </si>
  <si>
    <t>Oxford University Press</t>
  </si>
  <si>
    <t>World Bank Res. Obs.</t>
  </si>
  <si>
    <t>2-s2.0-85121205816</t>
  </si>
  <si>
    <t>Andreu, I.; Ngo, T.M.; Perez, V.; Bilton, M.W.; Cadieux, KellyE.C.; Paul, M.T.Y.; Hidalgo Castillo, T.C.; Bright Davies, C.; Gates, B.D.</t>
  </si>
  <si>
    <t>Andreu, Irene (55257067900); Ngo, Tuan M. (57253526400); Perez, Viridiana (57253155000); Bilton, Matt W. (58385970100); Cadieux, Kelly E.C. (6505846224); Paul, Michael T.Y. (55808774500); Hidalgo Castillo, Tania Cecilia (57253155100); Bright Davies, Clifton (57252665800); Gates, Byron D. (7102128759)</t>
  </si>
  <si>
    <t>55257067900; 57253526400; 57253155000; 58385970100; 6505846224; 55808774500; 57253155100; 57252665800; 7102128759</t>
  </si>
  <si>
    <t>Royal Society Open Science</t>
  </si>
  <si>
    <t>10.1098/rsos.210141</t>
  </si>
  <si>
    <t>https://www.scopus.com/inward/record.uri?eid=2-s2.0-85114611776&amp;doi=10.1098%2Frsos.210141&amp;partnerID=40&amp;md5=c7db2c1adeb4a707bf5e7b878eefa216</t>
  </si>
  <si>
    <t>Andreu, Irene, Department of Chemistry and 4D LABS, Simon Fraser University, Burnaby, BC, Canada; Ngo, Tuan M., Department of Chemistry and 4D LABS, Simon Fraser University, Burnaby, BC, Canada; Perez, Viridiana, Department of Chemistry and 4D LABS, Simon Fraser University, Burnaby, BC, Canada; Bilton, Matt W., Department of Chemistry and 4D LABS, Simon Fraser University, Burnaby, BC, Canada; Cadieux, Kelly E.C., Department of Chemistry and 4D LABS, Simon Fraser University, Burnaby, BC, Canada; Paul, Michael T.Y., Department of Chemistry and 4D LABS, Simon Fraser University, Burnaby, BC, Canada; Hidalgo Castillo, Tania Cecilia, Department of Chemistry and 4D LABS, Simon Fraser University, Burnaby, BC, Canada; Bright Davies, Clifton, Department of Chemistry and 4D LABS, Simon Fraser University, Burnaby, BC, Canada; Gates, Byron D., Department of Chemistry and 4D LABS, Simon Fraser University, Burnaby, BC, Canada</t>
  </si>
  <si>
    <t>B.D. Gates; Department of Chemistry and 4D LABS, Simon Fraser University, Burnaby, 8888 University Drive, V5A 1S6, Canada; email: bgates@sfu.ca</t>
  </si>
  <si>
    <t>Royal Society Publishing</t>
  </si>
  <si>
    <t>R. Soc. Open Sci.</t>
  </si>
  <si>
    <t>2-s2.0-85114611776</t>
  </si>
  <si>
    <t>Abnavi, H.; Maram, D.K.; Abnavi, A.</t>
  </si>
  <si>
    <t>Abnavi, Hamed (57221131396); Maram, Daniyal Khosh (57210573338); Abnavi, Amin (57194502466)</t>
  </si>
  <si>
    <t>57221131396; 57210573338; 57194502466</t>
  </si>
  <si>
    <t>Optical Materials</t>
  </si>
  <si>
    <t>10.1016/j.optmat.2021.111258</t>
  </si>
  <si>
    <t>https://www.scopus.com/inward/record.uri?eid=2-s2.0-85108090069&amp;doi=10.1016%2Fj.optmat.2021.111258&amp;partnerID=40&amp;md5=3e7ff16f5e6127d9558f0ce69573191d</t>
  </si>
  <si>
    <t>Department of Electrical Engineering, Amirkabir University of Technology, Tehran, Tehran, Iran; School of Engineering Science, Simon Fraser University, Burnaby, BC, Canada</t>
  </si>
  <si>
    <t>Abnavi, Hamed, Department of Electrical Engineering, Amirkabir University of Technology, Tehran, Tehran, Iran; Maram, Daniyal Khosh, Department of Electrical Engineering, Amirkabir University of Technology, Tehran, Tehran, Iran; Abnavi, Amin, School of Engineering Science, Simon Fraser University, Burnaby, BC, Canada</t>
  </si>
  <si>
    <t>A. Abnavi; School of Engineering Science, Simon Fraser University, Burnaby, 8888 University Drive, Canada; email: amin_abnavi@sfu.ca</t>
  </si>
  <si>
    <t>OMATE</t>
  </si>
  <si>
    <t>Opt Mater</t>
  </si>
  <si>
    <t>2-s2.0-85108090069</t>
  </si>
  <si>
    <t>Schultz, C.W.; Yu, H.-Z.</t>
  </si>
  <si>
    <t>Schultz, Clayton W. (56611375000); Yu, Huazhong Hogan (7405855808)</t>
  </si>
  <si>
    <t>56611375000; 7405855808</t>
  </si>
  <si>
    <t>Benchtop One-to-One Nanocontact Replication Across Length Scales from 100 nm to 10 cm via Ambient Polycarbonate Molding</t>
  </si>
  <si>
    <t>Advanced Engineering Materials</t>
  </si>
  <si>
    <t>10.1002/adem.202100048</t>
  </si>
  <si>
    <t>https://www.scopus.com/inward/record.uri?eid=2-s2.0-85105183704&amp;doi=10.1002%2Fadem.202100048&amp;partnerID=40&amp;md5=a047849b1355dcebfbeea9a04a2b9ad2</t>
  </si>
  <si>
    <t>Schultz, Clayton W., Simon Fraser University, Burnaby, BC, Canada; Yu, Huazhong Hogan, Simon Fraser University, Burnaby, BC, Canada</t>
  </si>
  <si>
    <t>H.-Z. Yu; Department of Chemistry, Simon Fraser University, Burnaby, V5A 1S6, Canada; email: hogan_yu@sfu.ca</t>
  </si>
  <si>
    <t>Adv. Eng. Mater.</t>
  </si>
  <si>
    <t>2-s2.0-85105183704</t>
  </si>
  <si>
    <t>Hajisalem, G.; Seyed Shariatdoust, M.S.; Ali, R.F.; Gates, B.D.; Barclay, P.E.; Gordon, R.</t>
  </si>
  <si>
    <t>Hajisalem, Ghazal (26535986400); Seyed Shariatdoust, Mirali (57201257264); Ali, Rana Faryad (57195591123); Gates, Byron D. (7102128759); Barclay, Paul E. (7006758609); Gordon, Reuven (15821792800)</t>
  </si>
  <si>
    <t>26535986400; 57201257264; 57195591123; 7102128759; 7006758609; 15821792800</t>
  </si>
  <si>
    <t>Single Nanoflake Hexagonal Boron Nitride Harmonic Generation with Ultralow Pump Power</t>
  </si>
  <si>
    <t>ACS Photonics</t>
  </si>
  <si>
    <t>10.1021/acsphotonics.1c00525</t>
  </si>
  <si>
    <t>https://www.scopus.com/inward/record.uri?eid=2-s2.0-85109041646&amp;doi=10.1021%2Facsphotonics.1c00525&amp;partnerID=40&amp;md5=149105db4696227ed9a89cc66ea23377</t>
  </si>
  <si>
    <t>Department of Electrical &amp; Computer Engineering, University of Victoria, Victoria, BC, Canada; Simon Fraser University, Burnaby, BC, Canada; Department of Physics and Astronomy, University of Calgary, Calgary, AB, Canada</t>
  </si>
  <si>
    <t>Hajisalem, Ghazal, Department of Electrical &amp; Computer Engineering, University of Victoria, Victoria, BC, Canada; Seyed Shariatdoust, Mirali, Department of Electrical &amp; Computer Engineering, University of Victoria, Victoria, BC, Canada; Ali, Rana Faryad, Simon Fraser University, Burnaby, BC, Canada; Gates, Byron D., Simon Fraser University, Burnaby, BC, Canada; Barclay, Paul E., Department of Physics and Astronomy, University of Calgary, Calgary, AB, Canada; Gordon, Reuven, Department of Electrical &amp; Computer Engineering, University of Victoria, Victoria, BC, Canada</t>
  </si>
  <si>
    <t>R. Gordon; Department of Electrical and Computer Engineering, University of Victoria, Victoria, V8P 5C2, Canada; email: rgordon@uvic.ca</t>
  </si>
  <si>
    <t>2-s2.0-85109041646</t>
  </si>
  <si>
    <t>Yousefi, N.; Saeedi Saghez, B.; Pettipas, R.D.; Kelly, T.L.; Kaake, L.G.</t>
  </si>
  <si>
    <t>Yousefi, Nastaran (57216452932); Saeedi Saghez, Behrad (57222038892); Pettipas, Richard D. (57217847536); Kelly, Timothy L. (7403230815); Kaake, Loren G. (16679060400)</t>
  </si>
  <si>
    <t>57216452932; 57222038892; 57217847536; 7403230815; 16679060400</t>
  </si>
  <si>
    <t>The role of solvent additive in polymer crystallinity during physical supercritical fluid deposition</t>
  </si>
  <si>
    <t>New Journal of Chemistry</t>
  </si>
  <si>
    <t>10.1039/d1nj00362c</t>
  </si>
  <si>
    <t>https://www.scopus.com/inward/record.uri?eid=2-s2.0-85109165286&amp;doi=10.1039%2Fd1nj00362c&amp;partnerID=40&amp;md5=16bb9924cfc8ed8f46c7816359d756ee</t>
  </si>
  <si>
    <t>Yousefi, Nastaran, Simon Fraser University, Burnaby, BC, Canada; Saeedi Saghez, Behrad, Simon Fraser University, Burnaby, BC, Canada; Pettipas, Richard D., University of Saskatchewan, Saskatoon, SK, Canada; Kelly, Timothy L., University of Saskatchewan, Saskatoon, SK, Canada; Kaake, Loren G., Simon Fraser University, Burnaby, BC, Canada</t>
  </si>
  <si>
    <t>L.G. Kaake; Department of Chemistry, Simon Fraser University, Burnaby, 8888 University Dr, BC V5A 1S6, Canada; email: lkaake@sfu.ca</t>
  </si>
  <si>
    <t>NJCHE</t>
  </si>
  <si>
    <t>New J. Chem.</t>
  </si>
  <si>
    <t>2-s2.0-85109165286</t>
  </si>
  <si>
    <t>Iqbal, M.Z.; Khan, J.; Afzal, A.M.; Aftab, S.</t>
  </si>
  <si>
    <t>Iqbal, Muhammad Zahir (59594047700); Khan, Junaid Ahmad (57220763239); Afzal, Amir Muhammad (57200106539); Aftab, Sikandar (57200114034)</t>
  </si>
  <si>
    <t>59594047700; 57220763239; 57200106539; 57200114034</t>
  </si>
  <si>
    <t>Exploring the synergetic electrochemical performance of cobalt sulfide/cobalt phosphate composites for supercapattery devices with high-energy and rate capability</t>
  </si>
  <si>
    <t>10.1016/j.electacta.2021.138358</t>
  </si>
  <si>
    <t>https://www.scopus.com/inward/record.uri?eid=2-s2.0-85105104828&amp;doi=10.1016%2Fj.electacta.2021.138358&amp;partnerID=40&amp;md5=a621e0a9d153f045d4d52291448ece9d</t>
  </si>
  <si>
    <t>Nanotechnology Research Laboratory, Ghulam Ishaq Khan Institute of Engineering Sciences and Technology, Topi, Khyber Pakhtunkhwa, Pakistan; Department of Physics, Riphah International University, Islamabad, Pakistan; Department of Engineering, Simon Fraser University, Burnaby, BC, Canada</t>
  </si>
  <si>
    <t>Iqbal, Muhammad Zahir, Nanotechnology Research Laboratory, Ghulam Ishaq Khan Institute of Engineering Sciences and Technology, Topi, Khyber Pakhtunkhwa, Pakistan; Khan, Junaid Ahmad, Nanotechnology Research Laboratory, Ghulam Ishaq Khan Institute of Engineering Sciences and Technology, Topi, Khyber Pakhtunkhwa, Pakistan; Afzal, Amir Muhammad, Department of Physics, Riphah International University, Islamabad, Pakistan; Aftab, Sikandar, Department of Engineering, Simon Fraser University, Burnaby, BC, Canada</t>
  </si>
  <si>
    <t>M.Z. Iqbal; Nanotechnology Research Laboratory, Faculty of Engineering Sciences, GIK Institute of Engineering Sciences and Technology, Topi, 23640, Pakistan; email: zahir.upc@gmail.com</t>
  </si>
  <si>
    <t>2-s2.0-85105104828</t>
  </si>
  <si>
    <t>Adamou, A.; Copeland, C.D.</t>
  </si>
  <si>
    <t>Adamou, Adamos (57212036829); Copeland, Colin D. (36136875400)</t>
  </si>
  <si>
    <t>57212036829; 36136875400</t>
  </si>
  <si>
    <t>Experimental and computational analysis of additive manufactured augmented backside liner cooling surfaces for use in micro-gas turbines</t>
  </si>
  <si>
    <t>Journal of Turbomachinery</t>
  </si>
  <si>
    <t>10.1115/1.4050363</t>
  </si>
  <si>
    <t>https://www.scopus.com/inward/record.uri?eid=2-s2.0-85107551596&amp;doi=10.1115%2F1.4050363&amp;partnerID=40&amp;md5=d9c92d8c81d5e0a2d72056c3a176ed0f</t>
  </si>
  <si>
    <t>Institute for Advanced Automotive Propulsion Systems, Bristol, United Kingdom; School of Sustainable Energy Engineering, Simon Fraser University, Burnaby, BC, Canada</t>
  </si>
  <si>
    <t>Adamou, Adamos, Institute for Advanced Automotive Propulsion Systems, Bristol, United Kingdom; Copeland, Colin D., School of Sustainable Energy Engineering, Simon Fraser University, Burnaby, BC, Canada</t>
  </si>
  <si>
    <t>A. Adamou; Institute for Advanced Automotive Propulsion Systems (IAAPS), University of Bath, Bath, Claveton Down, BA2 7AY, United Kingdom; email: a.adamou@bath.ac.uk</t>
  </si>
  <si>
    <t>0889504X</t>
  </si>
  <si>
    <t>J. Turbomach.</t>
  </si>
  <si>
    <t>2-s2.0-85107551596</t>
  </si>
  <si>
    <t>Baker, D.; Bao, C.; Kim, W.S.</t>
  </si>
  <si>
    <t>Baker, Daina V. (58754207900); Bao, Chao (56612844400); Kim, Woo Soo (17136903100)</t>
  </si>
  <si>
    <t>58754207900; 56612844400; 17136903100</t>
  </si>
  <si>
    <t>Highly Conductive 3D Printable Materials for 3D Structural Electronics</t>
  </si>
  <si>
    <t>ACS Applied Electronic Materials</t>
  </si>
  <si>
    <t>10.1021/acsaelm.1c00296</t>
  </si>
  <si>
    <t>https://www.scopus.com/inward/record.uri?eid=2-s2.0-85110885683&amp;doi=10.1021%2Facsaelm.1c00296&amp;partnerID=40&amp;md5=ce89e7c47d60552c6d3f427ea5a81c6c</t>
  </si>
  <si>
    <t>School of Sustainable Energy Engineering, Simon Fraser University, Burnaby, BC, Canada; School of Mechatronic Systems Engineering, Simon Fraser University, Burnaby, BC, Canada</t>
  </si>
  <si>
    <t>Baker, Daina V., School of Sustainable Energy Engineering, Simon Fraser University, Burnaby, BC, Canada; Bao, Chao, School of Mechatronic Systems Engineering, Simon Fraser University, Burnaby, BC, Canada; Kim, Woo Soo, School of Mechatronic Systems Engineering, Simon Fraser University, Burnaby, BC, Canada</t>
  </si>
  <si>
    <t>ACS Appl. Electron. Mater.</t>
  </si>
  <si>
    <t>2-s2.0-85110885683</t>
  </si>
  <si>
    <t>Ahmadi, R.; Abnavi, A.; Cheung, S.H.; Rahmanian, R.; Wu, P.; Beaudoin, M.; Whitwick, M.; OâLeary, S.; Adachi, M.M.</t>
  </si>
  <si>
    <t>Ahmadi, Ribwar (57278170200); Abnavi, Amin (57194502466); Cheung, Sin Hang (56430456700); Rahmanian, Rowshan (55894629500); Wu, Peng (57278336100); Beaudoin, Mario (57206229040); Whitwick, Michael Brian (6506587097); OâLeary, Stephen K. (7101925786); Adachi, Michael M. (16432591400)</t>
  </si>
  <si>
    <t>57278170200; 57194502466; 56430456700; 55894629500; 57278336100; 57206229040; 6506587097; 7101925786; 16432591400</t>
  </si>
  <si>
    <t>Simulation of optical and mechanical performance of ultrathin sinusoidal c-Si films for highly flexible photovoltaic applications</t>
  </si>
  <si>
    <t>Conference Record of the IEEE Photovoltaic Specialists Conference</t>
  </si>
  <si>
    <t>10.1109/PVSC43889.2021.9518957</t>
  </si>
  <si>
    <t>https://www.scopus.com/inward/record.uri?eid=2-s2.0-85115928423&amp;doi=10.1109%2FPVSC43889.2021.9518957&amp;partnerID=40&amp;md5=4b805779c1ea1dd90199eb5f8cfbcf3c</t>
  </si>
  <si>
    <t>Simon Fraser University, Burnaby, BC, Canada; University of British Columbia Okanagan, Kelowna, BC, Canada; The University of British Columbia, Vancouver, BC, Canada; Solar Earth Technologies Ltd., Vancouver, BC, Canada</t>
  </si>
  <si>
    <t>Ahmadi, Ribwar, Simon Fraser University, Burnaby, BC, Canada; Abnavi, Amin, Simon Fraser University, Burnaby, BC, Canada; Cheung, Sin Hang, University of British Columbia Okanagan, Kelowna, BC, Canada; Rahmanian, Rowshan, Simon Fraser University, Burnaby, BC, Canada; Wu, Peng, Simon Fraser University, Burnaby, BC, Canada; Beaudoin, Mario, The University of British Columbia, Vancouver, BC, Canada; Whitwick, Michael Brian, Solar Earth Technologies Ltd., Vancouver, BC, Canada; OâLeary, Stephen K., University of British Columbia Okanagan, Kelowna, BC, Canada; Adachi, Michael M., Simon Fraser University, Burnaby, BC, Canada</t>
  </si>
  <si>
    <t>9781424458912; 0780357728; 9781665464260; 9781479905126; 9781665419222; 9781424499656; 9781479932993; 9781467300643; 9781665460590; 9781424416417</t>
  </si>
  <si>
    <t>CRCND</t>
  </si>
  <si>
    <t>Conf Rec IEEE Photovoltaic Spec Conf</t>
  </si>
  <si>
    <t>2-s2.0-85115928423</t>
  </si>
  <si>
    <t>Simpson, R.</t>
  </si>
  <si>
    <t>Simpson, Rylan (57193081269)</t>
  </si>
  <si>
    <t>Calling the Police: Dispatchers as Important Interpreters and Manufacturers of Calls for Service Data</t>
  </si>
  <si>
    <t>Policing (Oxford)</t>
  </si>
  <si>
    <t>10.1093/police/paaa040</t>
  </si>
  <si>
    <t>https://www.scopus.com/inward/record.uri?eid=2-s2.0-85142660477&amp;doi=10.1093%2Fpolice%2Fpaaa040&amp;partnerID=40&amp;md5=50b067a8c6d540981bffe275d0ddf298</t>
  </si>
  <si>
    <t>School of Criminology, Simon Fraser University, Burnaby, BC, Canada</t>
  </si>
  <si>
    <t>Simpson, Rylan, School of Criminology, Simon Fraser University, Burnaby, BC, Canada</t>
  </si>
  <si>
    <t>R. Simpson; School of Criminology, Simon Fraser University, Burnaby, V5A 1S6, Canada; email: rylan_simpson@sfu.ca</t>
  </si>
  <si>
    <t>Policing</t>
  </si>
  <si>
    <t>2-s2.0-85142660477</t>
  </si>
  <si>
    <t>Bhardwaj, C.; Axsen, J.; McCollum, D.</t>
  </si>
  <si>
    <t>Bhardwaj, Chandan (57216127007); Axsen, Jonn (26422020300); McCollum, David L. (12803129900)</t>
  </si>
  <si>
    <t>57216127007; 26422020300; 12803129900</t>
  </si>
  <si>
    <t>Simulating automakers’ response to zero emissions vehicle regulation</t>
  </si>
  <si>
    <t>Transportation Research Part D: Transport and Environment</t>
  </si>
  <si>
    <t>10.1016/j.trd.2021.102789</t>
  </si>
  <si>
    <t>https://www.scopus.com/inward/record.uri?eid=2-s2.0-85104123001&amp;doi=10.1016%2Fj.trd.2021.102789&amp;partnerID=40&amp;md5=717cf0ee9acc6192cc42f10f93199d00</t>
  </si>
  <si>
    <t>Sustainable Transportation Action Research Team, Simon Fraser University, Burnaby, BC, Canada; Electric Power Research Institute, Inc, Palo Alto, CA, United States</t>
  </si>
  <si>
    <t>Bhardwaj, Chandan, Sustainable Transportation Action Research Team, Simon Fraser University, Burnaby, BC, Canada; Axsen, Jonn, Sustainable Transportation Action Research Team, Simon Fraser University, Burnaby, BC, Canada; McCollum, David L., Electric Power Research Institute, Inc, Palo Alto, CA, United States</t>
  </si>
  <si>
    <t>C. Bhardwaj; Sustainable Transportation Action Research Team, Simon Fraser University, 8888 University Dr., Burnaby, V5A 1S6, Canada; email: cbhardwa@sfu.ca</t>
  </si>
  <si>
    <t>TRDTF</t>
  </si>
  <si>
    <t>Transp. Res. Part D Transp. Environ.</t>
  </si>
  <si>
    <t>2-s2.0-85104123001</t>
  </si>
  <si>
    <t>Kaur, M.; Kim, T.-H.; Kim, W.S.</t>
  </si>
  <si>
    <t>Kaur, Manpreet (58588589500); Kim, Tae Ho (56168759700); Kim, Woo Soo (17136903100)</t>
  </si>
  <si>
    <t>58588589500; 56168759700; 17136903100</t>
  </si>
  <si>
    <t>10.1002/adma.202002534</t>
  </si>
  <si>
    <t>https://www.scopus.com/inward/record.uri?eid=2-s2.0-85100159592&amp;doi=10.1002%2Fadma.202002534&amp;partnerID=40&amp;md5=e00122ccde55039765b1adb563592510</t>
  </si>
  <si>
    <t>Kaur, Manpreet, School of Mechatronic Systems Engineering, Simon Fraser University, Burnaby, BC, Canada; Kim, Tae Ho, School of Mechatronic Systems Engineering, Simon Fraser University, Burnaby, BC, Canada; Kim, Woo Soo, School of Mechatronic Systems Engineering, Simon Fraser University, Burnaby, BC, Canada</t>
  </si>
  <si>
    <t>W.S. Kim; Additive Manufacturing Laboratory, School of Mechatronics System Engineering, Simon Fraser University, Surrey, V3T 0A3, Canada; email: woosook@sfu.ca</t>
  </si>
  <si>
    <t>2-s2.0-85100159592</t>
  </si>
  <si>
    <t>Hannigan, B.C.; Cuthbert, T.J.; Geng, W.; Tavassolian, M.; Menon, C.</t>
  </si>
  <si>
    <t>Hannigan, Brett C. (57218436045); Cuthbert, Tyler J. (57211341414); Geng, Wanhaoyi (57220890035); Tavassolian, Mohammad (57223653307); Menon, Carlo (23989261600)</t>
  </si>
  <si>
    <t>57218436045; 57211341414; 57220890035; 57223653307; 23989261600</t>
  </si>
  <si>
    <t>Understanding the Impact of Machine Learning Models on the Performance of Different Flexible Strain Sensor Modalities</t>
  </si>
  <si>
    <t>Frontiers in Materials</t>
  </si>
  <si>
    <t>10.3389/fmats.2021.639823</t>
  </si>
  <si>
    <t>https://www.scopus.com/inward/record.uri?eid=2-s2.0-85105968524&amp;doi=10.3389%2Ffmats.2021.639823&amp;partnerID=40&amp;md5=2533aff95489c1fc6c829b5582462fb7</t>
  </si>
  <si>
    <t>Hannigan, Brett C., Menrva Research Group, Simon Fraser University, Burnaby, BC, Canada; Cuthbert, Tyler J., Menrva Research Group, Simon Fraser University, Burnaby, BC, Canada; Geng, Wanhaoyi, Menrva Research Group, Simon Fraser University, Burnaby, BC, Canada; Tavassolian, Mohammad, Menrva Research Group, Simon Fraser University, Burnaby, BC, Canada; Menon, Carlo, Menrva Research Group, Simon Fraser University, Burnaby, BC, Canada, Department of Health Sciences and Technology, ETH Zürich, Zurich, ZH, Switzerland</t>
  </si>
  <si>
    <t>C. Menon; Menrva Research Group, Schools of Mechatronic Systems Engineering and Engineering Science, Simon Fraser University, Surrey, Canada; email: cmenon@sfu.ca</t>
  </si>
  <si>
    <t>Front. Mater.</t>
  </si>
  <si>
    <t>2-s2.0-85105968524</t>
  </si>
  <si>
    <t>Iqbal, M.Z.; Khan, J.; Siddique, S.; Afzal, A.M.; Aftab, S.</t>
  </si>
  <si>
    <t>Iqbal, Muhammad Zahir (59594047700); Khan, Junaid Ahmad (57220763239); Siddique, Salma (55777825500); Afzal, Amir Muhammad (57200106539); Aftab, Sikandar (57200114034)</t>
  </si>
  <si>
    <t>59594047700; 57220763239; 55777825500; 57200106539; 57200114034</t>
  </si>
  <si>
    <t>10.1016/j.ijhydene.2021.02.077</t>
  </si>
  <si>
    <t>https://www.scopus.com/inward/record.uri?eid=2-s2.0-85102279922&amp;doi=10.1016%2Fj.ijhydene.2021.02.077&amp;partnerID=40&amp;md5=1ef97b6675aad5fa4807f48d24d7135e</t>
  </si>
  <si>
    <t>Faculty of Engineering Sciences, Ghulam Ishaq Khan Institute of Engineering Sciences and Technology, Topi, Khyber Pakhtunkhwa, Pakistan; Institute of Industrial Biotechnology, Government College University Lahore, Lahore, Punjab, Pakistan; Department of Physics, Riphah International University, Islamabad, Pakistan; Department of Engineering, Simon Fraser University, Burnaby, BC, Canada</t>
  </si>
  <si>
    <t>Iqbal, Muhammad Zahir, Faculty of Engineering Sciences, Ghulam Ishaq Khan Institute of Engineering Sciences and Technology, Topi, Khyber Pakhtunkhwa, Pakistan; Khan, Junaid Ahmad, Faculty of Engineering Sciences, Ghulam Ishaq Khan Institute of Engineering Sciences and Technology, Topi, Khyber Pakhtunkhwa, Pakistan; Siddique, Salma, Institute of Industrial Biotechnology, Government College University Lahore, Lahore, Punjab, Pakistan; Afzal, Amir Muhammad, Department of Physics, Riphah International University, Islamabad, Pakistan; Aftab, Sikandar, Department of Engineering, Simon Fraser University, Burnaby, BC, Canada</t>
  </si>
  <si>
    <t>2-s2.0-85102279922</t>
  </si>
  <si>
    <t>Bao, C.; Seol, S.K.; Kim, W.S.</t>
  </si>
  <si>
    <t>Bao, Chao (56612844400); Seol, Seung-kwon (7003771508); Kim, Woo Soo (17136903100)</t>
  </si>
  <si>
    <t>56612844400; 7003771508; 17136903100</t>
  </si>
  <si>
    <t>Sensors and Actuators, B: Chemical</t>
  </si>
  <si>
    <t>10.1016/j.snb.2021.129527</t>
  </si>
  <si>
    <t>https://www.scopus.com/inward/record.uri?eid=2-s2.0-85100016254&amp;doi=10.1016%2Fj.snb.2021.129527&amp;partnerID=40&amp;md5=c9df064bc15ba039c9a6a4893b3932ae</t>
  </si>
  <si>
    <t>School of Mechatronic Systems Engineering, Simon Fraser University, Burnaby, BC, Canada; Nano Hybrid Technology Research Center, Korea Electro-technology Research Institute (KERI), Kyongsangnam-do, South Korea</t>
  </si>
  <si>
    <t>Bao, Chao, School of Mechatronic Systems Engineering, Simon Fraser University, Burnaby, BC, Canada; Seol, Seung-kwon, Nano Hybrid Technology Research Center, Korea Electro-technology Research Institute (KERI), Kyongsangnam-do, South Korea; Kim, Woo Soo, School of Mechatronic Systems Engineering, Simon Fraser University, Burnaby, BC, Canada</t>
  </si>
  <si>
    <t>SABCE</t>
  </si>
  <si>
    <t>Sens Actuators, B Chem</t>
  </si>
  <si>
    <t>2-s2.0-85100016254</t>
  </si>
  <si>
    <t>Wang, Y.; Wang, H.; Yang, J.; Chen, J.</t>
  </si>
  <si>
    <t>Wang, Yufei (57222498131); Wang, Huanting (57218130124); Yang, Jiating (57222489416); Chen, Jianbo (55509097400)</t>
  </si>
  <si>
    <t>57222498131; 57218130124; 57222489416; 55509097400</t>
  </si>
  <si>
    <t>Cross-model retrieval with deep learning for business application</t>
  </si>
  <si>
    <t>IOP Conference Series: Earth and Environmental Science</t>
  </si>
  <si>
    <t>10.1088/1742-6596/1802/3/032035</t>
  </si>
  <si>
    <t>https://www.scopus.com/inward/record.uri?eid=2-s2.0-85102860231&amp;doi=10.1088%2F1742-6596%2F1802%2F3%2F032035&amp;partnerID=40&amp;md5=e33fdb5b282b003c53dc4141c523827d</t>
  </si>
  <si>
    <t>Simon Fraser University, Burnaby, BC, Canada; Xi'an Institute of Optics and Precision Mechanics Chinese Academy of Sciences, Xi'an, Shaanxi, China; University of Chinese Academy of Sciences, Beijing, China</t>
  </si>
  <si>
    <t>Wang, Yufei, Simon Fraser University, Burnaby, BC, Canada; Wang, Huanting, Xi'an Institute of Optics and Precision Mechanics Chinese Academy of Sciences, Xi'an, Shaanxi, China, University of Chinese Academy of Sciences, Beijing, China; Yang, Jiating, Xi'an Institute of Optics and Precision Mechanics Chinese Academy of Sciences, Xi'an, Shaanxi, China; Chen, Jianbo, University of Chinese Academy of Sciences, Beijing, China</t>
  </si>
  <si>
    <t>J. Yang; Xian Institute of Optics and Precision Mechanics, Chinese Academy of Sciences, Xian, China; email: yangjiating@opt.ac.cn</t>
  </si>
  <si>
    <t>IOP Conf. Ser. Earth Environ. Sci.</t>
  </si>
  <si>
    <t>2-s2.0-85102860231</t>
  </si>
  <si>
    <t>Kim, T.-H.; Vanloo, J.; Kim, W.S.</t>
  </si>
  <si>
    <t>Kim, Tae Ho (56168759700); Vanloo, Jaydon (57221717207); Kim, Woo Soo (17136903100)</t>
  </si>
  <si>
    <t>56168759700; 57221717207; 17136903100</t>
  </si>
  <si>
    <t>3D Origami Sensing Robots for Cooperative Healthcare Monitoring</t>
  </si>
  <si>
    <t>10.1002/admt.202000938</t>
  </si>
  <si>
    <t>https://www.scopus.com/inward/record.uri?eid=2-s2.0-85099904146&amp;doi=10.1002%2Fadmt.202000938&amp;partnerID=40&amp;md5=aac2b691467a2a3b17350d911c86f151</t>
  </si>
  <si>
    <t>Kim, Tae Ho, School of Mechatronic Systems Engineering, Simon Fraser University, Burnaby, BC, Canada; Vanloo, Jaydon, School of Mechatronic Systems Engineering, Simon Fraser University, Burnaby, BC, Canada; Kim, Woo Soo, School of Mechatronic Systems Engineering, Simon Fraser University, Burnaby, BC, Canada</t>
  </si>
  <si>
    <t>2-s2.0-85099904146</t>
  </si>
  <si>
    <t>Donati, D.; Stead, D.; Brideau, M.-A.; Ghirotti, M.</t>
  </si>
  <si>
    <t>Donati, Davide (57202339459); Stead, Douglas (7006004275); Brideau, Marc André (8720342300); Ghirotti, Monica (56962764900)</t>
  </si>
  <si>
    <t>57202339459; 7006004275; 8720342300; 56962764900</t>
  </si>
  <si>
    <t>Using pre-failure and post-failure remote sensing data to constrain the three-dimensional numerical model of a large rock slope failure</t>
  </si>
  <si>
    <t>10.1007/s10346-020-01552-x</t>
  </si>
  <si>
    <t>https://www.scopus.com/inward/record.uri?eid=2-s2.0-85091837981&amp;doi=10.1007%2Fs10346-020-01552-x&amp;partnerID=40&amp;md5=7b2fb348ea3c62388deb43b7b074dbd5</t>
  </si>
  <si>
    <t>Department of Earth Sciences, Simon Fraser University, Burnaby, BC, Canada; Westrek Geotechnical Services Ltd, Squamish, BC, Canada; Dipartimento di Fisica e Scienze della Terra, University of Ferrara, Ferrara, FE, Italy</t>
  </si>
  <si>
    <t>Donati, Davide, Department of Earth Sciences, Simon Fraser University, Burnaby, BC, Canada; Stead, Douglas, Department of Earth Sciences, Simon Fraser University, Burnaby, BC, Canada; Brideau, Marc André, Westrek Geotechnical Services Ltd, Squamish, BC, Canada; Ghirotti, Monica, Dipartimento di Fisica e Scienze della Terra, University of Ferrara, Ferrara, FE, Italy</t>
  </si>
  <si>
    <t>D. Donati; Department of Earth Sciences, Simon Fraser University, Burnaby, V5A 1S6, Canada; email: davide_donati@sfu.ca</t>
  </si>
  <si>
    <t>2-s2.0-85091837981</t>
  </si>
  <si>
    <t>Zhang, J.; Liu, L.; Bokov, A.A.; Zhang, N.; Wang, D.; Ye, Z.-G.; Jia, C.-L.</t>
  </si>
  <si>
    <t>Zhang, Jiale (57718317100); Liu, Laijun (8915322700); Bokov, Alexei A. (35564490800); Zhang, Nan (26023886900); Wang, Dawei (57045053300); Ye, Zuo Guang (24443034100); Jia, Chunlin (7202262225)</t>
  </si>
  <si>
    <t>57718317100; 8915322700; 35564490800; 26023886900; 57045053300; 24443034100; 7202262225</t>
  </si>
  <si>
    <t>Compositional ordering in relaxor ferroelectric Pb(BB′) O3: Nearest neighbor approach</t>
  </si>
  <si>
    <t>10.1103/PhysRevB.103.054201</t>
  </si>
  <si>
    <t>https://www.scopus.com/inward/record.uri?eid=2-s2.0-85101862197&amp;doi=10.1103%2FPhysRevB.103.054201&amp;partnerID=40&amp;md5=45d04a7287fb5cd222a6b18ac3643d19</t>
  </si>
  <si>
    <t>State Key Laboratory for Mechanical Behavior of Materials, Xi'an Jiaotong University, Xi'an, Shaanxi, China; College of Materials Science and Engineering, Guilin University of Technology, Guilin, Guangxi, China; Department of Chemistry and 4D LABS, Simon Fraser University, Burnaby, BC, Canada; Xi'an Jiaotong University, Xi'an, Shaanxi, China; Ernst Ruska-Centre for Microscopy and Spectroscopy with Electrons, Forschungszentrum Jülich GmbH, Julich, Germany</t>
  </si>
  <si>
    <t>Zhang, Jiale, State Key Laboratory for Mechanical Behavior of Materials, Xi'an Jiaotong University, Xi'an, Shaanxi, China; Liu, Laijun, College of Materials Science and Engineering, Guilin University of Technology, Guilin, Guangxi, China; Bokov, Alexei A., Department of Chemistry and 4D LABS, Simon Fraser University, Burnaby, BC, Canada; Zhang, Nan, Xi'an Jiaotong University, Xi'an, Shaanxi, China; Wang, Dawei, State Key Laboratory for Mechanical Behavior of Materials, Xi'an Jiaotong University, Xi'an, Shaanxi, China; Ye, Zuo Guang, Department of Chemistry and 4D LABS, Simon Fraser University, Burnaby, BC, Canada; Jia, Chunlin, State Key Laboratory for Mechanical Behavior of Materials, Xi'an Jiaotong University, Xi'an, Shaanxi, China, Ernst Ruska-Centre for Microscopy and Spectroscopy with Electrons, Forschungszentrum Jülich GmbH, Julich, Germany</t>
  </si>
  <si>
    <t>D. Wang; School of Microelectronics and State Key Laboratory for Mechanical Behavior of Materials, Xi'An Jiaotong University, Xi'an, 710049, China; email: dawei.wang@xjtu.edu.cn</t>
  </si>
  <si>
    <t>2-s2.0-85101862197</t>
  </si>
  <si>
    <t>Mohtashemi, L.; Westlund, P.; Sahota, D.G.; Lea, G.B.; Bushfield, I.; Mousavi, P.; Dodge, J.S.</t>
  </si>
  <si>
    <t>Mohtashemi, Laleh (57196711789); Westlund, Paul (57221839900); Sahota, Derek G. (23986371700); Lea, Graham B. (57221839820); Bushfield, Ian R. (55507459400); Mousavi, Payam (56374953000); Dodge, J. Steven (7101655684)</t>
  </si>
  <si>
    <t>57196711789; 57221839900; 23986371700; 57221839820; 55507459400; 56374953000; 7101655684</t>
  </si>
  <si>
    <t>Optics Express</t>
  </si>
  <si>
    <t>10.1364/OE.417724</t>
  </si>
  <si>
    <t>https://www.scopus.com/inward/record.uri?eid=2-s2.0-85100676111&amp;doi=10.1364%2FOE.417724&amp;partnerID=40&amp;md5=af3dbaecff63185b15643f6152d55794</t>
  </si>
  <si>
    <t>Mohtashemi, Laleh, Department of Physics, Simon Fraser University, Burnaby, BC, Canada; Westlund, Paul, Department of Physics, Simon Fraser University, Burnaby, BC, Canada; Sahota, Derek G., Department of Physics, Simon Fraser University, Burnaby, BC, Canada; Lea, Graham B., Department of Physics, Simon Fraser University, Burnaby, BC, Canada; Bushfield, Ian R., Department of Physics, Simon Fraser University, Burnaby, BC, Canada; Mousavi, Payam, Department of Physics, Simon Fraser University, Burnaby, BC, Canada; Dodge, J. Steven, Department of Physics, Simon Fraser University, Burnaby, BC, Canada</t>
  </si>
  <si>
    <t>J.S. DODGE; Department of Physics, Simon Fraser University, V5A 1S6, Canada; email: jsdodge@sfu.ca</t>
  </si>
  <si>
    <t>OSA - The Optical Society</t>
  </si>
  <si>
    <t>Opt. Express</t>
  </si>
  <si>
    <t>2-s2.0-85100676111</t>
  </si>
  <si>
    <t>Physical supercritical fluid deposition of polymer films: controlling the crystallinity with pressure</t>
  </si>
  <si>
    <t>Materials Chemistry Frontiers</t>
  </si>
  <si>
    <t>10.1039/d0qm00403k</t>
  </si>
  <si>
    <t>https://www.scopus.com/inward/record.uri?eid=2-s2.0-85101182174&amp;doi=10.1039%2Fd0qm00403k&amp;partnerID=40&amp;md5=89453d39e42f2fcf66b1fe59770e37ff</t>
  </si>
  <si>
    <t>Department of Chemistry, Simon Fraser University, Burnaby, BC, Canada; Department of Chemistry, University of Saskatchewan, Saskatoon, SK, Canada</t>
  </si>
  <si>
    <t>Yousefi, Nastaran, Department of Chemistry, Simon Fraser University, Burnaby, BC, Canada; Saeedi Saghez, Behrad, Department of Chemistry, Simon Fraser University, Burnaby, BC, Canada; Pettipas, Richard D., Department of Chemistry, University of Saskatchewan, Saskatoon, SK, Canada; Kelly, Timothy L., Department of Chemistry, University of Saskatchewan, Saskatoon, SK, Canada; Kaake, Loren G., Department of Chemistry, Simon Fraser University, Burnaby, BC, Canada</t>
  </si>
  <si>
    <t>Mater. Chem. Front.</t>
  </si>
  <si>
    <t>2-s2.0-85101182174</t>
  </si>
  <si>
    <t>Elucidating the role of precursors in synthesizing single crystalline lithium niobate nanomaterials: A study of effects of lithium precursors on nanoparticle quality</t>
  </si>
  <si>
    <t>Nanoscale</t>
  </si>
  <si>
    <t>10.1039/d0nr08652e</t>
  </si>
  <si>
    <t>https://www.scopus.com/inward/record.uri?eid=2-s2.0-85101142450&amp;doi=10.1039%2Fd0nr08652e&amp;partnerID=40&amp;md5=dd71c077a52c58bd06b480988e7dd956</t>
  </si>
  <si>
    <t>2-s2.0-85101142450</t>
  </si>
  <si>
    <t>Socías, M.E.; Choi, J.; Lake, S.; Wood, E.; Valleriani, J.; Hayashi, K.; Kerr, T.; Milloy, M.-J.</t>
  </si>
  <si>
    <t>Socías, María Eugenia (6507193487); Choi, Jincheol (57216786191); Lake, Stephanie (56480189900); Wood, Evan (57191525672); Valleriani, Jenna (57034120600); Hayashi, Kanna (33267650300); Kerr, Thomas H. (26643236200); Milloy, Michael John S. (24448566900)</t>
  </si>
  <si>
    <t>6507193487; 57216786191; 56480189900; 57191525672; 57034120600; 33267650300; 26643236200; 24448566900</t>
  </si>
  <si>
    <t>Cannabis use is associated with reduced risk of exposure to fentanyl among people on opioid agonist therapy during a community-wide overdose crisis</t>
  </si>
  <si>
    <t>Drug and Alcohol Dependence</t>
  </si>
  <si>
    <t>10.1016/j.drugalcdep.2020.108420</t>
  </si>
  <si>
    <t>https://www.scopus.com/inward/record.uri?eid=2-s2.0-85099150407&amp;doi=10.1016%2Fj.drugalcdep.2020.108420&amp;partnerID=40&amp;md5=3452125327f5bf0473ffc4d2095aa26d</t>
  </si>
  <si>
    <t>British Columbia Centre on Substance Use, Vancouver, BC, Canada; Department of Medicine, The University of British Columbia, Vancouver, BC, Canada; Simon Fraser University, Burnaby, BC, Canada</t>
  </si>
  <si>
    <t>Socías, María Eugenia, British Columbia Centre on Substance Use, Vancouver, BC, Canada, Department of Medicine, The University of British Columbia, Vancouver, BC, Canada; Choi, Jincheol, British Columbia Centre on Substance Use, Vancouver, BC, Canada; Lake, Stephanie, British Columbia Centre on Substance Use, Vancouver, BC, Canada; Wood, Evan, British Columbia Centre on Substance Use, Vancouver, BC, Canada, Department of Medicine, The University of British Columbia, Vancouver, BC, Canada; Valleriani, Jenna, British Columbia Centre on Substance Use, Vancouver, BC, Canada; Hayashi, Kanna, British Columbia Centre on Substance Use, Vancouver, BC, Canada, Simon Fraser University, Burnaby, BC, Canada; Kerr, Thomas H., British Columbia Centre on Substance Use, Vancouver, BC, Canada, Department of Medicine, The University of British Columbia, Vancouver, BC, Canada; Milloy, Michael John S., British Columbia Centre on Substance Use, Vancouver, BC, Canada, Department of Medicine, The University of British Columbia, Vancouver, BC, Canada</t>
  </si>
  <si>
    <t>M.-J. Milloy; British Columbia Centre on Substance Use, Vancouver, Canada; email: bccsu-mjm@bccsu.ubc.ca</t>
  </si>
  <si>
    <t>Elsevier Ireland Ltd</t>
  </si>
  <si>
    <t>DADED</t>
  </si>
  <si>
    <t>Drug Alcohol Depend.</t>
  </si>
  <si>
    <t>2-s2.0-85099150407</t>
  </si>
  <si>
    <t>Lawrence, J.; Fitzpatrick, S.M.; Giovas, C.</t>
  </si>
  <si>
    <t>Lawrence, John A. (57191092008); Fitzpatrick, Scott Michael (7102207146); Giovas, Christina M. (26429468000)</t>
  </si>
  <si>
    <t>57191092008; 7102207146; 26429468000</t>
  </si>
  <si>
    <t>Petrographic analysis of Pre-Columbian pottery from Nevis, Eastern Caribbean</t>
  </si>
  <si>
    <t>10.1016/j.jasrep.2020.102741</t>
  </si>
  <si>
    <t>https://www.scopus.com/inward/record.uri?eid=2-s2.0-85098722496&amp;doi=10.1016%2Fj.jasrep.2020.102741&amp;partnerID=40&amp;md5=05b990d7c9ef7b446054a0222f6c52ce</t>
  </si>
  <si>
    <t>Cardno, Los Angeles, CA, United States; Department of Anthropology, University of Oregon, Eugene, OR, United States; Museum of Natural and Cultural History, University of Oregon, Eugene, OR, United States; Department of Archaeology, Simon Fraser University, Burnaby, BC, Canada</t>
  </si>
  <si>
    <t>Lawrence, John A., Cardno, Los Angeles, CA, United States; Fitzpatrick, Scott Michael, Department of Anthropology, University of Oregon, Eugene, OR, United States, Museum of Natural and Cultural History, University of Oregon, Eugene, OR, United States; Giovas, Christina M., Department of Archaeology, Simon Fraser University, Burnaby, BC, Canada</t>
  </si>
  <si>
    <t>J. Lawrence; Cardno, Los Angeles, 91203, United States; email: Johnadam117@yahoo.com</t>
  </si>
  <si>
    <t>2-s2.0-85098722496</t>
  </si>
  <si>
    <t>Shiri, P.; Neusser, D.; Malacrida, C.; Ludwigs, S.; Kaake, L.G.</t>
  </si>
  <si>
    <t>Shiri, Parisa (57210555780); Neusser, David (57214337840); Malacrida, Claudia (57203158643); Ludwigs, Sabine (14627430600); Kaake, Loren G. (16679060400)</t>
  </si>
  <si>
    <t>57210555780; 57214337840; 57203158643; 14627430600; 16679060400</t>
  </si>
  <si>
    <t>Journal of Physical Chemistry C</t>
  </si>
  <si>
    <t>10.1021/acs.jpcc.0c09527</t>
  </si>
  <si>
    <t>https://www.scopus.com/inward/record.uri?eid=2-s2.0-85099103202&amp;doi=10.1021%2Facs.jpcc.0c09527&amp;partnerID=40&amp;md5=755fc624ca2074bb51487488732c39e5</t>
  </si>
  <si>
    <t>Department of Chemistry, Simon Fraser University, Burnaby, BC, Canada; IPOC-Functional Polymers, Universität Stuttgart, Stuttgart, Baden-Wurttemberg, Germany</t>
  </si>
  <si>
    <t>Shiri, Parisa, Department of Chemistry, Simon Fraser University, Burnaby, BC, Canada; Neusser, David, IPOC-Functional Polymers, Universität Stuttgart, Stuttgart, Baden-Wurttemberg, Germany; Malacrida, Claudia, IPOC-Functional Polymers, Universität Stuttgart, Stuttgart, Baden-Wurttemberg, Germany; Ludwigs, Sabine, IPOC-Functional Polymers, Universität Stuttgart, Stuttgart, Baden-Wurttemberg, Germany; Kaake, Loren G., Department of Chemistry, Simon Fraser University, Burnaby, BC, Canada</t>
  </si>
  <si>
    <t>L.G. Kaake; Department of Chemistry, Simon Fraser University, Burnaby, 8888 University Dr, V5A 1S6, Canada; email: Lkaake@sfu.ca</t>
  </si>
  <si>
    <t>J. Phys. Chem. C</t>
  </si>
  <si>
    <t>2-s2.0-85099103202</t>
  </si>
  <si>
    <t>Mir, R.A.; Kaur, G.</t>
  </si>
  <si>
    <t>Mir, Rameez Ahmad (57194525600); Kaur, Gurbinder (55241221300)</t>
  </si>
  <si>
    <t>57194525600; 55241221300</t>
  </si>
  <si>
    <t>PEM Fuel Cells: Fundamentals, Advanced Technologies, and Practical Application</t>
  </si>
  <si>
    <t>10.1016/B978-0-12-823708-3.00005-5</t>
  </si>
  <si>
    <t>https://www.scopus.com/inward/record.uri?eid=2-s2.0-85138875370&amp;doi=10.1016%2FB978-0-12-823708-3.00005-5&amp;partnerID=40&amp;md5=a8e6a188e03020a53524ac4d7f16b418</t>
  </si>
  <si>
    <t>Thapar Institute of Engineering &amp; Technology, Patiala, PB, India; Simon Fraser University, Burnaby, BC, Canada</t>
  </si>
  <si>
    <t>Mir, Rameez Ahmad, Thapar Institute of Engineering &amp; Technology, Patiala, PB, India; Kaur, Gurbinder, Simon Fraser University, Burnaby, BC, Canada</t>
  </si>
  <si>
    <t>9780128237083; 9780128237090</t>
  </si>
  <si>
    <t>2-s2.0-85138875370</t>
  </si>
  <si>
    <t>Li, X.J.; Yang, C.; Li, P.C.H.</t>
  </si>
  <si>
    <t>Li, Xiu Jun James (57653463100); Yang, Chaoyong James (57204948551); Li, Paul C.H. (59806039000)</t>
  </si>
  <si>
    <t>57653463100; 57204948551; 59806039000</t>
  </si>
  <si>
    <t>Multidisciplinary Microfluidic and Nanofluidic Lab-on-a-Chip: Principles and Applications</t>
  </si>
  <si>
    <t>10.1016/B978-0-444-59432-7.00020-0</t>
  </si>
  <si>
    <t>https://www.scopus.com/inward/record.uri?eid=2-s2.0-85129060813&amp;doi=10.1016%2FB978-0-444-59432-7.00020-0&amp;partnerID=40&amp;md5=5fdf7b42e69384796a4728929c5d2bde</t>
  </si>
  <si>
    <t>Department of Chemistry and Biochemistry, The University of Texas at El Paso, El Paso, TX, United States; The University of Texas at El Paso College of Engineering, El Paso, TX, United States; Environmental Science and Engineering, The University of Texas at El Paso, El Paso, TX, United States; Department of Chemical Biology, Xiamen University, Xiamen, Fujian, China; Institute of Molecular Medicine, Shanghai Jiao Tong University School of Medicine, Shanghai, China; Simon Fraser University, Burnaby, BC, Canada</t>
  </si>
  <si>
    <t>Li, Xiu Jun James, Department of Chemistry and Biochemistry, The University of Texas at El Paso, El Paso, TX, United States, The University of Texas at El Paso College of Engineering, El Paso, TX, United States, Environmental Science and Engineering, The University of Texas at El Paso, El Paso, TX, United States; Yang, Chaoyong James, Department of Chemical Biology, Xiamen University, Xiamen, Fujian, China, Institute of Molecular Medicine, Shanghai Jiao Tong University School of Medicine, Shanghai, China; Li, Paul C.H., Simon Fraser University, Burnaby, BC, Canada</t>
  </si>
  <si>
    <t>2-s2.0-85129060813</t>
  </si>
  <si>
    <t>Kaur, G.; Gates, B.D.; Chhina, H.; Taylor, A.K.; Gautam, S.; Schneider-Coppolino, M.; Duncan, K.L.</t>
  </si>
  <si>
    <t>Kaur, Gurbinder (55241221300); Gates, Byron D. (7102128759); Chhina, Harmeet (57211048440); Taylor, Audrey K. (55473545900); Gautam, Sakshi (57909864800); Schneider-Coppolino, Merissa (57908608600); Duncan, K. L. (58336788500)</t>
  </si>
  <si>
    <t>55241221300; 7102128759; 57211048440; 55473545900; 57909864800; 57908608600; 58336788500</t>
  </si>
  <si>
    <t>Economic, business, technical, and commercialization hindrances for the polymer electrolyte membrane fuel cell</t>
  </si>
  <si>
    <t>10.1016/B978-0-12-823708-3.00002-X</t>
  </si>
  <si>
    <t>https://www.scopus.com/inward/record.uri?eid=2-s2.0-85126996765&amp;doi=10.1016%2FB978-0-12-823708-3.00002-X&amp;partnerID=40&amp;md5=77a163a9e6aa0e2597df1b5b888b01aa</t>
  </si>
  <si>
    <t>Simon Fraser University, Burnaby, BC, Canada; Department of Chemistry and 4D LABS, Simon Fraser University, Burnaby, BC, Canada; Zen Clean Energy Solutions, Vancouver, BC, Canada</t>
  </si>
  <si>
    <t>Kaur, Gurbinder, Simon Fraser University, Burnaby, BC, Canada; Gates, Byron D., Department of Chemistry and 4D LABS, Simon Fraser University, Burnaby, BC, Canada; Chhina, Harmeet, Zen Clean Energy Solutions, Vancouver, BC, Canada; Taylor, Audrey K., Department of Chemistry and 4D LABS, Simon Fraser University, Burnaby, BC, Canada; Gautam, Sakshi, Department of Chemistry and 4D LABS, Simon Fraser University, Burnaby, BC, Canada; Schneider-Coppolino, Merissa, Department of Chemistry and 4D LABS, Simon Fraser University, Burnaby, BC, Canada; Duncan, K. L., Department of Chemistry and 4D LABS, Simon Fraser University, Burnaby, BC, Canada</t>
  </si>
  <si>
    <t>2-s2.0-85126996765</t>
  </si>
  <si>
    <t>Currie, C.; Gray, B.L.</t>
  </si>
  <si>
    <t>Currie, Chelsey E. (57217300755); Gray, Bonnie Lynne (7202782646)</t>
  </si>
  <si>
    <t>57217300755; 7202782646</t>
  </si>
  <si>
    <t>OSTE+ Polymer Composite with Rare Earth Hard Magnetic Particles for Flexible Reaction Injection-Moldable Microfluidic Actuators</t>
  </si>
  <si>
    <t>2021 IEEE 16th Nanotechnology Materials and Devices Conference, NMDC 2021</t>
  </si>
  <si>
    <t>10.1109/NMDC50713.2021.9677489</t>
  </si>
  <si>
    <t>https://www.scopus.com/inward/record.uri?eid=2-s2.0-85125339043&amp;doi=10.1109%2FNMDC50713.2021.9677489&amp;partnerID=40&amp;md5=a495aeb69d3c3a513b03c7330ea93680</t>
  </si>
  <si>
    <t>Microinstrumentation Laboratory, Simon Fraser University, Burnaby, BC, Canada</t>
  </si>
  <si>
    <t>Currie, Chelsey E., Microinstrumentation Laboratory, Simon Fraser University, Burnaby, BC, Canada; Gray, Bonnie Lynne, Microinstrumentation Laboratory, Simon Fraser University, Burnaby, BC, Canada</t>
  </si>
  <si>
    <t>IEEE Nanotechnol. Mater. Devices Conf., NMDC</t>
  </si>
  <si>
    <t>2-s2.0-85125339043</t>
  </si>
  <si>
    <t>10.1109/NMDC50713.2021.9677477</t>
  </si>
  <si>
    <t>https://www.scopus.com/inward/record.uri?eid=2-s2.0-85125330474&amp;doi=10.1109%2FNMDC50713.2021.9677477&amp;partnerID=40&amp;md5=167fce148ae8a71b79469e3c2ee9cd2b</t>
  </si>
  <si>
    <t>2-s2.0-85125330474</t>
  </si>
  <si>
    <t>Chen, Y.; Ma, Z.; Zhou, H.; Zhang, W.</t>
  </si>
  <si>
    <t>Chen, Yanmei (57442069100); Ma, Zehua (57209925050); Zhou, Hang (57192375762); Zhang, Weiming (56459354100)</t>
  </si>
  <si>
    <t>57442069100; 57209925050; 57192375762; 56459354100</t>
  </si>
  <si>
    <t>2021 IEEE International Workshop on Information Forensics and Security, WIFS 2021</t>
  </si>
  <si>
    <t>10.1109/WIFS53200.2021.9648379</t>
  </si>
  <si>
    <t>https://www.scopus.com/inward/record.uri?eid=2-s2.0-85124170983&amp;doi=10.1109%2FWIFS53200.2021.9648379&amp;partnerID=40&amp;md5=df703fdb6e5c637f045c00d012638428</t>
  </si>
  <si>
    <t>Chen, Yanmei, University of Science and Technology of China, Hefei, Anhui, China; Ma, Zehua, University of Science and Technology of China, Hefei, Anhui, China; Zhou, Hang, Simon Fraser University, Burnaby, BC, Canada; Zhang, Weiming, University of Science and Technology of China, Hefei, Anhui, China</t>
  </si>
  <si>
    <t>IEEE Int. Workshop Inf. Forensics Secur., WIFS</t>
  </si>
  <si>
    <t>2-s2.0-85124170983</t>
  </si>
  <si>
    <t>Zang, J.; Wang, J.; Zhang, J.; Zhou, J.; Guo, J.; Xi, D.</t>
  </si>
  <si>
    <t>Zang, Jiajie (57202010045); Wang, Jiacheng R. (55878723400); Zhang, Jianwen (54401835800); Zhou, Jianqiao (57203010121); Guo, Jiahu (23060200600); Xi, Dongmin (51664004800)</t>
  </si>
  <si>
    <t>57202010045; 55878723400; 54401835800; 57203010121; 23060200600; 51664004800</t>
  </si>
  <si>
    <t>Residual Power Transfer Capability Analysis of an MMC-SST under Submodule IGBT Open-Circuit Fault</t>
  </si>
  <si>
    <t>2021 IEEE Energy Conversion Congress and Exposition, ECCE 2021 - Proceedings</t>
  </si>
  <si>
    <t>10.1109/ECCE47101.2021.9595256</t>
  </si>
  <si>
    <t>https://www.scopus.com/inward/record.uri?eid=2-s2.0-85123356753&amp;doi=10.1109%2FECCE47101.2021.9595256&amp;partnerID=40&amp;md5=2d1591fcf25a6f90296ff4ddb015b606</t>
  </si>
  <si>
    <t>School of Mechatronic Systems Engineering, Simon Fraser University, Burnaby, BC, Canada; Department of Electrical Engineering, Shanghai Jiao Tong University, Shanghai, China</t>
  </si>
  <si>
    <t>Zang, Jiajie, School of Mechatronic Systems Engineering, Simon Fraser University, Burnaby, BC, Canada; Wang, Jiacheng R., School of Mechatronic Systems Engineering, Simon Fraser University, Burnaby, BC, Canada; Zhang, Jianwen, Department of Electrical Engineering, Shanghai Jiao Tong University, Shanghai, China; Zhou, Jianqiao, Department of Electrical Engineering, Shanghai Jiao Tong University, Shanghai, China; Guo, Jiahu, School of Mechatronic Systems Engineering, Simon Fraser University, Burnaby, BC, Canada; Xi, Dongmin, School of Mechatronic Systems Engineering, Simon Fraser University, Burnaby, BC, Canada</t>
  </si>
  <si>
    <t>IEEE Energy Convers. Congr. Expo., ECCE - Proc.</t>
  </si>
  <si>
    <t>2-s2.0-85123356753</t>
  </si>
  <si>
    <t>Shelton, E.; Ali, K.; Han, R.; Rogers, D.; Carter, J.; Louco, L.; Beadman, M.; Palmer, P.</t>
  </si>
  <si>
    <t>Shelton, Edward (57195970864); Ali, Kawsar (57205885881); Han, Renke (56581165600); Rogers, Daniel J. (56372705700); Carter, Jeff (57198881715); Louco, Lathom (56015136800); Beadman, Mike (57305554500); Palmer, Patrick R. (55848695200)</t>
  </si>
  <si>
    <t>57195970864; 57205885881; 56581165600; 56372705700; 57198881715; 56015136800; 57305554500; 55848695200</t>
  </si>
  <si>
    <t>Comparison of fast switching high current power devices</t>
  </si>
  <si>
    <t>PCIM Europe Conference Proceedings</t>
  </si>
  <si>
    <t>2021-May</t>
  </si>
  <si>
    <t>https://www.scopus.com/inward/record.uri?eid=2-s2.0-85117736474&amp;partnerID=40&amp;md5=2b692251e5e2791ca49f61f3e74b638b</t>
  </si>
  <si>
    <t>University of Oxford, Oxford, Oxfordshire, United Kingdom; BorgWarner Inc., Auburn Hills, MI, United States; Cambridge Design Partnership, Cambridge, Cambridgeshire, United Kingdom; Simon Fraser University, Burnaby, BC, Canada</t>
  </si>
  <si>
    <t>Shelton, Edward, University of Oxford, Oxford, Oxfordshire, United Kingdom; Ali, Kawsar, University of Oxford, Oxford, Oxfordshire, United Kingdom; Han, Renke, University of Oxford, Oxford, Oxfordshire, United Kingdom; Rogers, Daniel J., University of Oxford, Oxford, Oxfordshire, United Kingdom; Carter, Jeff, BorgWarner Inc., Auburn Hills, MI, United States; Louco, Lathom, BorgWarner Inc., Auburn Hills, MI, United States; Beadman, Mike, Cambridge Design Partnership, Cambridge, Cambridgeshire, United Kingdom; Palmer, Patrick R., Simon Fraser University, Burnaby, BC, Canada</t>
  </si>
  <si>
    <t>E. Shelton; University of Oxford, United Kingdom; email: edward.shelton@eng.ox.ac.uk</t>
  </si>
  <si>
    <t>Mesago PCIM GmbH</t>
  </si>
  <si>
    <t>9783800765416; 9783800762620; 9783800758227; 9783800735051; 9783800755158; 9783800752454; 9783800760916; 9783800746460; 9783800749386; 9783800734313</t>
  </si>
  <si>
    <t>PCIM Eur. Conf. Proc.</t>
  </si>
  <si>
    <t>2-s2.0-85117736474</t>
  </si>
  <si>
    <t>Liu, J.; Lou, J.; Liu, J.; Xiong, L.; Pei, J.; Sun, J.</t>
  </si>
  <si>
    <t>Liu, Jinfei (50061600600); Lou, Jian (57002257800); Liu, Junxu (57216522149); Xiong, Li (47461765600); Pei, Jian (15074136200); Sun, Jimeng (9737233900)</t>
  </si>
  <si>
    <t>50061600600; 57002257800; 57216522149; 47461765600; 15074136200; 9737233900</t>
  </si>
  <si>
    <t>Dealer: An end-to-end model marketplace with differential privacy</t>
  </si>
  <si>
    <t>Proceedings of the VLDB Endowment</t>
  </si>
  <si>
    <t>10.14778/3447689.3447700</t>
  </si>
  <si>
    <t>https://www.scopus.com/inward/record.uri?eid=2-s2.0-85102659336&amp;doi=10.14778%2F3447689.3447700&amp;partnerID=40&amp;md5=0315f19536de8ac3cb99b33b9b536815</t>
  </si>
  <si>
    <t>Zhejiang University, Hangzhou, Zhejiang, China; Emory University, Atlanta, GA, United States; Renmin University of China, Beijing, China; Simon Fraser University, Burnaby, BC, Canada; UIUC, Berkeley, IL, United States</t>
  </si>
  <si>
    <t>Liu, Jinfei, Zhejiang University, Hangzhou, Zhejiang, China; Lou, Jian, Emory University, Atlanta, GA, United States; Liu, Junxu, Renmin University of China, Beijing, China; Xiong, Li, Emory University, Atlanta, GA, United States; Pei, Jian, Simon Fraser University, Burnaby, BC, Canada; Sun, Jimeng, UIUC, Berkeley, IL, United States</t>
  </si>
  <si>
    <t>VLDB Endowment</t>
  </si>
  <si>
    <t>Proc. VLDB Endow.</t>
  </si>
  <si>
    <t>2-s2.0-85102659336</t>
  </si>
  <si>
    <t>Patiño, A.G.; Menon, C.</t>
  </si>
  <si>
    <t>Patiño, Astrid García (57206899285); Menon, Carlo (23989261600)</t>
  </si>
  <si>
    <t>57206899285; 23989261600</t>
  </si>
  <si>
    <t>Inductive textile sensor design and validation for awearable monitoring device</t>
  </si>
  <si>
    <t>Sensors (Switzerland)</t>
  </si>
  <si>
    <t>10.3390/s21010225</t>
  </si>
  <si>
    <t>https://www.scopus.com/inward/record.uri?eid=2-s2.0-85098945461&amp;doi=10.3390%2Fs21010225&amp;partnerID=40&amp;md5=a1da10140790db69506c989f6ea4c267</t>
  </si>
  <si>
    <t>Menrva Research Group, Simon Fraser University, Burnaby, BC, Canada</t>
  </si>
  <si>
    <t>Patiño, Astrid García, Menrva Research Group, Simon Fraser University, Burnaby, BC, Canada; Menon, Carlo, Menrva Research Group, Simon Fraser University, Burnaby, BC, Canada</t>
  </si>
  <si>
    <t>C. Menon; Menrva Research Group, Schools of Mechatronic Systems &amp; Engineering Science, Simon Fraser University, Metro Vancouver, V5A 1S6, Canada; email: cmenon@sfu.ca</t>
  </si>
  <si>
    <t>MDPI AG</t>
  </si>
  <si>
    <t>2-s2.0-85098945461</t>
  </si>
  <si>
    <t>Alzaid, M.; Iqbal, M.Z.; Alam, S.; Almoisheer, N.; Afzal, A.M.; Aftab, S.</t>
  </si>
  <si>
    <t>Alzaid, Meshal M. (57193761447); Iqbal, Muhammad Zahir (59594047700); Alam, Shahid (57213490911); Almoisheer, Noha (57205387043); Afzal, Amir Muhammad (57200106539); Aftab, Sikandar (57200114034)</t>
  </si>
  <si>
    <t>57193761447; 59594047700; 57213490911; 57205387043; 57200106539; 57200114034</t>
  </si>
  <si>
    <t>Journal of Energy Storage</t>
  </si>
  <si>
    <t>10.1016/j.est.2020.102020</t>
  </si>
  <si>
    <t>https://www.scopus.com/inward/record.uri?eid=2-s2.0-85097040257&amp;doi=10.1016%2Fj.est.2020.102020&amp;partnerID=40&amp;md5=79d0a0306c288a45af9944cb78fe5474</t>
  </si>
  <si>
    <t>Physics Department College of Science, Jouf University, Sakakah, Al Jawf, Saudi Arabia; Nanotechnology Research Laboratory, Ghulam Ishaq Khan Institute of Engineering Sciences and Technology, Topi, Khyber Pakhtunkhwa, Pakistan; Department of Electrical and Biological Physics, Kwangwoon University, Seoul, South Korea; Department of Engineering, Simon Fraser University, Burnaby, BC, Canada</t>
  </si>
  <si>
    <t>Alzaid, Meshal M., Physics Department College of Science, Jouf University, Sakakah, Al Jawf, Saudi Arabia; Iqbal, Muhammad Zahir, Nanotechnology Research Laboratory, Ghulam Ishaq Khan Institute of Engineering Sciences and Technology, Topi, Khyber Pakhtunkhwa, Pakistan; Alam, Shahid, Nanotechnology Research Laboratory, Ghulam Ishaq Khan Institute of Engineering Sciences and Technology, Topi, Khyber Pakhtunkhwa, Pakistan; Almoisheer, Noha, Physics Department College of Science, Jouf University, Sakakah, Al Jawf, Saudi Arabia; Afzal, Amir Muhammad, Department of Electrical and Biological Physics, Kwangwoon University, Seoul, South Korea; Aftab, Sikandar, Department of Engineering, Simon Fraser University, Burnaby, BC, Canada</t>
  </si>
  <si>
    <t>M. Alzaid; Physics Department College of Science, Jouf University, Al Jouf, P.O. Box 2014, Saudi Arabia; email: mmalzaid@ju.edu.sa</t>
  </si>
  <si>
    <t>J. Energy Storage</t>
  </si>
  <si>
    <t>2-s2.0-85097040257</t>
  </si>
  <si>
    <t>Jia, Y.; Zhang, Z.G.; Tang, L.</t>
  </si>
  <si>
    <t>Jia, Yanhe (56927325200); Zhang, Zhe George (57216960787); Tang, Lixin (12765385200)</t>
  </si>
  <si>
    <t>56927325200; 57216960787; 12765385200</t>
  </si>
  <si>
    <t>M/PH/C queue under a congestion-based staffing policy with applications in steel industry operations</t>
  </si>
  <si>
    <t>International Journal of Production Research</t>
  </si>
  <si>
    <t>10.1080/00207543.2020.1735656</t>
  </si>
  <si>
    <t>https://www.scopus.com/inward/record.uri?eid=2-s2.0-85081346072&amp;doi=10.1080%2F00207543.2020.1735656&amp;partnerID=40&amp;md5=4ee35d63e6782fca3a55849a6bc90ff0</t>
  </si>
  <si>
    <t>School of Economics and Management, Beijing Information Science &amp; Technology University, Beijing, China; Engineering Laboratory of Operations Analytics and Optimization for Smart Industry, Liaoning Province, Northeastern University, Shenyang, Liaoning, China; Engineering Laboratory of Operations Analytics and Optimization for Smart Industry, Liaoning Province, Northeastern University, Shenyang, Liaoning, China; Beedie School of Business, Burnaby, BC, Canada; Department of Decision Sciences, Western Washington University, Bellingham, WA, United States</t>
  </si>
  <si>
    <t>Jia, Yanhe, School of Economics and Management, Beijing Information Science &amp; Technology University, Beijing, China, Engineering Laboratory of Operations Analytics and Optimization for Smart Industry, Liaoning Province, Northeastern University, Shenyang, Liaoning, China, Engineering Laboratory of Operations Analytics and Optimization for Smart Industry, Liaoning Province, Northeastern University, Shenyang, Liaoning, China; Zhang, Zhe George, Beedie School of Business, Burnaby, BC, Canada, Department of Decision Sciences, Western Washington University, Bellingham, WA, United States; Tang, Lixin, Engineering Laboratory of Operations Analytics and Optimization for Smart Industry, Liaoning Province, Northeastern University, Shenyang, Liaoning, China, Engineering Laboratory of Operations Analytics and Optimization for Smart Industry, Liaoning Province, Northeastern University, Shenyang, Liaoning, China</t>
  </si>
  <si>
    <t>L. Tang; Key Laboratory of Data Analytics and Optimization for Smart Industry (Northeastern University), Ministry of Education, China; email: lixintang@ise.neu.edu.cn</t>
  </si>
  <si>
    <t>Taylor and Francis Ltd.</t>
  </si>
  <si>
    <t>IJPRB</t>
  </si>
  <si>
    <t>Int J Prod Res</t>
  </si>
  <si>
    <t>2-s2.0-85081346072</t>
  </si>
  <si>
    <t>Jacks, D.S.; Tang, J.P.</t>
  </si>
  <si>
    <t>Jacks, David S. (8574630800); Tang, John P. (60342357800)</t>
  </si>
  <si>
    <t>8574630800; 60342357800</t>
  </si>
  <si>
    <t>Trade and Immigration</t>
  </si>
  <si>
    <t>The Cambridge Economic History of the Modern World: Volume 2, 1870 to the Present</t>
  </si>
  <si>
    <t>10.1017/9781316671603.018</t>
  </si>
  <si>
    <t>https://www.scopus.com/inward/record.uri?eid=2-s2.0-105028059670&amp;doi=10.1017%2F9781316671603.018&amp;partnerID=40&amp;md5=c3e1b3ca0feb7e054cf1a5c19495bc3b</t>
  </si>
  <si>
    <t>Department of Economics, Simon Fraser University, Burnaby, BC, Canada; Department of Economics, Melbourne, VIC, Australia</t>
  </si>
  <si>
    <t>Jacks, David S., Department of Economics, Simon Fraser University, Burnaby, BC, Canada; Tang, John P., Department of Economics, Melbourne, VIC, Australia</t>
  </si>
  <si>
    <t>9781107159488; 9781316671603</t>
  </si>
  <si>
    <t>The Camb. Economic History of the Modern World: Volume 2, 1870 to the Present</t>
  </si>
  <si>
    <t>2-s2.0-105028059670</t>
  </si>
  <si>
    <t>Iqbal, M.Z.; Khan, J.; Awan, H.T.A.; Alzaid, M.; Afzal, A.M.; Aftab, S.</t>
  </si>
  <si>
    <t>Iqbal, Muhammad Zahir (59594047700); Khan, Junaid Ahmad (57220763239); Awan, Hafiz Taimoor Ahmed (57953063900); Alzaid, Meshal M. (57193761447); Afzal, Amir Muhammad (57200106539); Aftab, Sikandar (57200114034)</t>
  </si>
  <si>
    <t>59594047700; 57220763239; 57953063900; 57193761447; 57200106539; 57200114034</t>
  </si>
  <si>
    <t>Cobalt-manganese-zinc ternary phosphate for high performance supercapattery devices</t>
  </si>
  <si>
    <t>Dalton Transactions</t>
  </si>
  <si>
    <t>10.1039/d0dt03313h</t>
  </si>
  <si>
    <t>https://www.scopus.com/inward/record.uri?eid=2-s2.0-85097587342&amp;doi=10.1039%2Fd0dt03313h&amp;partnerID=40&amp;md5=2a98746b8bdf7189e623ca6b7aee8ee5</t>
  </si>
  <si>
    <t>Nanotechnology Research Laboratory, Ghulam Ishaq Khan Institute of Engineering Sciences and Technology, Topi, Khyber Pakhtunkhwa, Pakistan; Faculty of Engineering Sciences, Ghulam Ishaq Khan Institute of Engineering Sciences and Technology, Topi, Khyber Pakhtunkhwa, Pakistan; Department of Physics, Jouf University, Sakakah, Al Jawf, Saudi Arabia; Department of Electrical and Biological Physics, Kwangwoon University, Seoul, South Korea; Department of Engineering, Simon Fraser University, Burnaby, BC, Canada</t>
  </si>
  <si>
    <t>Iqbal, Muhammad Zahir, Nanotechnology Research Laboratory, Ghulam Ishaq Khan Institute of Engineering Sciences and Technology, Topi, Khyber Pakhtunkhwa, Pakistan; Khan, Junaid Ahmad, Nanotechnology Research Laboratory, Ghulam Ishaq Khan Institute of Engineering Sciences and Technology, Topi, Khyber Pakhtunkhwa, Pakistan; Awan, Hafiz Taimoor Ahmed, Faculty of Engineering Sciences, Ghulam Ishaq Khan Institute of Engineering Sciences and Technology, Topi, Khyber Pakhtunkhwa, Pakistan; Alzaid, Meshal M., Department of Physics, Jouf University, Sakakah, Al Jawf, Saudi Arabia; Afzal, Amir Muhammad, Department of Electrical and Biological Physics, Kwangwoon University, Seoul, South Korea; Aftab, Sikandar, Department of Engineering, Simon Fraser University, Burnaby, BC, Canada</t>
  </si>
  <si>
    <t>M.Z. Iqbal; Nanotechnology Research Laboratory, Faculty of Engineering Sciences, GIK Institute of Engineering Sciences and Technology, Topi, Khyber Pakhtunkhwa, 23640, Pakistan; email: zahir.upc@gmail.com</t>
  </si>
  <si>
    <t>DTARA</t>
  </si>
  <si>
    <t>Dalton Trans.</t>
  </si>
  <si>
    <t>2-s2.0-85097587342</t>
  </si>
  <si>
    <t>Min, X.; Kim, W.S.</t>
  </si>
  <si>
    <t>Min, Xin (57200558036); Kim, Woo Soo (17136903100)</t>
  </si>
  <si>
    <t>57200558036; 17136903100</t>
  </si>
  <si>
    <t>Artificial Xylem Chip: A Three-Dimensionally Printed Vertical Digital Microfluidic Platform</t>
  </si>
  <si>
    <t>Langmuir</t>
  </si>
  <si>
    <t>10.1021/acs.langmuir.0c02868</t>
  </si>
  <si>
    <t>https://www.scopus.com/inward/record.uri?eid=2-s2.0-85097578587&amp;doi=10.1021%2Facs.langmuir.0c02868&amp;partnerID=40&amp;md5=2cbe216e35f5d61e1e235f2294d45709</t>
  </si>
  <si>
    <t>Min, Xin, Additive Manufacturing Laboratory, Simon Fraser University, Burnaby, BC, Canada; Kim, Woo Soo, Additive Manufacturing Laboratory, Simon Fraser University, Burnaby, BC, Canada</t>
  </si>
  <si>
    <t>LANGD</t>
  </si>
  <si>
    <t>2-s2.0-85097578587</t>
  </si>
  <si>
    <t>Anvaripour, M.; Khoshnam, M.; Menon, C.; Saif, M.</t>
  </si>
  <si>
    <t>Anvaripour, Mohammad (37080076100); Khoshnam, Mahta (55324740600); Menon, Carlo (23989261600); Saif, Mehrdad (7103101428)</t>
  </si>
  <si>
    <t>37080076100; 55324740600; 23989261600; 7103101428</t>
  </si>
  <si>
    <t>Frontiers in Robotics and AI</t>
  </si>
  <si>
    <t>10.3389/frobt.2020.573096</t>
  </si>
  <si>
    <t>https://www.scopus.com/inward/record.uri?eid=2-s2.0-85097787430&amp;doi=10.3389%2Ffrobt.2020.573096&amp;partnerID=40&amp;md5=c4cb8b30ba3548fee7eae7bcffd8a850</t>
  </si>
  <si>
    <t>Department of Electrical &amp; Computer Engineering, University of Windsor, Windsor, ON, Canada; Menrva Research Group, Simon Fraser University, Burnaby, BC, Canada</t>
  </si>
  <si>
    <t>Anvaripour, Mohammad, Department of Electrical &amp; Computer Engineering, University of Windsor, Windsor, ON, Canada; Khoshnam, Mahta, Menrva Research Group, Simon Fraser University, Burnaby, BC, Canada; Menon, Carlo, Menrva Research Group, Simon Fraser University, Burnaby, BC, Canada; Saif, Mehrdad, Department of Electrical &amp; Computer Engineering, University of Windsor, Windsor, ON, Canada</t>
  </si>
  <si>
    <t>C. Menon; Menrva Research Group, Schools of Mechatronic System and Engineering Science, Simon Fraser University, Vancouver, Canada; email: cmenon@sfu.ca</t>
  </si>
  <si>
    <t>Front. Robot. AI</t>
  </si>
  <si>
    <t>2-s2.0-85097787430</t>
  </si>
  <si>
    <t>Mohammadaliha, N.; Amani, M.; Bahrami, M.</t>
  </si>
  <si>
    <t>Mohammadaliha, Negar (56781531000); Amani, Mohammad (56239028500); Bahrami, Majid M. (35499001600)</t>
  </si>
  <si>
    <t>56781531000; 56239028500; 35499001600</t>
  </si>
  <si>
    <t>Cleaner Engineering and Technology</t>
  </si>
  <si>
    <t>10.1016/j.clet.2020.100024</t>
  </si>
  <si>
    <t>https://www.scopus.com/inward/record.uri?eid=2-s2.0-85116019459&amp;doi=10.1016%2Fj.clet.2020.100024&amp;partnerID=40&amp;md5=26bf044600b08af5c822169c469ec4e0</t>
  </si>
  <si>
    <t>Mohammadaliha, Negar, School of Mechatronic Systems Engineering, Simon Fraser University, Burnaby, BC, Canada; Amani, Mohammad, School of Mechatronic Systems Engineering, Simon Fraser University, Burnaby, BC, Canada; Bahrami, Majid M., School of Mechatronic Systems Engineering, Simon Fraser University, Burnaby, BC, Canada</t>
  </si>
  <si>
    <t>Clean. Eng. Technol.</t>
  </si>
  <si>
    <t>2-s2.0-85116019459</t>
  </si>
  <si>
    <t>Stevens, D.M.; Gray, B.L.; Leznoff, D.B.; Furukawa, H.; Khosla, A.</t>
  </si>
  <si>
    <t>Stevens, David M. (57197493576); Gray, Bonnie Lynne (7202782646); Leznoff, Daniel B. (6701478446); Furukawa, Hidemitsu (7401781511); Khosla, Ajit (26423760200)</t>
  </si>
  <si>
    <t>57197493576; 7202782646; 6701478446; 7401781511; 26423760200</t>
  </si>
  <si>
    <t>3D printable vapochromic sensing materials</t>
  </si>
  <si>
    <t>10.1149/1945-7111/abc99e</t>
  </si>
  <si>
    <t>https://www.scopus.com/inward/record.uri?eid=2-s2.0-85097583508&amp;doi=10.1149%2F1945-7111%2Fabc99e&amp;partnerID=40&amp;md5=00fbb0ef9adadf2645ef36802c865282</t>
  </si>
  <si>
    <t>School of Engineering Science, Simon Fraser University, Burnaby, BC, Canada; Department of Chemistry, Simon Fraser University, Burnaby, BC, Canada; Department of Mechanical Systems Engineering, Yamagata University, Yamagata, Yamagata, Japan</t>
  </si>
  <si>
    <t>Stevens, David M., School of Engineering Science, Simon Fraser University, Burnaby, BC, Canada; Gray, Bonnie Lynne, School of Engineering Science, Simon Fraser University, Burnaby, BC, Canada; Leznoff, Daniel B., Department of Chemistry, Simon Fraser University, Burnaby, BC, Canada; Furukawa, Hidemitsu, Department of Mechanical Systems Engineering, Yamagata University, Yamagata, Yamagata, Japan; Khosla, Ajit, Department of Mechanical Systems Engineering, Yamagata University, Yamagata, Yamagata, Japan</t>
  </si>
  <si>
    <t>2-s2.0-85097583508</t>
  </si>
  <si>
    <t>Cao, Y.; Sheyfer, D.; Jiang, Z.; Maddali, S.; You, H.; Wang, B.-X.; Ye, Z.-G.; Dufresne, E.M.; Zhou, H.; Stephenson, G.; Hruszkewycz, S.O.</t>
  </si>
  <si>
    <t>Cao, Yue (57201877721); Sheyfer, Dina V. (56928369000); Jiang, Zhang (8669859100); Maddali, Siddharth (57045870900); You, Hoydoo (7101663704); Wang, Bixia (57205341535); Ye, Zuo Guang (24443034100); Dufresne, Eric M. (59677872600); Zhou, Hua (57213186428); Stephenson, Gregory Brian (7101608218); Hruszkewycz, Stephan O. (16834951300)</t>
  </si>
  <si>
    <t>57201877721; 56928369000; 8669859100; 57045870900; 7101663704; 57205341535; 24443034100; 59677872600; 57213186428; 7101608218; 16834951300</t>
  </si>
  <si>
    <t>The effect of intensity fluctuations on sequential x-ray photon correlation spectroscopy at the x-ray free electron laser facilities</t>
  </si>
  <si>
    <t>Crystals</t>
  </si>
  <si>
    <t>10.3390/cryst10121109</t>
  </si>
  <si>
    <t>https://www.scopus.com/inward/record.uri?eid=2-s2.0-85097136385&amp;doi=10.3390%2Fcryst10121109&amp;partnerID=40&amp;md5=9a860d2fc58d095d3f851db1bf8e6aed</t>
  </si>
  <si>
    <t>Materials Science Division, Argonne National Laboratory, Lemont, IL, United States; The Advanced Photon Source, Lemont, IL, United States; Department of Chemistry and 4D LABS, Simon Fraser University, Burnaby, BC, Canada</t>
  </si>
  <si>
    <t>Cao, Yue, Materials Science Division, Argonne National Laboratory, Lemont, IL, United States; Sheyfer, Dina V., Materials Science Division, Argonne National Laboratory, Lemont, IL, United States; Jiang, Zhang, The Advanced Photon Source, Lemont, IL, United States; Maddali, Siddharth, Materials Science Division, Argonne National Laboratory, Lemont, IL, United States; You, Hoydoo, Materials Science Division, Argonne National Laboratory, Lemont, IL, United States; Wang, Bixia, Materials Science Division, Argonne National Laboratory, Lemont, IL, United States, Department of Chemistry and 4D LABS, Simon Fraser University, Burnaby, BC, Canada; Ye, Zuo Guang, Department of Chemistry and 4D LABS, Simon Fraser University, Burnaby, BC, Canada; Dufresne, Eric M., The Advanced Photon Source, Lemont, IL, United States; Zhou, Hua, The Advanced Photon Source, Lemont, IL, United States; Stephenson, Gregory Brian, Materials Science Division, Argonne National Laboratory, Lemont, IL, United States; Hruszkewycz, Stephan O., Materials Science Division, Argonne National Laboratory, Lemont, IL, United States</t>
  </si>
  <si>
    <t>Y. Cao; Materials Science Division, Argonne National Laboratory, Lemont, 60439, United States; email: yue.cao@anl.gov</t>
  </si>
  <si>
    <t>2-s2.0-85097136385</t>
  </si>
  <si>
    <t>Cermak, M.; Perez, N.; Collins, M.; Bahrami, M.</t>
  </si>
  <si>
    <t>Cermak, Martin (57193993567); Perez, Nicolas (57219663938); Collins, Michael R. (7404083839); Bahrami, Majid M. (35499001600)</t>
  </si>
  <si>
    <t>57193993567; 57219663938; 7404083839; 35499001600</t>
  </si>
  <si>
    <t>10.1038/s41598-020-75393-y</t>
  </si>
  <si>
    <t>https://www.scopus.com/inward/record.uri?eid=2-s2.0-85094668236&amp;doi=10.1038%2Fs41598-020-75393-y&amp;partnerID=40&amp;md5=76172ca4adccd1550326b9af2786271f</t>
  </si>
  <si>
    <t>Laboratory for Alternative Energy Conversion (LAEC), Simon Fraser University, Burnaby, BC, Canada; INSA Lyon, Villeurbanne, Auvergne-Rhone-Alpes, France; Department of Mechanical and Mechatronics Engineering, University of Waterloo, Waterloo, ON, Canada</t>
  </si>
  <si>
    <t>Cermak, Martin, Laboratory for Alternative Energy Conversion (LAEC), Simon Fraser University, Burnaby, BC, Canada; Perez, Nicolas, Laboratory for Alternative Energy Conversion (LAEC), Simon Fraser University, Burnaby, BC, Canada, INSA Lyon, Villeurbanne, Auvergne-Rhone-Alpes, France; Collins, Michael R., Department of Mechanical and Mechatronics Engineering, University of Waterloo, Waterloo, ON, Canada; Bahrami, Majid M., Laboratory for Alternative Energy Conversion (LAEC), Simon Fraser University, Burnaby, BC, Canada</t>
  </si>
  <si>
    <t>M. Cermak; Laboratory for Alternative Energy Conversion, School of Mechatronic Systems Engineering, Faculty of Applied Science, Simon Fraser University, Surrey, 250-13450 102 Avenue, V3T 0A3, Canada; email: mcermak@sfu.ca; M. Bahrami; Laboratory for Alternative Energy Conversion, School of Mechatronic Systems Engineering, Faculty of Applied Science, Simon Fraser University, Surrey, 250-13450 102 Avenue, V3T 0A3, Canada; email: mbahrami@sfu.ca</t>
  </si>
  <si>
    <t>Nature Research subscriptions@nature.com</t>
  </si>
  <si>
    <t>2-s2.0-85094668236</t>
  </si>
  <si>
    <t>Raymakers, A.J.N.; Costa, S.; Cameron, D.; Regier, D.A.</t>
  </si>
  <si>
    <t>Raymakers, Adam J.N. (54684780900); Costa, Sarah (57191845072); Cameron, David (57219453653); Regier, Dean A. (57218216743)</t>
  </si>
  <si>
    <t>54684780900; 57191845072; 57219453653; 57218216743</t>
  </si>
  <si>
    <t>Cost-effectiveness of brentuximab vedotin in advanced stage Hodgkin’s lymphoma: a probabilistic analysis</t>
  </si>
  <si>
    <t>BMC Cancer</t>
  </si>
  <si>
    <t>10.1186/s12885-020-07374-3</t>
  </si>
  <si>
    <t>https://www.scopus.com/inward/record.uri?eid=2-s2.0-85092768345&amp;doi=10.1186%2Fs12885-020-07374-3&amp;partnerID=40&amp;md5=4b72132d509be70cbb84c817e89f858f</t>
  </si>
  <si>
    <t>Health Economics Analytic Support and Research Unit (HEASRU), British Columbia Cancer Agency, Vancouver, BC, Canada; Canadian Centre for Applied Research in Cancer Control, BC Cancer Research Centre, Vancouver, BC, Canada; Faculty of Health Sciences, Simon Fraser University, Burnaby, BC, Canada; School of Population and Public Health, The University of British Columbia, Vancouver, BC, Canada</t>
  </si>
  <si>
    <t>Raymakers, Adam J.N., Health Economics Analytic Support and Research Unit (HEASRU), British Columbia Cancer Agency, Vancouver, BC, Canada, Canadian Centre for Applied Research in Cancer Control, BC Cancer Research Centre, Vancouver, BC, Canada, Faculty of Health Sciences, Simon Fraser University, Burnaby, BC, Canada; Costa, Sarah, Canadian Centre for Applied Research in Cancer Control, BC Cancer Research Centre, Vancouver, BC, Canada; Cameron, David, Health Economics Analytic Support and Research Unit (HEASRU), British Columbia Cancer Agency, Vancouver, BC, Canada, Canadian Centre for Applied Research in Cancer Control, BC Cancer Research Centre, Vancouver, BC, Canada; Regier, Dean A., Health Economics Analytic Support and Research Unit (HEASRU), British Columbia Cancer Agency, Vancouver, BC, Canada, Canadian Centre for Applied Research in Cancer Control, BC Cancer Research Centre, Vancouver, BC, Canada, School of Population and Public Health, The University of British Columbia, Vancouver, BC, Canada</t>
  </si>
  <si>
    <t>A.J.N. Raymakers; Health Economics Analytic Support and Research Unit (HEASRU), BC Cancer, Vancouver, Canada; email: araymakers@bccrc.ca</t>
  </si>
  <si>
    <t>BCMAC</t>
  </si>
  <si>
    <t>2-s2.0-85092768345</t>
  </si>
  <si>
    <t>Rezek, Z.; Holdaway, S.J.; Olszewski, D.I.; Lin, S.C.; Douglass, M.; McPherron, S.P.; Ioviţǎ, R.; Braun, D.R.; Sandgathe, D.</t>
  </si>
  <si>
    <t>Rezek, Zeljko (26647716500); Holdaway, Simon J. (6603091783); Olszewski, Deborah I. (26032261900); Lin, Sam C. (55579447400); Douglass, Matthew J. (24721411100); McPherron, Shannon Patrick P. (6506777264); Ioviţǎ, Radu P. (6506567945); Braun, David R. (23972180300); Sandgathe, Dennis M. (6506827825)</t>
  </si>
  <si>
    <t>26647716500; 6603091783; 26032261900; 55579447400; 24721411100; 6506777264; 6506567945; 23972180300; 6506827825</t>
  </si>
  <si>
    <t>Aggregates, Formational Emergence, and the Focus on Practice in Stone Artifact Archaeology</t>
  </si>
  <si>
    <t>Journal of Archaeological Method and Theory</t>
  </si>
  <si>
    <t>10.1007/s10816-020-09445-y</t>
  </si>
  <si>
    <t>https://www.scopus.com/inward/record.uri?eid=2-s2.0-85079147360&amp;doi=10.1007%2Fs10816-020-09445-y&amp;partnerID=40&amp;md5=cbd7d18a587b5f968928b635cfe3352a</t>
  </si>
  <si>
    <t>Department of Human Evolution, Max-Planck-Institut für Evolutionäre Anthropologie, Leipzig, Sachsen, Germany; University of Pennsylvania, Philadelphia, PA, United States; School of Social Sciences, University of Auckland, Auckland, AUK, New Zealand; Department of Anthropology, University of Pennsylvania, Philadelphia, PA, United States; Faculty of Science, Medicine and Health, Wollongong, NSW, Australia; University of Wollongong, Wollongong, NSW, Australia; Department of Anthropology, University of Nebraska–Lincoln, Lincoln, NE, United States; Center for the Study of Human Origins, New York University, New York, NY, United States; Department of Early Prehistory and Quaternary Ecology, Eberhard Karls Universität Tübingen, Tubingen, Baden-Wurttemberg, Germany; Department of Anthropology, The George Washington University, Washington, D.C., United States; Archaeology Department, University of Cape Town, Cape Town, Western Cape, South Africa; Department of Anthropology, Simon Fraser University, Burnaby, BC, Canada</t>
  </si>
  <si>
    <t>Rezek, Zeljko, Department of Human Evolution, Max-Planck-Institut für Evolutionäre Anthropologie, Leipzig, Sachsen, Germany, University of Pennsylvania, Philadelphia, PA, United States; Holdaway, Simon J., School of Social Sciences, University of Auckland, Auckland, AUK, New Zealand; Olszewski, Deborah I., Department of Anthropology, University of Pennsylvania, Philadelphia, PA, United States; Lin, Sam C., Faculty of Science, Medicine and Health, Wollongong, NSW, Australia, University of Wollongong, Wollongong, NSW, Australia; Douglass, Matthew J., Department of Anthropology, University of Nebraska–Lincoln, Lincoln, NE, United States; McPherron, Shannon Patrick P., Department of Human Evolution, Max-Planck-Institut für Evolutionäre Anthropologie, Leipzig, Sachsen, Germany; Ioviţǎ, Radu P., Center for the Study of Human Origins, New York University, New York, NY, United States, Department of Early Prehistory and Quaternary Ecology, Eberhard Karls Universität Tübingen, Tubingen, Baden-Wurttemberg, Germany; Braun, David R., Department of Human Evolution, Max-Planck-Institut für Evolutionäre Anthropologie, Leipzig, Sachsen, Germany, Department of Anthropology, The George Washington University, Washington, D.C., United States, Archaeology Department, University of Cape Town, Cape Town, Western Cape, South Africa; Sandgathe, Dennis M., Department of Anthropology, Simon Fraser University, Burnaby, BC, Canada</t>
  </si>
  <si>
    <t>Z. Rezek; Department of Human Evolution, Max Planck Institute for Evolutionary Anthropology, Leipzig, 04103, Germany; email: zeljko_rezek@eva.mpg.de</t>
  </si>
  <si>
    <t>J. Archaeol. Method and Theory</t>
  </si>
  <si>
    <t>2-s2.0-85079147360</t>
  </si>
  <si>
    <t>Ghodratnama, A.; Arbabi, H.R.; Azaron, A.</t>
  </si>
  <si>
    <t>Ghodratnama, Ali (9843487600); Arbabi, Hamidreza R. (57202095249); Azaron, Amir (6602891469)</t>
  </si>
  <si>
    <t>9843487600; 57202095249; 6602891469</t>
  </si>
  <si>
    <t>A bi˗objective hub location-allocation model considering congestion</t>
  </si>
  <si>
    <t>Operational Research</t>
  </si>
  <si>
    <t>10.1007/s12351-018-0404-3</t>
  </si>
  <si>
    <t>https://www.scopus.com/inward/record.uri?eid=2-s2.0-85047125097&amp;doi=10.1007%2Fs12351-018-0404-3&amp;partnerID=40&amp;md5=757dbb0e1bfafbfeecbb99215747a231</t>
  </si>
  <si>
    <t>Department of Industrial Engineering, Kharazmi University, Tehran, Tehran, Iran; Beedie School of Business, Burnaby, BC, Canada; Department of Industrial Engineering, İstanbul Şehir Üniversitesi, Istanbul, Turkey; School of Business, Kwantlen Polytechnic University, Surrey, BC, Canada</t>
  </si>
  <si>
    <t>Ghodratnama, Ali, Department of Industrial Engineering, Kharazmi University, Tehran, Tehran, Iran; Arbabi, Hamidreza R., Department of Industrial Engineering, Kharazmi University, Tehran, Tehran, Iran; Azaron, Amir, Beedie School of Business, Burnaby, BC, Canada, Department of Industrial Engineering, İstanbul Şehir Üniversitesi, Istanbul, Turkey, School of Business, Kwantlen Polytechnic University, Surrey, BC, Canada</t>
  </si>
  <si>
    <t>A. Azaron; Beedie School of Business, Simon Fraser University, Vancouver, Canada; email: aazaron@sfu.ca</t>
  </si>
  <si>
    <t>Springer Science and Business Media Deutschland GmbH info@springer-sbm.com</t>
  </si>
  <si>
    <t>Oper. Res.</t>
  </si>
  <si>
    <t>2-s2.0-85047125097</t>
  </si>
  <si>
    <t>Khattra, N.S.; Bhattacharya, S.; Lauritzen, M.; Kjeang, E.</t>
  </si>
  <si>
    <t>Khattra, Narinder Singh (55225997200); Bhattacharya, Sandeep (57199365848); Lauritzen, Michael V. (55599157300); Kjeang, Erik (16066971400)</t>
  </si>
  <si>
    <t>55225997200; 57199365848; 55599157300; 16066971400</t>
  </si>
  <si>
    <t>10.1016/j.jpowsour.2020.228714</t>
  </si>
  <si>
    <t>https://www.scopus.com/inward/record.uri?eid=2-s2.0-85089472093&amp;doi=10.1016%2Fj.jpowsour.2020.228714&amp;partnerID=40&amp;md5=e0b525feb7ac6ca2e4c8f2c0e58cd626</t>
  </si>
  <si>
    <t>Fuel Cell Research Laboratory (FCReL), Simon Fraser University, Burnaby, BC, Canada; Ballard Power Systems, Burnaby, BC, Canada</t>
  </si>
  <si>
    <t>Khattra, Narinder Singh, Fuel Cell Research Laboratory (FCReL), Simon Fraser University, Burnaby, BC, Canada, Ballard Power Systems, Burnaby, BC, Canada; Bhattacharya, Sandeep, Fuel Cell Research Laboratory (FCReL), Simon Fraser University, Burnaby, BC, Canada, Ballard Power Systems, Burnaby, BC, Canada; Lauritzen, Michael V., Ballard Power Systems, Burnaby, BC, Canada; Kjeang, Erik, Fuel Cell Research Laboratory (FCReL), Simon Fraser University, Burnaby, BC, Canada</t>
  </si>
  <si>
    <t>E. Kjeang; Fuel Cell Research Laboratory (FCReL), School of Mechatronic Systems Engineering, Simon Fraser University, Surrey, 250-13450 102 Avenue, V3T 0A3, Canada; email: ekjeang@sfu.ca</t>
  </si>
  <si>
    <t>2-s2.0-85089472093</t>
  </si>
  <si>
    <t>Mahdavi-Amiri, A.; Yu, F.; Zhao, H.; Schulz, A.; Zhang, H.</t>
  </si>
  <si>
    <t>Mahdavi-Amiri, Ali (54682122600); Yu, Fenggen (57195302065); Zhao, Haisen (36474051200); Schulz, Adriana (36015871600); Zhang, Hao Richard (55685656900)</t>
  </si>
  <si>
    <t>54682122600; 57195302065; 36474051200; 36015871600; 55685656900</t>
  </si>
  <si>
    <t>VDAC: Volume Decompose-and-Carve for Subtractive Manufacturing</t>
  </si>
  <si>
    <t>ACM Transactions on Graphics</t>
  </si>
  <si>
    <t>10.1145/3414685.3417772</t>
  </si>
  <si>
    <t>https://www.scopus.com/inward/record.uri?eid=2-s2.0-85097347681&amp;doi=10.1145%2F3414685.3417772&amp;partnerID=40&amp;md5=75702d19cf1b5828011db5eeb7524e6b</t>
  </si>
  <si>
    <t>Simon Fraser University, Burnaby, BC, Canada; Shandong University, Jinan, Shandong, China</t>
  </si>
  <si>
    <t>Mahdavi-Amiri, Ali, Simon Fraser University, Burnaby, BC, Canada; Yu, Fenggen, Simon Fraser University, Burnaby, BC, Canada; Zhao, Haisen, Shandong University, Jinan, Shandong, China; Schulz, Adriana, Shandong University, Jinan, Shandong, China; Zhang, Hao Richard, Simon Fraser University, Burnaby, BC, Canada</t>
  </si>
  <si>
    <t>H. Zhao; University of Washington, Shandong University, United States; email: haisen@cs.washington.edu</t>
  </si>
  <si>
    <t>9781450304399; 9781605588582; 9781450309431; 9781450342797; 9781450333313</t>
  </si>
  <si>
    <t>ATGRD</t>
  </si>
  <si>
    <t>ACM Trans Graphics</t>
  </si>
  <si>
    <t>2-s2.0-85097347681</t>
  </si>
  <si>
    <t>Araneda, G.; Cerchiari, G.; Higginbottom, D.B.; Holz, P.C.; Lakhmanskiy, K.; Obšil, P.; Colombe, Y.; Blatt, R.</t>
  </si>
  <si>
    <t>Araneda, Gabriel (55511606800); Cerchiari, Giovanni (54418538800); Higginbottom, Daniel B. (55330606100); Holz, Philip C. (54894966300); Lakhmanskiy, Kirill E. (56449252900); Obšil, Petr (57193207403); Colombe, Yves (7801687050); Blatt, Rainer (7004893102)</t>
  </si>
  <si>
    <t>55511606800; 54418538800; 55330606100; 54894966300; 56449252900; 57193207403; 7801687050; 7004893102</t>
  </si>
  <si>
    <t>The Panopticon device: An integrated Paul-trap-hemispherical mirror system for quantum optics</t>
  </si>
  <si>
    <t>Review of Scientific Instruments</t>
  </si>
  <si>
    <t>10.1063/5.0020661</t>
  </si>
  <si>
    <t>https://www.scopus.com/inward/record.uri?eid=2-s2.0-85096242767&amp;doi=10.1063%2F5.0020661&amp;partnerID=40&amp;md5=07b6c2d133019ba75bf9289d8a908a1b</t>
  </si>
  <si>
    <t>Institute of Experimental Physics, Universität Innsbruck, Innsbruck, Tyrol, Austria; Department of Physics, Simon Fraser University, Burnaby, BC, Canada; Department of Optics, Palacký University Olomouc, Olomouc, Olomouc Region, Czech Republic; Institut für Quantenoptik und Quanteninformation, Osterreichische Akademie Der Wissenschaften, Vienna, Vienna, Austria</t>
  </si>
  <si>
    <t>Araneda, Gabriel, Institute of Experimental Physics, Universität Innsbruck, Innsbruck, Tyrol, Austria; Cerchiari, Giovanni, Institute of Experimental Physics, Universität Innsbruck, Innsbruck, Tyrol, Austria; Higginbottom, Daniel B., Department of Physics, Simon Fraser University, Burnaby, BC, Canada; Holz, Philip C., Institute of Experimental Physics, Universität Innsbruck, Innsbruck, Tyrol, Austria; Lakhmanskiy, Kirill E., Institute of Experimental Physics, Universität Innsbruck, Innsbruck, Tyrol, Austria; Obšil, Petr, Department of Optics, Palacký University Olomouc, Olomouc, Olomouc Region, Czech Republic; Colombe, Yves, Institute of Experimental Physics, Universität Innsbruck, Innsbruck, Tyrol, Austria; Blatt, Rainer, Institute of Experimental Physics, Universität Innsbruck, Innsbruck, Tyrol, Austria, Institut für Quantenoptik und Quanteninformation, Osterreichische Akademie Der Wissenschaften, Vienna, Vienna, Austria</t>
  </si>
  <si>
    <t>G. Araneda; Institut für Experimentalphysik, Universität Innsbruck, Innsbruck, Technikerstrasse 25, 6020, Austria; email: gabriel.aranedamachuca@physics.ox.ac.uk</t>
  </si>
  <si>
    <t>RSINA</t>
  </si>
  <si>
    <t>Rev. Sci. Instrum.</t>
  </si>
  <si>
    <t>2-s2.0-85096242767</t>
  </si>
  <si>
    <t>Harding, C.R.; Cann, J.; Laventure, A.; Sadeghianlemraski, M.; Abd-Ellah, M.; Rao, K.R.; Gelfand, B.S.; Aziz, H.; Kaake, L.G.; Risko, C.; Welch, G.C.</t>
  </si>
  <si>
    <t>Harding, Cayley R. (57195331551); Cann, Jonathan R. (57189625352); Laventure, Audrey (55383011400); Sadeghianlemraski, Mozhgan (57209182334); Abd-Ellah, Marwa (55641500600); Rao, Keerthan R. (57219851358); Gelfand, Benjamin S. (55568193000); Aziz, Hany (35564704900); Kaake, Loren G. (16679060400); Risko, Chad M. (6506522244); Welch, Gregory Charles (12041090100)</t>
  </si>
  <si>
    <t>57195331551; 57189625352; 55383011400; 57209182334; 55641500600; 57219851358; 55568193000; 35564704900; 16679060400; 6506522244; 12041090100</t>
  </si>
  <si>
    <t>Materials Horizons</t>
  </si>
  <si>
    <t>10.1039/d0mh00785d</t>
  </si>
  <si>
    <t>https://www.scopus.com/inward/record.uri?eid=2-s2.0-85095745655&amp;doi=10.1039%2Fd0mh00785d&amp;partnerID=40&amp;md5=e3f64776fb6efedf4eec6bc8970563cf</t>
  </si>
  <si>
    <t>Department of Chemistry, University of Calgary, Calgary, AB, Canada; Department of Electrical &amp; Computer Engineering, University of Waterloo, Waterloo, ON, Canada; Department of Chemistry, Simon Fraser University, Burnaby, BC, Canada; Department of Chemistry, University of Kentucky, Lexington, KY, United States</t>
  </si>
  <si>
    <t>Harding, Cayley R., Department of Chemistry, University of Calgary, Calgary, AB, Canada; Cann, Jonathan R., Department of Chemistry, University of Calgary, Calgary, AB, Canada; Laventure, Audrey, Department of Chemistry, University of Calgary, Calgary, AB, Canada; Sadeghianlemraski, Mozhgan, Department of Electrical &amp; Computer Engineering, University of Waterloo, Waterloo, ON, Canada; Abd-Ellah, Marwa, Department of Chemistry, University of Calgary, Calgary, AB, Canada, Department of Electrical &amp; Computer Engineering, University of Waterloo, Waterloo, ON, Canada; Rao, Keerthan R., Department of Chemistry, University of Kentucky, Lexington, KY, United States; Gelfand, Benjamin S., Department of Chemistry, University of Calgary, Calgary, AB, Canada; Aziz, Hany, Department of Electrical &amp; Computer Engineering, University of Waterloo, Waterloo, ON, Canada; Kaake, Loren G., Department of Chemistry, Simon Fraser University, Burnaby, BC, Canada; Risko, Chad M., Department of Chemistry, University of Kentucky, Lexington, KY, United States; Welch, Gregory Charles, Department of Chemistry, University of Calgary, Calgary, AB, Canada</t>
  </si>
  <si>
    <t>G.C. Welch; Department of Chemistry, University of Calgary, Calgary, 2500 University Drive N.W., T2N 1N4, Canada; email: gregory.welch@ucalgary.ca</t>
  </si>
  <si>
    <t>Mater. horizons</t>
  </si>
  <si>
    <t>2-s2.0-85095745655</t>
  </si>
  <si>
    <t>Iqbal, M.Z.; Zakar, S.; Tayyab, M.; Haider, S.S.; Alzaid, M.; Afzal, A.M.; Aftab, S.</t>
  </si>
  <si>
    <t>Iqbal, Muhammad Zahir (59594047700); Zakar, Sana (57211666662); Tayyab, Muhammad (59260634800); Haider, Syed Shabhi (57210752357); Alzaid, Meshal M. (57193761447); Afzal, Amir Muhammad (57200106539); Aftab, Sikandar (57200114034)</t>
  </si>
  <si>
    <t>59594047700; 57211666662; 59260634800; 57210752357; 57193761447; 57200106539; 57200114034</t>
  </si>
  <si>
    <t>Applied Nanoscience (Switzerland)</t>
  </si>
  <si>
    <t>10.1007/s13204-020-01542-4</t>
  </si>
  <si>
    <t>https://www.scopus.com/inward/record.uri?eid=2-s2.0-85090302394&amp;doi=10.1007%2Fs13204-020-01542-4&amp;partnerID=40&amp;md5=690a8dbdb42c18c4ba7c098257d314f2</t>
  </si>
  <si>
    <t>Nanotechnology Research Laboratory, Ghulam Ishaq Khan Institute of Engineering Sciences and Technology, Topi, Khyber Pakhtunkhwa, Pakistan; Department of Physics, Jouf University, Sakakah, Al Jawf, Saudi Arabia; Department of Electrical and Biological Physics, Kwangwoon University, Seoul, South Korea; Department of Engineering, Simon Fraser University, Burnaby, BC, Canada</t>
  </si>
  <si>
    <t>Iqbal, Muhammad Zahir, Nanotechnology Research Laboratory, Ghulam Ishaq Khan Institute of Engineering Sciences and Technology, Topi, Khyber Pakhtunkhwa, Pakistan; Zakar, Sana, Nanotechnology Research Laboratory, Ghulam Ishaq Khan Institute of Engineering Sciences and Technology, Topi, Khyber Pakhtunkhwa, Pakistan; Tayyab, Muhammad, Nanotechnology Research Laboratory, Ghulam Ishaq Khan Institute of Engineering Sciences and Technology, Topi, Khyber Pakhtunkhwa, Pakistan; Haider, Syed Shabhi, Nanotechnology Research Laboratory, Ghulam Ishaq Khan Institute of Engineering Sciences and Technology, Topi, Khyber Pakhtunkhwa, Pakistan; Alzaid, Meshal M., Department of Physics, Jouf University, Sakakah, Al Jawf, Saudi Arabia; Afzal, Amir Muhammad, Department of Electrical and Biological Physics, Kwangwoon University, Seoul, South Korea; Aftab, Sikandar, Department of Engineering, Simon Fraser University, Burnaby, BC, Canada</t>
  </si>
  <si>
    <t>Appl. Nanosci. (Switzerland)</t>
  </si>
  <si>
    <t>2-s2.0-85090302394</t>
  </si>
  <si>
    <t>Sharif, L.K.; Elmo, D.; Stead, D.</t>
  </si>
  <si>
    <t>Sharif, Ladan Karimi (57218371152); Elmo, Davide (25645828100); Stead, Douglas (7006004275)</t>
  </si>
  <si>
    <t>57218371152; 25645828100; 7006004275</t>
  </si>
  <si>
    <t>An Investigation of the Factors Controlling the Mechanical Behaviour of Slender Naturally Fractured Pillars</t>
  </si>
  <si>
    <t>Rock Mechanics and Rock Engineering</t>
  </si>
  <si>
    <t>10.1007/s00603-020-02203-2</t>
  </si>
  <si>
    <t>https://www.scopus.com/inward/record.uri?eid=2-s2.0-85088941692&amp;doi=10.1007%2Fs00603-020-02203-2&amp;partnerID=40&amp;md5=58bfd425d155b02519f7ae53b1b24f65</t>
  </si>
  <si>
    <t>The University of British Columbia, Vancouver, BC, Canada; Resource Geotechnics Research Group, Simon Fraser University, Burnaby, BC, Canada</t>
  </si>
  <si>
    <t>Sharif, Ladan Karimi, The University of British Columbia, Vancouver, BC, Canada; Elmo, Davide, The University of British Columbia, Vancouver, BC, Canada; Stead, Douglas, Resource Geotechnics Research Group, Simon Fraser University, Burnaby, BC, Canada</t>
  </si>
  <si>
    <t>L.K. Sharif; University of British Columbia, Vancouver, Canada; email: ladanks@gmail.com</t>
  </si>
  <si>
    <t>Springer journals@springer.at</t>
  </si>
  <si>
    <t>RMRED</t>
  </si>
  <si>
    <t>Rock Mech Rock Eng</t>
  </si>
  <si>
    <t>2-s2.0-85088941692</t>
  </si>
  <si>
    <t>Zhang, X.; Ali, R.F.; Boyer, J.-C.; Branda, N.R.; Gates, B.D.</t>
  </si>
  <si>
    <t>Zhang, Xin (57192507717); Ali, Rana Faryad (57195591123); Boyer, John Christopher (57209597679); Branda, Neil R. (7003596071); Gates, Byron D. (7102128759)</t>
  </si>
  <si>
    <t>57192507717; 57195591123; 57209597679; 7003596071; 7102128759</t>
  </si>
  <si>
    <t>Direct Photolithographic Deposition of Color-Coded Anti-Counterfeit Patterns with Titania Encapsulated Upconverting Nanoparticles</t>
  </si>
  <si>
    <t>10.1002/adom.202000664</t>
  </si>
  <si>
    <t>https://www.scopus.com/inward/record.uri?eid=2-s2.0-85088481977&amp;doi=10.1002%2Fadom.202000664&amp;partnerID=40&amp;md5=138b4902dc574f2b6e020b993f508f9f</t>
  </si>
  <si>
    <t>Zhang, Xin, Simon Fraser University, Burnaby, BC, Canada; Ali, Rana Faryad, Simon Fraser University, Burnaby, BC, Canada; Boyer, John Christopher, Simon Fraser University, Burnaby, BC, Canada; Branda, Neil R., Simon Fraser University, Burnaby, BC, Canada; Gates, Byron D., Simon Fraser University, Burnaby, BC, Canada</t>
  </si>
  <si>
    <t>Wiley-VCH Verlag info@wiley-vch.de</t>
  </si>
  <si>
    <t>2-s2.0-85088481977</t>
  </si>
  <si>
    <t>Starko, S.; Demes, K.W.; Neufeld, C.J.; Martone, P.T.</t>
  </si>
  <si>
    <t>Starko, Samuel (56525236800); Demes, Kyle (26537300500); Neufeld, Christopher J. (22935473100); Martone, Patrick T. (13907752100)</t>
  </si>
  <si>
    <t>56525236800; 26537300500; 22935473100; 13907752100</t>
  </si>
  <si>
    <t>Functional Ecology</t>
  </si>
  <si>
    <t>10.1111/1365-2435.13621</t>
  </si>
  <si>
    <t>https://www.scopus.com/inward/record.uri?eid=2-s2.0-85088387642&amp;doi=10.1111%2F1365-2435.13621&amp;partnerID=40&amp;md5=4fbe63d2bfba5f2b2270efde88460062</t>
  </si>
  <si>
    <t>Department of Botany and Biodiversity Research Centre, The University of British Columbia, Vancouver, BC, Canada; Department of Biology, University of Victoria, Victoria, BC, Canada; Bamfield Marine Sciences Centre, Bamfield, BC, Canada; Department of Institutional Strategic Awards, Simon Fraser University, Burnaby, BC, Canada</t>
  </si>
  <si>
    <t>Starko, Samuel, Department of Botany and Biodiversity Research Centre, The University of British Columbia, Vancouver, BC, Canada, Department of Biology, University of Victoria, Victoria, BC, Canada, Bamfield Marine Sciences Centre, Bamfield, BC, Canada; Demes, Kyle, Department of Institutional Strategic Awards, Simon Fraser University, Burnaby, BC, Canada; Neufeld, Christopher J., Bamfield Marine Sciences Centre, Bamfield, BC, Canada; Martone, Patrick T., Department of Botany and Biodiversity Research Centre, The University of British Columbia, Vancouver, BC, Canada, Bamfield Marine Sciences Centre, Bamfield, BC, Canada</t>
  </si>
  <si>
    <t>S. Starko; Department of Botany &amp; Biodiversity Research Centre, University of British Columbia, Vancouver, Canada; email: samuel.starko@gmail.com; S. Starko; Department of Botany &amp; Biodiversity Research Centre, University of British Columbia, Vancouver, Canada; email: samuel.starko@gmail.com; S. Starko; Department of Botany &amp; Biodiversity Research Centre, University of British Columbia, Vancouver, Canada; email: samuel.starko@gmail.com</t>
  </si>
  <si>
    <t>Blackwell Publishing Ltd info@royensoc.co.uk</t>
  </si>
  <si>
    <t>FECOE</t>
  </si>
  <si>
    <t>Funct. Ecol.</t>
  </si>
  <si>
    <t>2-s2.0-85088387642</t>
  </si>
  <si>
    <t>Sands, S.; Beverland, M.; Campbell, C.; Pitt, L.</t>
  </si>
  <si>
    <t>Sands, Sean J. (23028771700); Beverland, Michael B. (55911294900); Campbell, Colin L. (26435082100); Pitt, Leyland F. (7005227018)</t>
  </si>
  <si>
    <t>23028771700; 55911294900; 26435082100; 7005227018</t>
  </si>
  <si>
    <t>Strategically releasing control: Navigating the complexities of enabling category captains</t>
  </si>
  <si>
    <t>Industrial Marketing Management</t>
  </si>
  <si>
    <t>10.1016/j.indmarman.2020.07.004</t>
  </si>
  <si>
    <t>https://www.scopus.com/inward/record.uri?eid=2-s2.0-85088377764&amp;doi=10.1016%2Fj.indmarman.2020.07.004&amp;partnerID=40&amp;md5=22ffdaefcb5c4c0a1289f26a3c094eba</t>
  </si>
  <si>
    <t>Swinburne University of Technology, Hawthorn, VIC, Australia; University of Sussex Business School, Brighton, East Sussex, United Kingdom; Department of Marketing, University of San Diego, San Diego, CA, United States; Beedie School of Business, Burnaby, BC, Canada; Copenhagen Business School, Frederiksberg, Hovedstaden, Denmark</t>
  </si>
  <si>
    <t>Sands, Sean J., Swinburne University of Technology, Hawthorn, VIC, Australia; Beverland, Michael B., University of Sussex Business School, Brighton, East Sussex, United Kingdom, Copenhagen Business School, Frederiksberg, Hovedstaden, Denmark; Campbell, Colin L., Swinburne University of Technology, Hawthorn, VIC, Australia, Department of Marketing, University of San Diego, San Diego, CA, United States; Pitt, Leyland F., Beedie School of Business, Burnaby, BC, Canada</t>
  </si>
  <si>
    <t>C. Campbell; Department of Management and Marketing, Swinburne University of Technology, Hawthorn, 3122, Australia; email: colincampbell@sandiego.edu</t>
  </si>
  <si>
    <t>Elsevier Inc. usjcs@elsevier.com</t>
  </si>
  <si>
    <t>IMMAD</t>
  </si>
  <si>
    <t>Ind. Mark. Manage.</t>
  </si>
  <si>
    <t>2-s2.0-85088377764</t>
  </si>
  <si>
    <t>Smith, J.; Lee, K.</t>
  </si>
  <si>
    <t>Smith, Julia H. (57199012787); Lee, Kelley (55540777300)</t>
  </si>
  <si>
    <t>57199012787; 55540777300</t>
  </si>
  <si>
    <t>Corporate interests within transnational advocacy networks: The International Coalition Against Plain Packaging</t>
  </si>
  <si>
    <t>Global Networks</t>
  </si>
  <si>
    <t>10.1111/glob.12235</t>
  </si>
  <si>
    <t>https://www.scopus.com/inward/record.uri?eid=2-s2.0-85064046885&amp;doi=10.1111%2Fglob.12235&amp;partnerID=40&amp;md5=dde79d6ffd54339797971f759e1af671</t>
  </si>
  <si>
    <t>Faculty of Health Sciences, Simon Fraser University, Burnaby, BC, Canada</t>
  </si>
  <si>
    <t>Smith, Julia H., Faculty of Health Sciences, Simon Fraser University, Burnaby, BC, Canada; Lee, Kelley, Faculty of Health Sciences, Simon Fraser University, Burnaby, BC, Canada</t>
  </si>
  <si>
    <t>J. Smith; Faculty of Health Sciences, Simon Fraser University, Burnaby, 8888 University Drive, V5A 1S6, Canada; email: jhs6@sfu.ca</t>
  </si>
  <si>
    <t>Global Netw.</t>
  </si>
  <si>
    <t>2-s2.0-85064046885</t>
  </si>
  <si>
    <t>Al Rawi, A.; Rahman, A.</t>
  </si>
  <si>
    <t>Al Rawi, Ahmed (55683085700); Rahman, Anis (55171845900)</t>
  </si>
  <si>
    <t>55683085700; 55171845900</t>
  </si>
  <si>
    <t>Manufacturing rage: The Russian Internet Research Agency’s political astroturfing on social media</t>
  </si>
  <si>
    <t>First Monday</t>
  </si>
  <si>
    <t>10.5210/FM.V25I9.10801</t>
  </si>
  <si>
    <t>https://www.scopus.com/inward/record.uri?eid=2-s2.0-85106763709&amp;doi=10.5210%2FFM.V25I9.10801&amp;partnerID=40&amp;md5=2607253eac31cc5740a4cd239b525675</t>
  </si>
  <si>
    <t>Simon Fraser University, Burnaby, BC, Canada; Simon Fraser University, Burnaby, BC, Canada</t>
  </si>
  <si>
    <t>Al Rawi, Ahmed, Simon Fraser University, Burnaby, BC, Canada; Rahman, Anis, Simon Fraser University, Burnaby, BC, Canada</t>
  </si>
  <si>
    <t>2-s2.0-85106763709</t>
  </si>
  <si>
    <t>Fischer, B.; Saah, R.</t>
  </si>
  <si>
    <t>Fischer, Benedikt (56603004800); Saah, Rebecca J. (54929877100)</t>
  </si>
  <si>
    <t>56603004800; 54929877100</t>
  </si>
  <si>
    <t>Reflections on the Impending Lawsuits by Governments against Pharmaceutical Opioid Producers in Canada</t>
  </si>
  <si>
    <t>Canadian Journal of Addiction</t>
  </si>
  <si>
    <t>10.1097/CXA.0000000000000088</t>
  </si>
  <si>
    <t>https://www.scopus.com/inward/record.uri?eid=2-s2.0-85108877891&amp;doi=10.1097%2FCXA.0000000000000088&amp;partnerID=40&amp;md5=6b3644775480bebd226311aa2f74b25d</t>
  </si>
  <si>
    <t>School of Population Health, Faculty of Medical and Health Sciences, Auckland, AUK, New Zealand; Department of Psychiatry, University of Toronto, Toronto, ON, Canada; Centre for Applied Research in Mental Health and Addiction, Simon Fraser University, Burnaby, BC, Canada; Department of Psychiatry, Universidade Federal de São Paulo, Sao Paulo, SP, Brazil; Cumming School of Medicine, Calgary, AB, Canada</t>
  </si>
  <si>
    <t>Fischer, Benedikt, School of Population Health, Faculty of Medical and Health Sciences, Auckland, AUK, New Zealand, Department of Psychiatry, University of Toronto, Toronto, ON, Canada, Centre for Applied Research in Mental Health and Addiction, Simon Fraser University, Burnaby, BC, Canada, Department of Psychiatry, Universidade Federal de São Paulo, Sao Paulo, SP, Brazil; Saah, Rebecca J., Cumming School of Medicine, Calgary, AB, Canada</t>
  </si>
  <si>
    <t>B. Fischer; Faculty of Medical and Health Sciences, Schools of Population Health and Pharmacy, University of Auckland, Auckland, New Zealand; email: b.fischer@auckland.ac.nz</t>
  </si>
  <si>
    <t>Can.J. Addict.</t>
  </si>
  <si>
    <t>2-s2.0-85108877891</t>
  </si>
  <si>
    <t>Powers, K.; Brace, C.; Budd, C.J.; Copeland, C.D.; Milewski, P.</t>
  </si>
  <si>
    <t>Powers, Katherine H. (57211978973); Brace, Chris J. (7003779915); Budd, Christopher J. (35619516200); Copeland, Colin D. (36136875400); Milewski, Paul A. (7006718746)</t>
  </si>
  <si>
    <t>57211978973; 7003779915; 35619516200; 36136875400; 7006718746</t>
  </si>
  <si>
    <t>Modeling axisymmetric centrifugal compressor characteristics from first principles</t>
  </si>
  <si>
    <t>10.1115/1.4047616</t>
  </si>
  <si>
    <t>https://www.scopus.com/inward/record.uri?eid=2-s2.0-85098117732&amp;doi=10.1115%2F1.4047616&amp;partnerID=40&amp;md5=5aa7381ce1d2778d8994485dc3f6940a</t>
  </si>
  <si>
    <t>University of Bath, Department of Mathematical Sciences, Bath, Somerset, United Kingdom; School of Sustainable Energy Engineering, Simon Fraser University, Burnaby, BC, Canada</t>
  </si>
  <si>
    <t>Powers, Katherine H., University of Bath, Department of Mathematical Sciences, Bath, Somerset, United Kingdom; Brace, Chris J., University of Bath, Department of Mathematical Sciences, Bath, Somerset, United Kingdom; Budd, Christopher J., University of Bath, Department of Mathematical Sciences, Bath, Somerset, United Kingdom; Copeland, Colin D., School of Sustainable Energy Engineering, Simon Fraser University, Burnaby, BC, Canada; Milewski, Paul A., University of Bath, Department of Mathematical Sciences, Bath, Somerset, United Kingdom</t>
  </si>
  <si>
    <t>2-s2.0-85098117732</t>
  </si>
  <si>
    <t>Mitra, S.; Boyd, J.; Wood, E.; Grant, C.; Milloy, M.-J.; DeBeck, K.; Kerr, T.; Hayashi, K.</t>
  </si>
  <si>
    <t>Mitra, Sanjana (57194226916); Boyd, Jade (26037310100); Wood, Evan (57191525672); Grant, Cameron J. (57211079732); Milloy, Michael John S. (24448566900); DeBeck, Kora (16063277500); Kerr, Thomas H. (26643236200); Hayashi, Kanna (33267650300)</t>
  </si>
  <si>
    <t>57194226916; 26037310100; 57191525672; 57211079732; 24448566900; 16063277500; 26643236200; 33267650300</t>
  </si>
  <si>
    <t>Elevated prevalence of self-reported unintentional exposure to fentanyl among women who use drugs in a Canadian setting: A cross-sectional analysis</t>
  </si>
  <si>
    <t>International Journal of Drug Policy</t>
  </si>
  <si>
    <t>10.1016/j.drugpo.2020.102864</t>
  </si>
  <si>
    <t>https://www.scopus.com/inward/record.uri?eid=2-s2.0-85088097571&amp;doi=10.1016%2Fj.drugpo.2020.102864&amp;partnerID=40&amp;md5=8ae067f513e030d51799b4647507760c</t>
  </si>
  <si>
    <t>Interdisciplinary Studies Graduate Program, The University of British Columbia, Vancouver, BC, Canada; British Columbia Centre on Substance Use, Vancouver, BC, Canada; Department of Medicine, The University of British Columbia, Vancouver, BC, Canada; School of Public Policy, Simon Fraser University, Burnaby, BC, Canada; Faculty of Health Sciences, Simon Fraser University, Burnaby, BC, Canada</t>
  </si>
  <si>
    <t>Mitra, Sanjana, Interdisciplinary Studies Graduate Program, The University of British Columbia, Vancouver, BC, Canada, British Columbia Centre on Substance Use, Vancouver, BC, Canada; Boyd, Jade, British Columbia Centre on Substance Use, Vancouver, BC, Canada, Department of Medicine, The University of British Columbia, Vancouver, BC, Canada; Wood, Evan, British Columbia Centre on Substance Use, Vancouver, BC, Canada, Department of Medicine, The University of British Columbia, Vancouver, BC, Canada; Grant, Cameron J., British Columbia Centre on Substance Use, Vancouver, BC, Canada; Milloy, Michael John S., British Columbia Centre on Substance Use, Vancouver, BC, Canada, Department of Medicine, The University of British Columbia, Vancouver, BC, Canada; DeBeck, Kora, British Columbia Centre on Substance Use, Vancouver, BC, Canada, School of Public Policy, Simon Fraser University, Burnaby, BC, Canada; Kerr, Thomas H., British Columbia Centre on Substance Use, Vancouver, BC, Canada, Department of Medicine, The University of British Columbia, Vancouver, BC, Canada; Hayashi, Kanna, British Columbia Centre on Substance Use, Vancouver, BC, Canada, Faculty of Health Sciences, Simon Fraser University, Burnaby, BC, Canada</t>
  </si>
  <si>
    <t>K. Hayashi; British Columbia Centre on Substance Use, Vancouver, 400-1045 Howe Street, V6Z 2A9, Canada; email: bccsu-kh@bccsu.ubc.ca</t>
  </si>
  <si>
    <t>IJDPE</t>
  </si>
  <si>
    <t>Int. J. Drug Policy</t>
  </si>
  <si>
    <t>2-s2.0-85088097571</t>
  </si>
  <si>
    <t>Zhang, Y.; Ren, W.; Niu, G.; Li, C.; Wang, C.; Jiang, Z.; Liu, M.; Ye, Z.-G.</t>
  </si>
  <si>
    <t>Zhang, Yijun (56338589500); Ren, Wei (57201421397); Niu, Gang (55392353500); Li, Chao (59057608500); Wang, Chenying (55267391600); Jiang, Zhuangde (57203495930); Liu, Ming (56517197100); Ye, Zuo Guang (24443034100)</t>
  </si>
  <si>
    <t>56338589500; 57201421397; 55392353500; 59057608500; 55267391600; 57203495930; 56517197100; 24443034100</t>
  </si>
  <si>
    <t>Thin Solid Films</t>
  </si>
  <si>
    <t>10.1016/j.tsf.2020.138206</t>
  </si>
  <si>
    <t>https://www.scopus.com/inward/record.uri?eid=2-s2.0-85087282089&amp;doi=10.1016%2Fj.tsf.2020.138206&amp;partnerID=40&amp;md5=9dff2f1630504ebb162bdd94114c58c0</t>
  </si>
  <si>
    <t>Electronic Materials Research Laboratory, Xi'an Jiaotong University, Xi'an, Shaanxi, China; Collaborative Innovation Center of High-End Manufacturing Equipment, Xi'an Jiaotong University, Xi'an, Shaanxi, China; Simon Fraser University, Burnaby, BC, Canada; State Key Laboratory for Manufacturing Systems Engineering, Xi'an, Shaanxi, China; Xi'an Jiaotong University, Xi'an, Shaanxi, China</t>
  </si>
  <si>
    <t>Zhang, Yijun, Electronic Materials Research Laboratory, Xi'an Jiaotong University, Xi'an, Shaanxi, China; Ren, Wei, Electronic Materials Research Laboratory, Xi'an Jiaotong University, Xi'an, Shaanxi, China, Collaborative Innovation Center of High-End Manufacturing Equipment, Xi'an Jiaotong University, Xi'an, Shaanxi, China; Niu, Gang, Electronic Materials Research Laboratory, Xi'an Jiaotong University, Xi'an, Shaanxi, China; Li, Chao, Xi'an Jiaotong University, Xi'an, Shaanxi, China; Wang, Chenying, Collaborative Innovation Center of High-End Manufacturing Equipment, Xi'an Jiaotong University, Xi'an, Shaanxi, China, State Key Laboratory for Manufacturing Systems Engineering, Xi'an, Shaanxi, China; Jiang, Zhuangde, Collaborative Innovation Center of High-End Manufacturing Equipment, Xi'an Jiaotong University, Xi'an, Shaanxi, China, State Key Laboratory for Manufacturing Systems Engineering, Xi'an, Shaanxi, China; Liu, Ming, Electronic Materials Research Laboratory, Xi'an Jiaotong University, Xi'an, Shaanxi, China, Collaborative Innovation Center of High-End Manufacturing Equipment, Xi'an Jiaotong University, Xi'an, Shaanxi, China; Ye, Zuo Guang, Simon Fraser University, Burnaby, BC, Canada</t>
  </si>
  <si>
    <t>THSFA</t>
  </si>
  <si>
    <t>2-s2.0-85087282089</t>
  </si>
  <si>
    <t>Hasan, M.; Chen, J.; Waldecker, J.R.; Singh, Y.; Kjeang, E.; Santare, M.H.</t>
  </si>
  <si>
    <t>Hasan, Morshed (57202033860); Chen, Jixin (55864229900); Waldecker, James R. (36698460200); Singh, Yadvinder (57206181709); Kjeang, Erik (16066971400); Santare, Michael H. (7003339419)</t>
  </si>
  <si>
    <t>57202033860; 55864229900; 36698460200; 57206181709; 16066971400; 7003339419</t>
  </si>
  <si>
    <t>International Journal of Fatigue</t>
  </si>
  <si>
    <t>10.1016/j.ijfatigue.2020.105697</t>
  </si>
  <si>
    <t>https://www.scopus.com/inward/record.uri?eid=2-s2.0-85084960385&amp;doi=10.1016%2Fj.ijfatigue.2020.105697&amp;partnerID=40&amp;md5=27f24f8a5e137722cd07d4b46a9f4761</t>
  </si>
  <si>
    <t>Department of Mechanical Engineering, University of Delaware, Newark, DE, United States; Ford Motor Company, Dearborn, MI, United States; Fuel Cell Research Laboratory, Simon Fraser University, Burnaby, BC, Canada</t>
  </si>
  <si>
    <t>Hasan, Morshed, Department of Mechanical Engineering, University of Delaware, Newark, DE, United States; Chen, Jixin, Ford Motor Company, Dearborn, MI, United States; Waldecker, James R., Ford Motor Company, Dearborn, MI, United States; Singh, Yadvinder, Fuel Cell Research Laboratory, Simon Fraser University, Burnaby, BC, Canada; Kjeang, Erik, Fuel Cell Research Laboratory, Simon Fraser University, Burnaby, BC, Canada; Santare, Michael H., Department of Mechanical Engineering, University of Delaware, Newark, DE, United States</t>
  </si>
  <si>
    <t>M.H. Santare; Department of Mechanical Engineering, University of Delaware, Newark, 19716, United States; email: santare@udel.edu</t>
  </si>
  <si>
    <t>IJFAD</t>
  </si>
  <si>
    <t>Int J Fatigue</t>
  </si>
  <si>
    <t>2-s2.0-85084960385</t>
  </si>
  <si>
    <t>Karimi Mamaghan, M.; Mohammadi, M.; Jula, P.; Pirayesh, A.; Ahmadi, H.</t>
  </si>
  <si>
    <t>Karimi Mamaghan, Maryam (57203638620); Mohammadi, Mehrdad (55613229146); Jula, P. (6507477022); Pirayesh, Amir (57222311169); Ahmadi, Hadi (57197276444)</t>
  </si>
  <si>
    <t>57203638620; 55613229146; 6507477022; 57222311169; 57197276444</t>
  </si>
  <si>
    <t>A learning-based metaheuristic for a multi-objective agile inspection planning model under uncertainty</t>
  </si>
  <si>
    <t>European Journal of Operational Research</t>
  </si>
  <si>
    <t>10.1016/j.ejor.2020.01.061</t>
  </si>
  <si>
    <t>https://www.scopus.com/inward/record.uri?eid=2-s2.0-85080942007&amp;doi=10.1016%2Fj.ejor.2020.01.061&amp;partnerID=40&amp;md5=05903e5478e4cb8938fae94eb2a4c0d9</t>
  </si>
  <si>
    <t>UBL, Laboratoire des Sciences et Techniques de l'Information, de la Communication et de la Connaissance (Lab-Sticc), Brest, Brittany, France; Beedie School of Business, Burnaby, BC, Canada; The Centre of Excellence in Supply Chain (CESIT), KEDGE Business School, Talence, Nouvelle-Aquitaine, France; Islamic Azad University, South Tehran Branch, Tehran, Tehran Province, Iran</t>
  </si>
  <si>
    <t>Karimi Mamaghan, Maryam, UBL, Laboratoire des Sciences et Techniques de l'Information, de la Communication et de la Connaissance (Lab-Sticc), Brest, Brittany, France; Mohammadi, Mehrdad, UBL, Laboratoire des Sciences et Techniques de l'Information, de la Communication et de la Connaissance (Lab-Sticc), Brest, Brittany, France; Jula, P., Beedie School of Business, Burnaby, BC, Canada; Pirayesh, Amir, The Centre of Excellence in Supply Chain (CESIT), KEDGE Business School, Talence, Nouvelle-Aquitaine, France; Ahmadi, Hadi, Islamic Azad University, South Tehran Branch, Tehran, Tehran Province, Iran</t>
  </si>
  <si>
    <t>M. Karimi-Mamaghan; IMT Atlantique, Lab-STICC, UBL, Brest, F-29238, France; email: maryam.karimi@imt-atlantique.fr</t>
  </si>
  <si>
    <t>EJORD</t>
  </si>
  <si>
    <t>Eur J Oper Res</t>
  </si>
  <si>
    <t>2-s2.0-85080942007</t>
  </si>
  <si>
    <t>Wakeling, J.M.; Ross, S.A.; Ryan, D.S.; Bolsterlee, B.; Konno, R.N.; Domínguez-Rivera, S.A.; Nigam, N.</t>
  </si>
  <si>
    <t>Wakeling, James M. (7004442395); Ross, Stephanie A. (57193016869); Ryan, David S. (57203414190); Bolsterlee, Bart (54886484000); Konno, Ryan N. (57211986800); Domínguez-Rivera, Sebastián A. (56966316300); Nigam, Nilima A. (6701732470)</t>
  </si>
  <si>
    <t>7004442395; 57193016869; 57203414190; 54886484000; 57211986800; 56966316300; 6701732470</t>
  </si>
  <si>
    <t>Frontiers in Physiology</t>
  </si>
  <si>
    <t>10.3389/fphys.2020.00813</t>
  </si>
  <si>
    <t>https://www.scopus.com/inward/record.uri?eid=2-s2.0-85090886938&amp;doi=10.3389%2Ffphys.2020.00813&amp;partnerID=40&amp;md5=f184a2c44005b6a1f7a4ff16d3575926</t>
  </si>
  <si>
    <t>Department of Biomedical Physiology and Kinesiology, Simon Fraser University, Burnaby, BC, Canada; Department of Mathematics, Simon Fraser University, Burnaby, BC, Canada; Neuroscience Research Australia, Sydney, NSW, Australia; Graduate School of Biomedical Engineering, UNSW Sydney, Sydney, NSW, Australia; Department of Physics and Astronomy, The University of British Columbia, Vancouver, BC, Canada</t>
  </si>
  <si>
    <t>Wakeling, James M., Department of Biomedical Physiology and Kinesiology, Simon Fraser University, Burnaby, BC, Canada, Department of Mathematics, Simon Fraser University, Burnaby, BC, Canada; Ross, Stephanie A., Department of Biomedical Physiology and Kinesiology, Simon Fraser University, Burnaby, BC, Canada; Ryan, David S., Department of Biomedical Physiology and Kinesiology, Simon Fraser University, Burnaby, BC, Canada; Bolsterlee, Bart, Neuroscience Research Australia, Sydney, NSW, Australia, Graduate School of Biomedical Engineering, UNSW Sydney, Sydney, NSW, Australia; Konno, Ryan N., Department of Physics and Astronomy, The University of British Columbia, Vancouver, BC, Canada; Domínguez-Rivera, Sebastián A., Department of Mathematics, Simon Fraser University, Burnaby, BC, Canada; Nigam, Nilima A., Department of Mathematics, Simon Fraser University, Burnaby, BC, Canada</t>
  </si>
  <si>
    <t>J.M. Wakeling; Department of Biomedical Physiology and Kinesiology, Simon Fraser University, Burnaby, Canada; email: wakeling@sfu.ca; J.M. Wakeling; Department of Biomedical Physiology and Kinesiology, Simon Fraser University, Burnaby, Canada; email: wakeling@sfu.ca</t>
  </si>
  <si>
    <t>Frontiers Media S.A. info@frontiersin.org</t>
  </si>
  <si>
    <t>Front. Physiol.</t>
  </si>
  <si>
    <t>2-s2.0-85090886938</t>
  </si>
  <si>
    <t>Zhuo, D.H.; Rai, A.; Vosoogh-Grayli, S.; Leach, G.W.; Bahreyni, B.</t>
  </si>
  <si>
    <t>Zhuo, Donghao (57193126818); Rai, Ashish (57214365716); Vosoogh-Grayli, Siamack V. (55490008400); Leach, Gary W. (7102871900); Bahreyni, Behraad (7801341985)</t>
  </si>
  <si>
    <t>57193126818; 57214365716; 55490008400; 7102871900; 7801341985</t>
  </si>
  <si>
    <t>Sensors and Actuators, A: Physical</t>
  </si>
  <si>
    <t>10.1016/j.sna.2020.112045</t>
  </si>
  <si>
    <t>https://www.scopus.com/inward/record.uri?eid=2-s2.0-85085577783&amp;doi=10.1016%2Fj.sna.2020.112045&amp;partnerID=40&amp;md5=1dfecd3e59ee24ca63fd72bf0cdfafbc</t>
  </si>
  <si>
    <t>Zhuo, Donghao, School of Mechatronic Systems Engineering, Simon Fraser University, Burnaby, BC, Canada; Rai, Ashish, School of Mechatronic Systems Engineering, Simon Fraser University, Burnaby, BC, Canada; Vosoogh-Grayli, Siamack V., School of Mechatronic Systems Engineering, Simon Fraser University, Burnaby, BC, Canada; Leach, Gary W., Simon Fraser University, Burnaby, BC, Canada; Bahreyni, Behraad, School of Mechatronic Systems Engineering, Simon Fraser University, Burnaby, BC, Canada</t>
  </si>
  <si>
    <t>B. Bahreyni; School of Mechatronic Systems Engineering, Simon Fraser University, Surrey, Canada; email: behraad@ieee.org</t>
  </si>
  <si>
    <t>2-s2.0-85085577783</t>
  </si>
  <si>
    <t>Dewapriya, M.A.N.; Rajapakse, R.K.N.D.; Dias, W.P.S.</t>
  </si>
  <si>
    <t>Dewapriya, M. A.N. (55837608800); Rajapakse, R. K.N.D. (57216149626); Dias, Priyan (7005009320)</t>
  </si>
  <si>
    <t>55837608800; 57216149626; 7005009320</t>
  </si>
  <si>
    <t>Carbon</t>
  </si>
  <si>
    <t>10.1016/j.carbon.2020.03.038</t>
  </si>
  <si>
    <t>https://www.scopus.com/inward/record.uri?eid=2-s2.0-85082671689&amp;doi=10.1016%2Fj.carbon.2020.03.038&amp;partnerID=40&amp;md5=c2b1f6aa6897ba07da557f25302a0505</t>
  </si>
  <si>
    <t>School of Engineering Science, Simon Fraser University, Burnaby, BC, Canada; Department of Civil Engineering, University of Moratuwa, Moratuwa, Sri Lanka; Sri Lanka Institute of Information Technology, Colombo, Sri Lanka</t>
  </si>
  <si>
    <t>Dewapriya, M. A.N., School of Engineering Science, Simon Fraser University, Burnaby, BC, Canada; Rajapakse, R. K.N.D., School of Engineering Science, Simon Fraser University, Burnaby, BC, Canada, Sri Lanka Institute of Information Technology, Colombo, Sri Lanka; Dias, Priyan, Department of Civil Engineering, University of Moratuwa, Moratuwa, Sri Lanka</t>
  </si>
  <si>
    <t>M.A.N. Dewapriya; School of Engineering Science, Simon Fraser University, Burnaby, Canada; email: NuwanArachchige@cunet.carleton.ca</t>
  </si>
  <si>
    <t>CRBNA</t>
  </si>
  <si>
    <t>2-s2.0-85082671689</t>
  </si>
  <si>
    <t>Peng, B.; Peng, R.-C.; Zhang, Y.-Q.; Dong, G.; Zhou, Z.; Zhou, Y.; Li, T.; Liu, Z.; Luo, Z.; Wang, S.; Xia, Y.; Qiu, R.; Cheng, X.; Xue, F.; Hu, Z.; Ren, W.; Ye, Z.-G.; Chen, L.-Q.; Shan, Z.; Min, T.; Liu, M.</t>
  </si>
  <si>
    <t>Peng, Bing (56870780100); Peng, Renci (56417134700); Zhang, Yongqiang (54390551600); Dong, Guohua (55325115100); Zhou, Ziyao (53867616700); Zhou, Yuqing (57200202447); Li, Tao (57003828500); Liu, Zhijie (59817868800); Luo, Zhenlin (8836577000); Wang, Shaohao (37079675100); Xia, Yan (7403027419); Qiu, Ruibin (57219048930); Cheng, Xiaoxing (56754458300); Xue, Fei (57217026643); Hu, Zhongqiang (25641266000); Ren, Wei (57201421397); Ye, Zuo Guang (24443034100); Chen, Long qing (54790583500); Shan, Zhiwei (24559528100); Min, Tai (22968144400); Liu, Ming (56517197100)</t>
  </si>
  <si>
    <t>56870780100; 56417134700; 54390551600; 55325115100; 53867616700; 57200202447; 57003828500; 59817868800; 8836577000; 37079675100; 7403027419; 57219048930; 56754458300; 57217026643; 25641266000; 57201421397; 24443034100; 54790583500; 24559528100; 22968144400; 56517197100</t>
  </si>
  <si>
    <t>Phase transition enhanced superior elasticity in freestanding single-crystalline multiferroic BiFeO3membranes</t>
  </si>
  <si>
    <t>Science Advances</t>
  </si>
  <si>
    <t>eaba5847</t>
  </si>
  <si>
    <t>10.1126/sciadv.aba5847</t>
  </si>
  <si>
    <t>https://www.scopus.com/inward/record.uri?eid=2-s2.0-85091128174&amp;doi=10.1126%2Fsciadv.aba5847&amp;partnerID=40&amp;md5=b2391eb58b20527dca35cfd8d0788080</t>
  </si>
  <si>
    <t>Electronic Materials Research Laboratory, Xi'an Jiaotong University, Xi'an, Shaanxi, China; Center for Advancing Materials Performance from the Nanoscale (CAMP-Nano), Xi'an Jiaotong University, Xi'an, Shaanxi, China; Center for Spintronics and Quantum Systems, Xi'an Jiaotong University, Xi'an, Shaanxi, China; National Synchrotron Radiation Laboratory, University of Science and Technology of China, Hefei, Anhui, China; Department of Microelectronics Science and Engineering, Fuzhou University, Fuzhou, Fujian, China; College of Physics and Information Engineering, Fuzhou University, Fuzhou, Fujian, China; Pennsylvania State University, University Park, PA, United States; Simon Fraser University, Burnaby, BC, Canada</t>
  </si>
  <si>
    <t>Peng, Bing, Electronic Materials Research Laboratory, Xi'an Jiaotong University, Xi'an, Shaanxi, China; Peng, Renci, Electronic Materials Research Laboratory, Xi'an Jiaotong University, Xi'an, Shaanxi, China; Zhang, Yongqiang, Center for Advancing Materials Performance from the Nanoscale (CAMP-Nano), Xi'an Jiaotong University, Xi'an, Shaanxi, China; Dong, Guohua, Electronic Materials Research Laboratory, Xi'an Jiaotong University, Xi'an, Shaanxi, China; Zhou, Ziyao, Electronic Materials Research Laboratory, Xi'an Jiaotong University, Xi'an, Shaanxi, China; Zhou, Yuqing, Center for Spintronics and Quantum Systems, Xi'an Jiaotong University, Xi'an, Shaanxi, China; Li, Tao, Center for Spintronics and Quantum Systems, Xi'an Jiaotong University, Xi'an, Shaanxi, China; Liu, Zhijie, National Synchrotron Radiation Laboratory, University of Science and Technology of China, Hefei, Anhui, China; Luo, Zhenlin, National Synchrotron Radiation Laboratory, University of Science and Technology of China, Hefei, Anhui, China; Wang, Shaohao, Department of Microelectronics Science and Engineering, Fuzhou University, Fuzhou, Fujian, China; Xia, Yan, College of Physics and Information Engineering, Fuzhou University, Fuzhou, Fujian, China; Qiu, Ruibin, Electronic Materials Research Laboratory, Xi'an Jiaotong University, Xi'an, Shaanxi, China; Cheng, Xiaoxing, Pennsylvania State University, University Park, PA, United States; Xue, Fei, Pennsylvania State University, University Park, PA, United States; Hu, Zhongqiang, Electronic Materials Research Laboratory, Xi'an Jiaotong University, Xi'an, Shaanxi, China; Ren, Wei, Electronic Materials Research Laboratory, Xi'an Jiaotong University, Xi'an, Shaanxi, China; Ye, Zuo Guang, Simon Fraser University, Burnaby, BC, Canada; Chen, Long qing, Pennsylvania State University, University Park, PA, United States; Shan, Zhiwei, Center for Advancing Materials Performance from the Nanoscale (CAMP-Nano), Xi'an Jiaotong University, Xi'an, Shaanxi, China; Min, Tai, Center for Spintronics and Quantum Systems, Xi'an Jiaotong University, Xi'an, Shaanxi, China; Liu, Ming, Electronic Materials Research Laboratory, Xi'an Jiaotong University, Xi'an, Shaanxi, China</t>
  </si>
  <si>
    <t>Z. Zhou; Electronic Materials Research Laboratory, Key Laboratory of the Ministry of Education, School of Electronic and Information Engineering, Center for Spintronics and Quantum System, State Key Laboratory for Mechanical Behavior of Materials, Xi'an Jiaotong University, Xi'an, 710049, China; email: ziyaozhou@xjtu.edu.cn; M. Liu; Electronic Materials Research Laboratory, Key Laboratory of the Ministry of Education, School of Electronic and Information Engineering, Center for Spintronics and Quantum System, State Key Laboratory for Mechanical Behavior of Materials, Xi'an Jiaotong University, Xi'an, 710049, China; email: mingliu@xjtu.edu.cn; T. Li; Center for Spintronics and Quantum System, State Key Laboratory for Mechanical Behavior of Materials, School of Materials Science and Engineering, Xi'an Jiaotong University, Xi'an, Shaanxi, 710049, China; email: taoli66@xjtu.edu.cn</t>
  </si>
  <si>
    <t>American Association for the Advancement of Science</t>
  </si>
  <si>
    <t>Sci. Adv.</t>
  </si>
  <si>
    <t>2-s2.0-85091128174</t>
  </si>
  <si>
    <t>Dabić, M.; Vlačić, E.; Ramanathan, U.; Egri, C.P.</t>
  </si>
  <si>
    <t>Dabić, Marina (6507123949); Vlačić, Ernest (57201136437); Ramanathan, Usha (35222184300); Egri, Carolyn P. (6602228740)</t>
  </si>
  <si>
    <t>6507123949; 57201136437; 35222184300; 6602228740</t>
  </si>
  <si>
    <t>Evolving Absorptive Capacity: The Mediating Role of Systematic Knowledge Management</t>
  </si>
  <si>
    <t>IEEE Transactions on Engineering Management</t>
  </si>
  <si>
    <t>10.1109/TEM.2019.2893133</t>
  </si>
  <si>
    <t>https://www.scopus.com/inward/record.uri?eid=2-s2.0-85088872853&amp;doi=10.1109%2FTEM.2019.2893133&amp;partnerID=40&amp;md5=8bc955e1e6fff52a589ba1cd439d2d27</t>
  </si>
  <si>
    <t>University of Zagreb, Faculty of Economics and Business, Zagreb, Croatia; NOVAMINA CIT, Zagreb, Croatia; Nottingham Business School, Nottingham, Nottinghamshire, United Kingdom; Beedie School of Business, Burnaby, BC, Canada</t>
  </si>
  <si>
    <t>Dabić, Marina, University of Zagreb, Faculty of Economics and Business, Zagreb, Croatia; Vlačić, Ernest, NOVAMINA CIT, Zagreb, Croatia; Ramanathan, Usha, Nottingham Business School, Nottingham, Nottinghamshire, United Kingdom; Egri, Carolyn P., Beedie School of Business, Burnaby, BC, Canada</t>
  </si>
  <si>
    <t>M. Dabic; Faculty of Economics and Business, University of Zagreb, Zagreb, 10000, Croatia; email: mdabic@efzg.hr</t>
  </si>
  <si>
    <t>IEEMA</t>
  </si>
  <si>
    <t>IEEE Trans Eng Manage</t>
  </si>
  <si>
    <t>2-s2.0-85088872853</t>
  </si>
  <si>
    <t>Donati, D.; Stead, D.; Stewart, T.W.; Marsh, J.</t>
  </si>
  <si>
    <t>Donati, Davide (57202339459); Stead, Douglas (7006004275); Stewart, Thomas W.G. (14029373200); Marsh, Julia (57216877120)</t>
  </si>
  <si>
    <t>57202339459; 7006004275; 14029373200; 57216877120</t>
  </si>
  <si>
    <t>10.1016/j.enggeo.2020.105693</t>
  </si>
  <si>
    <t>https://www.scopus.com/inward/record.uri?eid=2-s2.0-85085259660&amp;doi=10.1016%2Fj.enggeo.2020.105693&amp;partnerID=40&amp;md5=6e52b6738aa9071aa0fb3cb2ffe9ec39</t>
  </si>
  <si>
    <t>Department of Earth Sciences, Simon Fraser University, Burnaby, BC, Canada; BC Hydro, Vancouver, BC, Canada</t>
  </si>
  <si>
    <t>Donati, Davide, Department of Earth Sciences, Simon Fraser University, Burnaby, BC, Canada; Stead, Douglas, Department of Earth Sciences, Simon Fraser University, Burnaby, BC, Canada; Stewart, Thomas W.G., BC Hydro, Vancouver, BC, Canada; Marsh, Julia, BC Hydro, Vancouver, BC, Canada</t>
  </si>
  <si>
    <t>D. Donati; Department of Earth Sciences, Simon Fraser University, Burnaby, Canada; email: davide_donati@sfu.ca</t>
  </si>
  <si>
    <t>2-s2.0-85085259660</t>
  </si>
  <si>
    <t>Park, S.H.; Goodall, G.; Kim, W.S.</t>
  </si>
  <si>
    <t>Park, Seong-hyeon (57203850725); Goodall, Geordie (57216749159); Kim, Woo Soo (17136903100)</t>
  </si>
  <si>
    <t>57203850725; 57216749159; 17136903100</t>
  </si>
  <si>
    <t>10.1016/j.matdes.2020.108797</t>
  </si>
  <si>
    <t>https://www.scopus.com/inward/record.uri?eid=2-s2.0-85084468330&amp;doi=10.1016%2Fj.matdes.2020.108797&amp;partnerID=40&amp;md5=5b143ca834d4ad2ef5c85c935edf90a0</t>
  </si>
  <si>
    <t>Park, Seong-hyeon, Additive Manufacturing Laboratory, Simon Fraser University, Burnaby, BC, Canada; Goodall, Geordie, Additive Manufacturing Laboratory, Simon Fraser University, Burnaby, BC, Canada; Kim, Woo Soo, Additive Manufacturing Laboratory, Simon Fraser University, Burnaby, BC, Canada</t>
  </si>
  <si>
    <t>2-s2.0-85084468330</t>
  </si>
  <si>
    <t>Goudswaard, M.; Abraham, A.; Goveia da Rocha, B.; Andersen, K.; Liang, R.-H.</t>
  </si>
  <si>
    <t>Goudswaard, Maas (57218862818); Abraham, Abel (57218863799); Goveia da Rocha, Bruna (57209308626); Andersen, Kristina (24079506700); Liang, Ronghao (57014209000)</t>
  </si>
  <si>
    <t>57218862818; 57218863799; 57209308626; 24079506700; 57014209000</t>
  </si>
  <si>
    <t>FabriClick: Interweaving pushbuttons into fabrics using 3d printing and digital embroidery</t>
  </si>
  <si>
    <t>DIS 2020 - Proceedings of the 2020 ACM Designing Interactive Systems Conference</t>
  </si>
  <si>
    <t>10.1145/3357236.3395569</t>
  </si>
  <si>
    <t>https://www.scopus.com/inward/record.uri?eid=2-s2.0-85090502866&amp;doi=10.1145%2F3357236.3395569&amp;partnerID=40&amp;md5=6f3915b176cdc5fdf1eb028c441e3174</t>
  </si>
  <si>
    <t>Goudswaard, Maas, Technische Universiteit Eindhoven, Eindhoven, Noord-Brabant, Netherlands; Abraham, Abel, Technische Universiteit Eindhoven, Eindhoven, Noord-Brabant, Netherlands, Simon Fraser University, Burnaby, BC, Canada; Goveia da Rocha, Bruna, Technische Universiteit Eindhoven, Eindhoven, Noord-Brabant, Netherlands; Andersen, Kristina, Technische Universiteit Eindhoven, Eindhoven, Noord-Brabant, Netherlands; Liang, Ronghao, Technische Universiteit Eindhoven, Eindhoven, Noord-Brabant, Netherlands</t>
  </si>
  <si>
    <t>Association for Computing Machinery, Inc acmhelp@acm.org</t>
  </si>
  <si>
    <t>DIS Companion - Companion Publ. ACM Des. Interact. Syst. Conf.</t>
  </si>
  <si>
    <t>2-s2.0-85090502866</t>
  </si>
  <si>
    <t>Omelchenko, P.; Montoya, E.; Girt, E.; Heinrich, B.</t>
  </si>
  <si>
    <t>Omelchenko, Paul (56677883900); Montoya, Eric A. (37261702000); Girt, Erol (7004753025); Heinrich, Bretislav (35501028000)</t>
  </si>
  <si>
    <t>56677883900; 37261702000; 7004753025; 35501028000</t>
  </si>
  <si>
    <t>Journal of Experimental and Theoretical Physics</t>
  </si>
  <si>
    <t>10.1134/S1063776120070080</t>
  </si>
  <si>
    <t>https://www.scopus.com/inward/record.uri?eid=2-s2.0-85090299104&amp;doi=10.1134%2FS1063776120070080&amp;partnerID=40&amp;md5=a0afb644e11bc11cdaca00c030bfdf9c</t>
  </si>
  <si>
    <t>Department of Physics, Simon Fraser University, Burnaby, BC, Canada; Department of Physics and Astronomy, University of California, Irvine, Irvine, CA, United States</t>
  </si>
  <si>
    <t>Omelchenko, Paul, Department of Physics, Simon Fraser University, Burnaby, BC, Canada; Montoya, Eric A., Department of Physics, Simon Fraser University, Burnaby, BC, Canada, Department of Physics and Astronomy, University of California, Irvine, Irvine, CA, United States; Girt, Erol, Department of Physics, Simon Fraser University, Burnaby, BC, Canada; Heinrich, Bretislav, Department of Physics, Simon Fraser University, Burnaby, BC, Canada</t>
  </si>
  <si>
    <t>P. Omelchenko; Department of Physics, Simon Fraser University, Burnaby, 8888 University Dr, V5A 1S6, Canada; email: ppo@sfu.ca</t>
  </si>
  <si>
    <t>Pleiades Publishing compmg@maik.ru</t>
  </si>
  <si>
    <t>J. Exp. Theor. Phys.</t>
  </si>
  <si>
    <t>2-s2.0-85090299104</t>
  </si>
  <si>
    <t>V Grayli, S.; Zhang, X.; MacNab, F.C.; Kamal, S.; Star, D.; Leach, G.W.</t>
  </si>
  <si>
    <t>V Grayli, Sasan (57217331969); Zhang, Xin (57192507717); MacNab, Finlay C. (6507256134); Kamal, Saeid (57193363423); Star, Dmitry (6507068072); Leach, Gary W. (7102871900)</t>
  </si>
  <si>
    <t>57217331969; 57192507717; 6507256134; 57193363423; 6507068072; 7102871900</t>
  </si>
  <si>
    <t>10.1021/acsnano.0c03466</t>
  </si>
  <si>
    <t>https://www.scopus.com/inward/record.uri?eid=2-s2.0-85087096719&amp;doi=10.1021%2Facsnano.0c03466&amp;partnerID=40&amp;md5=af5faf89e1f5367b2ac4afc3446b6520</t>
  </si>
  <si>
    <t>V Grayli, Sasan, Simon Fraser University, Burnaby, BC, Canada; Zhang, Xin, Simon Fraser University, Burnaby, BC, Canada; MacNab, Finlay C., Simon Fraser University, Burnaby, BC, Canada; Kamal, Saeid, Simon Fraser University, Burnaby, BC, Canada; Star, Dmitry, Simon Fraser University, Burnaby, BC, Canada; Leach, Gary W., Simon Fraser University, Burnaby, BC, Canada</t>
  </si>
  <si>
    <t>G.W. Leach; Department of Chemistry, Laboratory for Advanced Spectroscopy and Imaging Research, and 4D LABS, Simon Fraser University, Burnaby, 8888 University Drive, V5A 1S6, Canada; email: gleach@sfu.ca</t>
  </si>
  <si>
    <t>American Chemical Society service@acs.org</t>
  </si>
  <si>
    <t>2-s2.0-85087096719</t>
  </si>
  <si>
    <t>Buvat, G.; Eslamibidgoli, M.J.; Garbarino, S.; Eikerling, M.; Guay, D.</t>
  </si>
  <si>
    <t>Buvat, Gaëtan (56916105800); Eslamibidgoli, Mohammad Javad (55444628700); Garbarino, Sébastien (26040680900); Eikerling, M. H. (6604046486); Guay, Daniel (35482565400)</t>
  </si>
  <si>
    <t>56916105800; 55444628700; 26040680900; 6604046486; 35482565400</t>
  </si>
  <si>
    <t>OER Performances of Cationic Substituted (100)-Oriented IrO2Thin Films: A Joint Experimental and Theoretical Study</t>
  </si>
  <si>
    <t>10.1021/acsaem.0c00069</t>
  </si>
  <si>
    <t>https://www.scopus.com/inward/record.uri?eid=2-s2.0-85087795191&amp;doi=10.1021%2Facsaem.0c00069&amp;partnerID=40&amp;md5=9d5a403ed1a0c5a8d0f33ef91da20773</t>
  </si>
  <si>
    <t>Centre Énergie Matériaux Télécommunications, Varennes, QC, Canada; Simon Fraser University, Burnaby, BC, Canada; PRIMA Québec, Montreal, QC, Canada; Institute of Energy and Climate Research, Forschungszentrum Jülich GmbH, Julich, Germany</t>
  </si>
  <si>
    <t>Buvat, Gaëtan, Centre Énergie Matériaux Télécommunications, Varennes, QC, Canada; Eslamibidgoli, Mohammad Javad, Centre Énergie Matériaux Télécommunications, Varennes, QC, Canada, Simon Fraser University, Burnaby, BC, Canada, Institute of Energy and Climate Research, Forschungszentrum Jülich GmbH, Julich, Germany; Garbarino, Sébastien, PRIMA Québec, Montreal, QC, Canada; Eikerling, M. H., Institute of Energy and Climate Research, Forschungszentrum Jülich GmbH, Julich, Germany; Guay, Daniel, Centre Énergie Matériaux Télécommunications, Varennes, QC, Canada</t>
  </si>
  <si>
    <t>D. Guay; INRS-énergie Matériaux Télécommunications, Varennes, 1650 Lionel-Boulet Boulevard, P.O. 1020, J3X 1S2, Canada; email: guay@emt.inrs.ca</t>
  </si>
  <si>
    <t>2-s2.0-85087795191</t>
  </si>
  <si>
    <t>Dreolini, L.; Cullen, M.; Yung, E.; Laird, L.; Webb, J.R.; Nelson, B.H.; Hay, K.A.; Balasundaram, M.; Kekre, N.; Holt, R.A.</t>
  </si>
  <si>
    <t>Dreolini, Lisa (6503959566); Cullen, Mark (57215086736); Yung, Eric (21835182800); Laird, Lawrence (57215092175); Webb, John R. (35408202500); Nelson, Brad H. (7402428032); Hay, Kevin A. (57192995169); Balasundaram, Miruna (8976677500); Kekre, Natasha (53879840800); Holt, Robert A. (7402085535)</t>
  </si>
  <si>
    <t>6503959566; 57215086736; 21835182800; 57215092175; 35408202500; 7402428032; 57192995169; 8976677500; 53879840800; 7402085535</t>
  </si>
  <si>
    <t>A Rapid and Sensitive Nucleic Acid Amplification Technique for Mycoplasma Screening of Cell Therapy Products</t>
  </si>
  <si>
    <t>10.1016/j.omtm.2020.01.009</t>
  </si>
  <si>
    <t>https://www.scopus.com/inward/record.uri?eid=2-s2.0-85079904245&amp;doi=10.1016%2Fj.omtm.2020.01.009&amp;partnerID=40&amp;md5=286269abcc40f0a4da10baeed1d7267f</t>
  </si>
  <si>
    <t>British Columbia Cancer Agency, Vancouver, BC, Canada; British Columbia Cancer Agency, Vancouver, BC, Canada; Department of Biochemistry and Microbiology, University of Victoria, Victoria, BC, Canada; Department of Medical Genetics, The University of British Columbia, Vancouver, BC, Canada; Terry Fox Laboratory, Vancouver, BC, Canada; Department of Medicine, The University of British Columbia, Vancouver, BC, Canada; Blood and Marrow Transplant Program, Ottawa Hospital Research Institute, Ottawa, ON, Canada; Department of Biochemistry and Molecular Biology, Simon Fraser University, Burnaby, BC, Canada</t>
  </si>
  <si>
    <t>Dreolini, Lisa, British Columbia Cancer Agency, Vancouver, BC, Canada; Cullen, Mark, British Columbia Cancer Agency, Vancouver, BC, Canada; Yung, Eric, British Columbia Cancer Agency, Vancouver, BC, Canada; Laird, Lawrence, British Columbia Cancer Agency, Vancouver, BC, Canada; Webb, John R., British Columbia Cancer Agency, Vancouver, BC, Canada, Department of Biochemistry and Microbiology, University of Victoria, Victoria, BC, Canada; Nelson, Brad H., British Columbia Cancer Agency, Vancouver, BC, Canada, Department of Biochemistry and Microbiology, University of Victoria, Victoria, BC, Canada, Department of Medical Genetics, The University of British Columbia, Vancouver, BC, Canada; Hay, Kevin A., Terry Fox Laboratory, Vancouver, BC, Canada, Department of Medicine, The University of British Columbia, Vancouver, BC, Canada; Balasundaram, Miruna, British Columbia Cancer Agency, Vancouver, BC, Canada; Kekre, Natasha, Blood and Marrow Transplant Program, Ottawa Hospital Research Institute, Ottawa, ON, Canada; Holt, Robert A., British Columbia Cancer Agency, Vancouver, BC, Canada, Department of Medical Genetics, The University of British Columbia, Vancouver, BC, Canada, Department of Biochemistry and Molecular Biology, Simon Fraser University, Burnaby, BC, Canada</t>
  </si>
  <si>
    <t>R.A. Holt; Canada's Michael Smith Genome Sciences Centre, BC Cancer, Vancouver, BC V5Z 1L3, Canada; email: rholt@bcgsc.ca</t>
  </si>
  <si>
    <t>2-s2.0-85079904245</t>
  </si>
  <si>
    <t>Zhao, Y.; Li, Y.; Zhou, Z.; Peng, R.-C.; Zhu, S.; Yao, M.; Peng, B.; Zhao, Y.; Cheng, Y.; Tian, B.; Hu, Z.; Ye, Z.-G.; Jiang, Z.; Liu, M.</t>
  </si>
  <si>
    <t>Zhao, Yanan (57211240382); Li, Yaojin (57195614137); Zhou, Ziyao (53867616700); Peng, Renci (56417134700); Zhu, Shukai (57219353404); Yao, Monteng (56710873100); Peng, Bing (56870780100); Zhao, Yifan (56259175100); Cheng, Yuxin (57201615153); Tian, Bian (7201678231); Hu, Zhongqiang (25641266000); Ye, Zuo Guang (24443034100); Jiang, Zhuangde (57203495930); Liu, Ming (56517197100)</t>
  </si>
  <si>
    <t>57211240382; 57195614137; 53867616700; 56417134700; 57219353404; 56710873100; 56870780100; 56259175100; 57201615153; 7201678231; 25641266000; 24443034100; 57203495930; 56517197100</t>
  </si>
  <si>
    <t>Low-damping flexible Y3Fe5O12thin films for tunable RF/microwave processors</t>
  </si>
  <si>
    <t>10.1039/c9mh01782h</t>
  </si>
  <si>
    <t>https://www.scopus.com/inward/record.uri?eid=2-s2.0-85092409449&amp;doi=10.1039%2Fc9mh01782h&amp;partnerID=40&amp;md5=869ba11804ec3ca6f726605d83b36326</t>
  </si>
  <si>
    <t>Electronic Materials Research Laboratory, Xi'an Jiaotong University, Xi'an, Shaanxi, China; International Joint Research Laboratory for Micro/Nano Manufacturing and Measurement Technologies, Xi'an Jiaotong University, Xi'an, Shaanxi, China; State Key Laboratory for Manufacturing Systems Engineering, Xi'an, Shaanxi, China; Simon Fraser University, Burnaby, BC, Canada</t>
  </si>
  <si>
    <t>Zhao, Yanan, Electronic Materials Research Laboratory, Xi'an Jiaotong University, Xi'an, Shaanxi, China; Li, Yaojin, Electronic Materials Research Laboratory, Xi'an Jiaotong University, Xi'an, Shaanxi, China; Zhou, Ziyao, Electronic Materials Research Laboratory, Xi'an Jiaotong University, Xi'an, Shaanxi, China; Peng, Renci, Electronic Materials Research Laboratory, Xi'an Jiaotong University, Xi'an, Shaanxi, China; Zhu, Shukai, Electronic Materials Research Laboratory, Xi'an Jiaotong University, Xi'an, Shaanxi, China; Yao, Monteng, Electronic Materials Research Laboratory, Xi'an Jiaotong University, Xi'an, Shaanxi, China; Peng, Bing, Electronic Materials Research Laboratory, Xi'an Jiaotong University, Xi'an, Shaanxi, China; Zhao, Yifan, Electronic Materials Research Laboratory, Xi'an Jiaotong University, Xi'an, Shaanxi, China; Cheng, Yuxin, Electronic Materials Research Laboratory, Xi'an Jiaotong University, Xi'an, Shaanxi, China; Tian, Bian, International Joint Research Laboratory for Micro/Nano Manufacturing and Measurement Technologies, Xi'an Jiaotong University, Xi'an, Shaanxi, China, State Key Laboratory for Manufacturing Systems Engineering, Xi'an, Shaanxi, China; Hu, Zhongqiang, Electronic Materials Research Laboratory, Xi'an Jiaotong University, Xi'an, Shaanxi, China; Ye, Zuo Guang, Electronic Materials Research Laboratory, Xi'an Jiaotong University, Xi'an, Shaanxi, China, Simon Fraser University, Burnaby, BC, Canada; Jiang, Zhuangde, International Joint Research Laboratory for Micro/Nano Manufacturing and Measurement Technologies, Xi'an Jiaotong University, Xi'an, Shaanxi, China, State Key Laboratory for Manufacturing Systems Engineering, Xi'an, Shaanxi, China; Liu, Ming, Electronic Materials Research Laboratory, Xi'an Jiaotong University, Xi'an, Shaanxi, China, International Joint Research Laboratory for Micro/Nano Manufacturing and Measurement Technologies, Xi'an Jiaotong University, Xi'an, Shaanxi, China</t>
  </si>
  <si>
    <t>Z. Zhou; Electronic Materials Research Laboratory, Key Laboratory of the Ministry of Education, School of Electronic and Information Engineering, State Key Laboratory for Mechanical Behavior of Materials, Xi'An Jiaotong University, Xi'an, 710049, China; email: ziyaozhou@xjtu.edu.cn; M. Liu; Electronic Materials Research Laboratory, Key Laboratory of the Ministry of Education, School of Electronic and Information Engineering, State Key Laboratory for Mechanical Behavior of Materials, Xi'An Jiaotong University, Xi'an, 710049, China; email: mingliu@xjtu.edu.cn; M. Liu; Electronic Materials Research Laboratory, Key Laboratory of the Ministry of Education, School of Electronic and Information Engineering, State Key Laboratory for Mechanical Behavior of Materials, Xi'An Jiaotong University, Xi'an, 710049, China; email: mingliu@xjtu.edu.cn</t>
  </si>
  <si>
    <t>Royal Society of Chemistry orders@rsc.org</t>
  </si>
  <si>
    <t>2-s2.0-85092409449</t>
  </si>
  <si>
    <t>Xiang, Y.; Zhang, X.</t>
  </si>
  <si>
    <t>Xiang, Yu (57207918408); Zhang, Xiaoxing (57202358222)</t>
  </si>
  <si>
    <t>57207918408; 57202358222</t>
  </si>
  <si>
    <t>CCTV in Africa: Constructive approach to manufacturing consent</t>
  </si>
  <si>
    <t>Journal of African Media Studies</t>
  </si>
  <si>
    <t>10.1386/jams_00018_1</t>
  </si>
  <si>
    <t>https://www.scopus.com/inward/record.uri?eid=2-s2.0-85088049586&amp;doi=10.1386%2Fjams_00018_1&amp;partnerID=40&amp;md5=52d9ab752f4817a9157d0afaecc18080</t>
  </si>
  <si>
    <t>School of Journalism and Communication, Shanghai University, Shanghai, China; School of Communication, Simon Fraser University, Burnaby, BC, Canada</t>
  </si>
  <si>
    <t>Xiang, Yu, School of Journalism and Communication, Shanghai University, Shanghai, China; Zhang, Xiaoxing, School of Communication, Simon Fraser University, Burnaby, BC, Canada</t>
  </si>
  <si>
    <t>Intellect Ltd. Bethan@intellectbooks.com</t>
  </si>
  <si>
    <t>2040199X</t>
  </si>
  <si>
    <t>J. Afr. Media Stud.</t>
  </si>
  <si>
    <t>2-s2.0-85088049586</t>
  </si>
  <si>
    <t>Masson-MacLean, E.; Houmard, C.; Knecht, R.; Sidéra, I.; Dobney, K.; Britton, K.</t>
  </si>
  <si>
    <t>Masson-MacLean, Edouard (57192264654); Houmard, Claire (24449327000); Knecht, Rick A. (7005085911); Sidéra, Isabelle (26033600100); Dobney, Keith M. (6602595568); Britton, Kate (36027962100)</t>
  </si>
  <si>
    <t>57192264654; 24449327000; 7005085911; 26033600100; 6602595568; 36027962100</t>
  </si>
  <si>
    <t>Pre-contact adaptations to the Little Ice Age in Southwest Alaska: New evidence from the Nunalleq site</t>
  </si>
  <si>
    <t>Quaternary International</t>
  </si>
  <si>
    <t>10.1016/j.quaint.2019.05.003</t>
  </si>
  <si>
    <t>https://www.scopus.com/inward/record.uri?eid=2-s2.0-85065528983&amp;doi=10.1016%2Fj.quaint.2019.05.003&amp;partnerID=40&amp;md5=2c601909fd455994d443e9b4683b3da4</t>
  </si>
  <si>
    <t>Department of Archaeology, University of Aberdeen, Aberdeen, Scotland, United Kingdom; Northlight Heritage, Glasgow, United Kingdom; Préhistoire et Technologie, Nanterre, Ile-de-France, France; National Museum of Denmark, Copenhagen, Denmark; Department of Archaeology, University of Liverpool, Liverpool, Merseyside, United Kingdom; Department of Human Evolution, Max-Planck-Institut für Evolutionäre Anthropologie, Leipzig, Sachsen, Germany; Department of Archaeology, Simon Fraser University, Burnaby, BC, Canada</t>
  </si>
  <si>
    <t>Masson-MacLean, Edouard, Department of Archaeology, University of Aberdeen, Aberdeen, Scotland, United Kingdom, Northlight Heritage, Glasgow, United Kingdom; Houmard, Claire, Préhistoire et Technologie, Nanterre, Ile-de-France, France, National Museum of Denmark, Copenhagen, Denmark; Knecht, Rick A., Department of Archaeology, University of Aberdeen, Aberdeen, Scotland, United Kingdom; Sidéra, Isabelle, Préhistoire et Technologie, Nanterre, Ile-de-France, France; Dobney, Keith M., Department of Archaeology, University of Aberdeen, Aberdeen, Scotland, United Kingdom, Department of Archaeology, University of Liverpool, Liverpool, Merseyside, United Kingdom, Department of Archaeology, Simon Fraser University, Burnaby, BC, Canada; Britton, Kate, Department of Archaeology, University of Aberdeen, Aberdeen, Scotland, United Kingdom, Department of Human Evolution, Max-Planck-Institut für Evolutionäre Anthropologie, Leipzig, Sachsen, Germany</t>
  </si>
  <si>
    <t>E. Masson-MacLean; Department of Archaeology, University of Aberdeen, Aberdeen, St. Mary's Building, Elphinstone Road, AB24 3UF, United Kingdom; email: edouard.masson-maclean@abdn.ac.uk</t>
  </si>
  <si>
    <t>Quat. Int.</t>
  </si>
  <si>
    <t>2-s2.0-85065528983</t>
  </si>
  <si>
    <t>Haeri, S.; Haeri, S.; Hanson, J.; Lotfian, S.</t>
  </si>
  <si>
    <t>Haeri, Sina (24479494500); Haeri, Soroush (54787498500); Hanson, Jack (59271070400); Lotfian, Saeid (55317961100)</t>
  </si>
  <si>
    <t>24479494500; 54787498500; 59271070400; 55317961100</t>
  </si>
  <si>
    <t>Powder Technology</t>
  </si>
  <si>
    <t>10.1016/j.powtec.2020.04.031</t>
  </si>
  <si>
    <t>https://www.scopus.com/inward/record.uri?eid=2-s2.0-85083898660&amp;doi=10.1016%2Fj.powtec.2020.04.031&amp;partnerID=40&amp;md5=9cb71d6838814e0b4885247bed718909</t>
  </si>
  <si>
    <t>Department of Mechanical and Aerospace Engineering, University of Strathclyde, Glasgow, Scotland, United Kingdom; Simon Fraser University, Burnaby, BC, Canada; Department of Naval Architecture, University of Strathclyde, Glasgow, Scotland, United Kingdom</t>
  </si>
  <si>
    <t>Haeri, Sina, Department of Mechanical and Aerospace Engineering, University of Strathclyde, Glasgow, Scotland, United Kingdom; Haeri, Soroush, Simon Fraser University, Burnaby, BC, Canada; Hanson, Jack, Department of Mechanical and Aerospace Engineering, University of Strathclyde, Glasgow, Scotland, United Kingdom; Lotfian, Saeid, Department of Naval Architecture, University of Strathclyde, Glasgow, Scotland, United Kingdom</t>
  </si>
  <si>
    <t>S. Haeri; James Weir Fluid Laboratory, Department of Mechanical and Aerospace Engineering, University of Strathclyde, Glasgow, 75 Montrose St, G1 1XQ, United Kingdom; email: sina.haeri@strath.ac.uk</t>
  </si>
  <si>
    <t>POTEB</t>
  </si>
  <si>
    <t>Powder Technol.</t>
  </si>
  <si>
    <t>2-s2.0-85083898660</t>
  </si>
  <si>
    <t>Wang, Y.; Niu, G.; Wang, Q.; Roy, S.; Dai, L.; Wu, H.; Sun, Y.; Song, S.; Song, Z.; Xie, Y.-H.; Ye, Z.-G.; Meng, X.; Ren, W.</t>
  </si>
  <si>
    <t>Wang, Yankun (57211399251); Niu, Gang (55392353500); Wang, Qiang (56182134500); Roy, Sourav (56562204700); Dai, Liyan (57195225097); Wu, Heping (57211393978); Sun, Yanxiao (57215871838); Song, Sannnian (55521449300); Song, Zhitang (7402858275); Xie, Yahong (24365695400); Ye, Zuo Guang (24443034100); Meng, Xiangjiang Jian (7401629820); Ren, Wei (57201421397)</t>
  </si>
  <si>
    <t>57211399251; 55392353500; 56182134500; 56562204700; 57195225097; 57211393978; 57215871838; 55521449300; 7402858275; 24365695400; 24443034100; 7401629820; 57201421397</t>
  </si>
  <si>
    <t>Reliable resistive switching of epitaxial single crystalline cubic Y-HfO2 RRAMs with Si as bottom electrodes</t>
  </si>
  <si>
    <t>10.1088/1361-6528/ab72b6</t>
  </si>
  <si>
    <t>https://www.scopus.com/inward/record.uri?eid=2-s2.0-85082172247&amp;doi=10.1088%2F1361-6528%2Fab72b6&amp;partnerID=40&amp;md5=c7ad71100a41ab78e94955766020b1f7</t>
  </si>
  <si>
    <t>Electronic Materials Research Laboratory, Xi'an Jiaotong University, Xi'an, Shaanxi, China; State Key Laboratory of Functional Materials for Informatics, Shanghai Institute of Microsystem and Information Technology Chinese Academy of Sciences, Shanghai, Shanghai, China; UCLA Samueli School of Engineering, Los Angeles, CA, United States; Simon Fraser University, Burnaby, BC, Canada; Shanghai Institute of Technical Physics Chinese Academy of Sciences, Shanghai, Shanghai, China</t>
  </si>
  <si>
    <t>Wang, Yankun, Electronic Materials Research Laboratory, Xi'an Jiaotong University, Xi'an, Shaanxi, China; Niu, Gang, Electronic Materials Research Laboratory, Xi'an Jiaotong University, Xi'an, Shaanxi, China; Wang, Qiang, Electronic Materials Research Laboratory, Xi'an Jiaotong University, Xi'an, Shaanxi, China; Roy, Sourav, Electronic Materials Research Laboratory, Xi'an Jiaotong University, Xi'an, Shaanxi, China; Dai, Liyan, Electronic Materials Research Laboratory, Xi'an Jiaotong University, Xi'an, Shaanxi, China; Wu, Heping, Electronic Materials Research Laboratory, Xi'an Jiaotong University, Xi'an, Shaanxi, China; Sun, Yanxiao, Electronic Materials Research Laboratory, Xi'an Jiaotong University, Xi'an, Shaanxi, China; Song, Sannnian, State Key Laboratory of Functional Materials for Informatics, Shanghai Institute of Microsystem and Information Technology Chinese Academy of Sciences, Shanghai, Shanghai, China; Song, Zhitang, State Key Laboratory of Functional Materials for Informatics, Shanghai Institute of Microsystem and Information Technology Chinese Academy of Sciences, Shanghai, Shanghai, China; Xie, Yahong, UCLA Samueli School of Engineering, Los Angeles, CA, United States; Ye, Zuo Guang, Simon Fraser University, Burnaby, BC, Canada; Meng, Xiangjiang Jian, Shanghai Institute of Technical Physics Chinese Academy of Sciences, Shanghai, Shanghai, China; Ren, Wei, Electronic Materials Research Laboratory, Xi'an Jiaotong University, Xi'an, Shaanxi, China</t>
  </si>
  <si>
    <t>G. Niu; Electronic Materials Research Laboratory, Key Laboratory of the Ministry of Education, International Center for Dielectric Research, Xi'An Jiaotong University, School of Electronic Science and Engineering, Xi'an, China; email: gangniu@xjtu.edu.cn</t>
  </si>
  <si>
    <t>Institute of Physics Publishing helen.craven@iop.org</t>
  </si>
  <si>
    <t>2-s2.0-85082172247</t>
  </si>
  <si>
    <t>Zhang, Z.; Collins, M.; Lau, E.; Botting, C.; Bahrami, M.</t>
  </si>
  <si>
    <t>Zhang, Zhongchen (57211522444); Collins, Michael R. (7404083839); Lau, Eric (57202496401); Botting, Chris (6701322235); Bahrami, Majid M. (35499001600)</t>
  </si>
  <si>
    <t>57211522444; 7404083839; 57202496401; 6701322235; 35499001600</t>
  </si>
  <si>
    <t>The role of anodization in naturally cooled heat sinks for power electronic devices</t>
  </si>
  <si>
    <t>Journal of Heat Transfer</t>
  </si>
  <si>
    <t>10.1115/1.4046309</t>
  </si>
  <si>
    <t>https://www.scopus.com/inward/record.uri?eid=2-s2.0-85088231241&amp;doi=10.1115%2F1.4046309&amp;partnerID=40&amp;md5=1edf23ca0e27d75038f631401048070a</t>
  </si>
  <si>
    <t>School of Mechatronic Systems Engineering, Simon Fraser University, Burnaby, BC, Canada; Department of Mechanical and Mechatronics Engineering, University of Waterloo, Waterloo, ON, Canada; Department of Engineering, Delta-Q Technologies Corp., Burnaby, BC, Canada; Department of Research, Delta-Q Technologies Corp., Burnaby, BC, Canada</t>
  </si>
  <si>
    <t>Zhang, Zhongchen, School of Mechatronic Systems Engineering, Simon Fraser University, Burnaby, BC, Canada; Collins, Michael R., Department of Mechanical and Mechatronics Engineering, University of Waterloo, Waterloo, ON, Canada; Lau, Eric, Department of Engineering, Delta-Q Technologies Corp., Burnaby, BC, Canada; Botting, Chris, Department of Research, Delta-Q Technologies Corp., Burnaby, BC, Canada; Bahrami, Majid M., School of Mechatronic Systems Engineering, Simon Fraser University, Burnaby, BC, Canada</t>
  </si>
  <si>
    <t>M. Bahrami; Laboratory for Alternative Energy Conversion (LAEC), School of Mechatronic Systems Engineering, Simon Fraser University, Surrey, 250-13450 102 Avenue, V3T 0A3, Canada; email: mbahrami@sfu.ca</t>
  </si>
  <si>
    <t>JHTRA</t>
  </si>
  <si>
    <t>J. Heat Transf.</t>
  </si>
  <si>
    <t>2-s2.0-85088231241</t>
  </si>
  <si>
    <t>McCuaig, L.M.; Martyniuk, C.J.; Marlatt, V.L.</t>
  </si>
  <si>
    <t>McCuaig, Lisa M. (57214991695); Martyniuk, Christopher J. (6507932776); Marlatt, Vicki Lee (6504041330)</t>
  </si>
  <si>
    <t>57214991695; 6507932776; 6504041330</t>
  </si>
  <si>
    <t>Morphometric and proteomic responses of early-life stage rainbow trout (Oncorhynchus mykiss) to the aquatic herbicide diquat dibromide</t>
  </si>
  <si>
    <t>10.1016/j.aquatox.2020.105446</t>
  </si>
  <si>
    <t>https://www.scopus.com/inward/record.uri?eid=2-s2.0-85079607027&amp;doi=10.1016%2Fj.aquatox.2020.105446&amp;partnerID=40&amp;md5=e0542c281984ec6f339cc35403239994</t>
  </si>
  <si>
    <t>Department of Biological Sciences, Simon Fraser University, Burnaby, BC, Canada; Department of Physiological Sciences and Center for Environmental and Human Toxicology, UF College of Veterinary Medicine, Gainesville, FL, United States</t>
  </si>
  <si>
    <t>McCuaig, Lisa M., Department of Biological Sciences, Simon Fraser University, Burnaby, BC, Canada; Martyniuk, Christopher J., Department of Physiological Sciences and Center for Environmental and Human Toxicology, UF College of Veterinary Medicine, Gainesville, FL, United States; Marlatt, Vicki Lee, Department of Biological Sciences, Simon Fraser University, Burnaby, BC, Canada</t>
  </si>
  <si>
    <t>L.M. McCuaig; Department of Biological Sciences, Simon Fraser University, Burnaby, 8888 University Drive, V5A 1S6, Canada; email: researcharticle15@gmail.com</t>
  </si>
  <si>
    <t>2-s2.0-85079607027</t>
  </si>
  <si>
    <t>Yousefi, N.; Maala, J.J.; Louie, M.; Storback, J.; Kaake, L.G.</t>
  </si>
  <si>
    <t>Yousefi, Nastaran (57216452932); Maala, Janneus J. (57216453581); Louie, Mikayla (57197841695); Storback, Jacob (57216454530); Kaake, Loren G. (16679060400)</t>
  </si>
  <si>
    <t>57216452932; 57216453581; 57197841695; 57216454530; 16679060400</t>
  </si>
  <si>
    <t>10.1021/acsami.0c00724</t>
  </si>
  <si>
    <t>https://www.scopus.com/inward/record.uri?eid=2-s2.0-85083544771&amp;doi=10.1021%2Facsami.0c00724&amp;partnerID=40&amp;md5=738fd080906c10241d2088f80f9257ec</t>
  </si>
  <si>
    <t>Yousefi, Nastaran, Simon Fraser University, Burnaby, BC, Canada; Maala, Janneus J., Simon Fraser University, Burnaby, BC, Canada; Louie, Mikayla, Simon Fraser University, Burnaby, BC, Canada; Storback, Jacob, Simon Fraser University, Burnaby, BC, Canada; Kaake, Loren G., Simon Fraser University, Burnaby, BC, Canada</t>
  </si>
  <si>
    <t>2-s2.0-85083544771</t>
  </si>
  <si>
    <t>Pearce, L.A.; Min, J.E.; Piske, M.; Zhou, H.; Homayra, F.; Slaunwhite, A.; Irvine, M.; McGowan, G.; Nosyk, B.</t>
  </si>
  <si>
    <t>Pearce, Lindsay A. (57202779892); Min, Jeong-eun (56007375400); Piske, Micah (55565383400); Zhou, Haoxuan (57213170548); Homayra, Fahmida (55960372900); Slaunwhite, Amanda Kathleen (56479230500); Irvine, Michael A. (56921713500); McGowan, Gina (56313570200); Nosyk, Bohdan (12809172100)</t>
  </si>
  <si>
    <t>57202779892; 56007375400; 55565383400; 57213170548; 55960372900; 56479230500; 56921713500; 56313570200; 12809172100</t>
  </si>
  <si>
    <t>Opioid agonist treatment and risk of mortality during opioid overdose public health emergency: Population based retrospective cohort study</t>
  </si>
  <si>
    <t>The BMJ</t>
  </si>
  <si>
    <t>m772</t>
  </si>
  <si>
    <t>10.1136/bmj.m772</t>
  </si>
  <si>
    <t>https://www.scopus.com/inward/record.uri?eid=2-s2.0-85082731697&amp;doi=10.1136%2Fbmj.m772&amp;partnerID=40&amp;md5=f1c5435206fedf49c48f60e06b9f7c14</t>
  </si>
  <si>
    <t>Health Economic Research Unit, British Columbia Centre for Excellence in HIV-AIDS, Vancouver, BC, Canada; BC Centre for Disease Control, Vancouver, BC, Canada; British Columbia Ministry of Mental Health and Addictions, Victoria, BC, Canada; Faculty of Health Sciences, Simon Fraser University, Burnaby, BC, Canada</t>
  </si>
  <si>
    <t>Pearce, Lindsay A., Health Economic Research Unit, British Columbia Centre for Excellence in HIV-AIDS, Vancouver, BC, Canada; Min, Jeong-eun, Health Economic Research Unit, British Columbia Centre for Excellence in HIV-AIDS, Vancouver, BC, Canada; Piske, Micah, Health Economic Research Unit, British Columbia Centre for Excellence in HIV-AIDS, Vancouver, BC, Canada; Zhou, Haoxuan, Health Economic Research Unit, British Columbia Centre for Excellence in HIV-AIDS, Vancouver, BC, Canada; Homayra, Fahmida, Health Economic Research Unit, British Columbia Centre for Excellence in HIV-AIDS, Vancouver, BC, Canada; Slaunwhite, Amanda Kathleen, BC Centre for Disease Control, Vancouver, BC, Canada; Irvine, Michael A., BC Centre for Disease Control, Vancouver, BC, Canada; McGowan, Gina, British Columbia Ministry of Mental Health and Addictions, Victoria, BC, Canada; Nosyk, Bohdan, Health Economic Research Unit, British Columbia Centre for Excellence in HIV-AIDS, Vancouver, BC, Canada, Faculty of Health Sciences, Simon Fraser University, Burnaby, BC, Canada</t>
  </si>
  <si>
    <t>B. Nosyk; Health Economic Research Unit, British Columbia Centre for Excellence in HIV/AIDS, Vancouver, V6Z 1Y6, Canada; email: bnosyk@cfenet.ubc.ca</t>
  </si>
  <si>
    <t>BMJ Publishing Group subscriptions@bmjgroup.com</t>
  </si>
  <si>
    <t>00071447; 09598146; 17561833</t>
  </si>
  <si>
    <t>BMJOA</t>
  </si>
  <si>
    <t>BMJ</t>
  </si>
  <si>
    <t>2-s2.0-85082731697</t>
  </si>
  <si>
    <t>Abdallah, B.B.; Zhang, X.; Andreu, I.; Gates, B.D.; El Mokni, R.; Rubino, S.; Landoulsi, A.; Abdelwaheb, A.</t>
  </si>
  <si>
    <t>Abdallah, Bouchra Belhaj (57212409234); Zhang, Xin (57192507717); Andreu, Irene (55257067900); Gates, Byron D. (7102128759); El Mokni, Ridha (59157704100); Rubino, Stefano (23976502700); Landoulsi, Ahmed (6602427599); Abdelwaheb, Chatti (24166576300)</t>
  </si>
  <si>
    <t>57212409234; 57192507717; 55257067900; 7102128759; 59157704100; 23976502700; 6602427599; 24166576300</t>
  </si>
  <si>
    <t>Differentiation of Nanoparticles Isolated from Distinct Plant Species Naturally Growing in a Heavy Metal Polluted Site</t>
  </si>
  <si>
    <t>Journal of Hazardous Materials</t>
  </si>
  <si>
    <t>10.1016/j.jhazmat.2019.121644</t>
  </si>
  <si>
    <t>https://www.scopus.com/inward/record.uri?eid=2-s2.0-85076620142&amp;doi=10.1016%2Fj.jhazmat.2019.121644&amp;partnerID=40&amp;md5=ded151c4a24cca79f523bbf72b60fdff</t>
  </si>
  <si>
    <t>Laboratory of Biochemistry and Molecular Biology, University of Carthage, Tunis, Tunis, Tunisia; Simon Fraser University, Burnaby, BC, Canada; Department of Pharmaceutical Sciences, Faculté de Pharmacie de Monastir, Monastir, Monastir, Tunisia; Technopole Borj Cedria, Centre de Recherches et des Technologies des Eaux, Soliman, Nabeul, Tunisia</t>
  </si>
  <si>
    <t>Abdallah, Bouchra Belhaj, Laboratory of Biochemistry and Molecular Biology, University of Carthage, Tunis, Tunis, Tunisia, Simon Fraser University, Burnaby, BC, Canada; Zhang, Xin, Simon Fraser University, Burnaby, BC, Canada; Andreu, Irene, Simon Fraser University, Burnaby, BC, Canada; Gates, Byron D., Simon Fraser University, Burnaby, BC, Canada; El Mokni, Ridha, Department of Pharmaceutical Sciences, Faculté de Pharmacie de Monastir, Monastir, Monastir, Tunisia; Rubino, Stefano, Simon Fraser University, Burnaby, BC, Canada; Landoulsi, Ahmed, Laboratory of Biochemistry and Molecular Biology, University of Carthage, Tunis, Tunis, Tunisia; Abdelwaheb, Chatti, Technopole Borj Cedria, Centre de Recherches et des Technologies des Eaux, Soliman, Nabeul, Tunisia</t>
  </si>
  <si>
    <t>JHMAD</t>
  </si>
  <si>
    <t>J. Hazard. Mater.</t>
  </si>
  <si>
    <t>2-s2.0-85076620142</t>
  </si>
  <si>
    <t>Dai, L.; Niu, G.; Zhao, J.; Zhao, H.; Liu, Y.; Wang, Y.; Zhang, Y.; Wu, H.; Wang, L.; Pfützenreuter, D.; Schwarzkopf, J.; Dubourdieu, C.; Schroeder, T.; Ye, Z.-G.; Xie, Y.-H.; Ren, W.</t>
  </si>
  <si>
    <t>Dai, Liyan (57195225097); Niu, Gang (55392353500); Zhao, Jinyan (56149865900); Zhao, Huifeng (56604425800); Liu, Yiwei (57195228858); Wang, Yankun (57211399251); Zhang, Yijun (56338589500); Wu, Heping (57211393978); Wang, Lingyan (24777618800); Pfützenreuter, Daniel (57214854744); Schwarzkopf, Jutta (55959193400); Dubourdieu, Catherine (7004491284); Schroeder, Thomas (59861577200); Ye, Zuo Guang (24443034100); Xie, Yahong (24365695400); Ren, Wei (57201421397)</t>
  </si>
  <si>
    <t>57195225097; 55392353500; 56149865900; 56604425800; 57195228858; 57211399251; 56338589500; 57211393978; 24777618800; 57214854744; 55959193400; 7004491284; 59861577200; 24443034100; 24365695400; 57201421397</t>
  </si>
  <si>
    <t>Toward van der Waals epitaxy of transferable ferroelectric barium titanate films: Via a graphene monolayer</t>
  </si>
  <si>
    <t>10.1039/c9tc06454k</t>
  </si>
  <si>
    <t>https://www.scopus.com/inward/record.uri?eid=2-s2.0-85081730958&amp;doi=10.1039%2Fc9tc06454k&amp;partnerID=40&amp;md5=63282f58039244754f65879976241749</t>
  </si>
  <si>
    <t>Electronic Materials Research Laboratory, Xi'an Jiaotong University, Xi'an, Shaanxi, China; Leibniz-Institut für Kristallzüchtung, Berlin, Germany; Helmholtz-Zentrum Berlin für Materialien und Energie (HZB), Berlin, Germany; Physical Chemistry, Freie Universität Berlin, Berlin, Berlin, Germany; Simon Fraser University, Burnaby, BC, Canada; UCLA Samueli School of Engineering, Los Angeles, CA, United States</t>
  </si>
  <si>
    <t>Dai, Liyan, Electronic Materials Research Laboratory, Xi'an Jiaotong University, Xi'an, Shaanxi, China; Niu, Gang, Electronic Materials Research Laboratory, Xi'an Jiaotong University, Xi'an, Shaanxi, China; Zhao, Jinyan, Electronic Materials Research Laboratory, Xi'an Jiaotong University, Xi'an, Shaanxi, China; Zhao, Huifeng, Electronic Materials Research Laboratory, Xi'an Jiaotong University, Xi'an, Shaanxi, China; Liu, Yiwei, Electronic Materials Research Laboratory, Xi'an Jiaotong University, Xi'an, Shaanxi, China; Wang, Yankun, Electronic Materials Research Laboratory, Xi'an Jiaotong University, Xi'an, Shaanxi, China; Zhang, Yijun, Electronic Materials Research Laboratory, Xi'an Jiaotong University, Xi'an, Shaanxi, China; Wu, Heping, Electronic Materials Research Laboratory, Xi'an Jiaotong University, Xi'an, Shaanxi, China; Wang, Lingyan, Electronic Materials Research Laboratory, Xi'an Jiaotong University, Xi'an, Shaanxi, China; Pfützenreuter, Daniel, Leibniz-Institut für Kristallzüchtung, Berlin, Germany; Schwarzkopf, Jutta, Leibniz-Institut für Kristallzüchtung, Berlin, Germany; Dubourdieu, Catherine, Helmholtz-Zentrum Berlin für Materialien und Energie (HZB), Berlin, Germany, Physical Chemistry, Freie Universität Berlin, Berlin, Berlin, Germany; Schroeder, Thomas, Leibniz-Institut für Kristallzüchtung, Berlin, Germany; Ye, Zuo Guang, Simon Fraser University, Burnaby, BC, Canada; Xie, Yahong, UCLA Samueli School of Engineering, Los Angeles, CA, United States; Ren, Wei, Electronic Materials Research Laboratory, Xi'an Jiaotong University, Xi'an, Shaanxi, China</t>
  </si>
  <si>
    <t>G. Niu; Electronic Materials Research Laboratory, Key Laboratory of the Ministry of Education, International Center for Dielectric Research, School of Electronic Science and Engineering, Xi'An Jiaotong University, Xi'an, 710049, China; email: gangniu@xjtu.edu.cn</t>
  </si>
  <si>
    <t>2-s2.0-85081730958</t>
  </si>
  <si>
    <t>Rydz, E.; Hall, A.L.; Peters, C.E.</t>
  </si>
  <si>
    <t>Rydz, Elizabeth (57211407388); Hall, Amy L. (37116888100); Peters, Cheryl Elizabeth (57218594170)</t>
  </si>
  <si>
    <t>57211407388; 37116888100; 57218594170</t>
  </si>
  <si>
    <t>Prevalence and Recent Trends in Exposure to Night Shiftwork in Canada</t>
  </si>
  <si>
    <t>Annals of Work Exposures and Health</t>
  </si>
  <si>
    <t>10.1093/annweh/wxaa001</t>
  </si>
  <si>
    <t>https://www.scopus.com/inward/record.uri?eid=2-s2.0-85081945184&amp;doi=10.1093%2Fannweh%2Fwxaa001&amp;partnerID=40&amp;md5=ed1951d02686559a618b2bfe168f98da</t>
  </si>
  <si>
    <t>Faculty of Health Sciences, Simon Fraser University, Burnaby, BC, Canada; Occupational Cancer Research Centre, Toronto, ON, Canada; Centre international de Recherche sur le Cancer, Lyon, Auvergne-Rhone-Alpes, France; Veterans Affairs Canada, Charlottetown, PE, Canada; CancerControl Alberta, Alberta Health Services, Edmonton, AB, Canada; Department of Oncology, Cumming School of Medicine, Calgary, AB, Canada</t>
  </si>
  <si>
    <t>Rydz, Elizabeth, Faculty of Health Sciences, Simon Fraser University, Burnaby, BC, Canada, Occupational Cancer Research Centre, Toronto, ON, Canada; Hall, Amy L., Centre international de Recherche sur le Cancer, Lyon, Auvergne-Rhone-Alpes, France, Veterans Affairs Canada, Charlottetown, PE, Canada; Peters, Cheryl Elizabeth, Faculty of Health Sciences, Simon Fraser University, Burnaby, BC, Canada, CancerControl Alberta, Alberta Health Services, Edmonton, AB, Canada, Department of Oncology, Cumming School of Medicine, Calgary, AB, Canada</t>
  </si>
  <si>
    <t>E. Rydz; Carex Canada, Faculty of Health Sciences, Simon Fraser University, Vancouver, Canada; email: erydz@carexcanada.ca</t>
  </si>
  <si>
    <t>Ann. Work Expo. Health</t>
  </si>
  <si>
    <t>2-s2.0-85081945184</t>
  </si>
  <si>
    <t>Sarrafan, A.; Azimi, S.; Bahreyni, B.; Golnaraghi, F.</t>
  </si>
  <si>
    <t>Sarrafan, Atabak (48861679700); Azimi, Soheil (19337247700); Bahreyni, Behraad (7801341985); Golnaraghi, Farid (7003988491)</t>
  </si>
  <si>
    <t>48861679700; 19337247700; 7801341985; 7003988491</t>
  </si>
  <si>
    <t>Demonstration of a Nonlinear Angular Rate Sensor based on Internal Resonance</t>
  </si>
  <si>
    <t>2020 IEEE Sensors Applications Symposium, SAS 2020 - Proceedings</t>
  </si>
  <si>
    <t>10.1109/SAS48726.2020.9220040</t>
  </si>
  <si>
    <t>https://www.scopus.com/inward/record.uri?eid=2-s2.0-85095606594&amp;doi=10.1109%2FSAS48726.2020.9220040&amp;partnerID=40&amp;md5=b91c5ca7c965d675fd34dc3f53c68234</t>
  </si>
  <si>
    <t>Sarrafan, Atabak, School of Mechatronic Systems Engineering, Simon Fraser University, Burnaby, BC, Canada; Azimi, Soheil, School of Mechatronic Systems Engineering, Simon Fraser University, Burnaby, BC, Canada; Bahreyni, Behraad, School of Mechatronic Systems Engineering, Simon Fraser University, Burnaby, BC, Canada; Golnaraghi, Farid, School of Mechatronic Systems Engineering, Simon Fraser University, Burnaby, BC, Canada</t>
  </si>
  <si>
    <t>IEEE Sensors Appl. Symp., SAS - Proc.</t>
  </si>
  <si>
    <t>2-s2.0-85095606594</t>
  </si>
  <si>
    <t>Moreton, M.L.; Lo, B.P.; Dawn Simmons, D.B.D.; Marlatt, V.L.</t>
  </si>
  <si>
    <t>Moreton, Michael L. (57210827914); Lo, Bonnie P. (37091059700); Dawn Simmons, Denina Bobbie (8570476500); Marlatt, Vicki Lee (6504041330)</t>
  </si>
  <si>
    <t>57210827914; 37091059700; 8570476500; 6504041330</t>
  </si>
  <si>
    <t>Toxicity of the aquatic herbicide, reward®, on the fathead minnow with pulsed-exposure proteomic profile</t>
  </si>
  <si>
    <t>Comparative Biochemistry and Physiology - Part D: Genomics and Proteomics</t>
  </si>
  <si>
    <t>10.1016/j.cbd.2019.100635</t>
  </si>
  <si>
    <t>https://www.scopus.com/inward/record.uri?eid=2-s2.0-85075207932&amp;doi=10.1016%2Fj.cbd.2019.100635&amp;partnerID=40&amp;md5=365d217ab55ad4ef1fff1e42b06cc277</t>
  </si>
  <si>
    <t>Department of Biological Sciences, Simon Fraser University, Burnaby, BC, Canada; Nautilus Environmental, Burnaby, BC, Canada; Ontario Tech University, Oshawa, ON, Canada</t>
  </si>
  <si>
    <t>Moreton, Michael L., Department of Biological Sciences, Simon Fraser University, Burnaby, BC, Canada; Lo, Bonnie P., Nautilus Environmental, Burnaby, BC, Canada; Dawn Simmons, Denina Bobbie, Ontario Tech University, Oshawa, ON, Canada; Marlatt, Vicki Lee, Department of Biological Sciences, Simon Fraser University, Burnaby, BC, Canada</t>
  </si>
  <si>
    <t>M.L. Moreton; Department of Biological Sciences, Simon Fraser University, Burnaby, Canada; email: mmoreton@sfu.ca</t>
  </si>
  <si>
    <t>1744117X</t>
  </si>
  <si>
    <t>Comp. Biochem. Physiol. Part D Genomics Proteomics</t>
  </si>
  <si>
    <t>2-s2.0-85075207932</t>
  </si>
  <si>
    <t>Veh, P.; Britton, B.; Holdcroft, S.; Zengerle, R.; Vierrath, S.; Breitwieser, M.</t>
  </si>
  <si>
    <t>Veh, Philipp (57215563295); Britton, Ben (57202916499); Holdcroft, Steven J. (7004469945); Zengerle, Roland (7006742524); Vierrath, Severin (56572897000); Breitwieser, Matthias (55910257900)</t>
  </si>
  <si>
    <t>57215563295; 57202916499; 7004469945; 7006742524; 56572897000; 55910257900</t>
  </si>
  <si>
    <t>Improving the water management in anion-exchange membrane fuel cells: via ultra-thin, directly deposited solid polymer electrolyte</t>
  </si>
  <si>
    <t>10.1039/c9ra09628k</t>
  </si>
  <si>
    <t>https://www.scopus.com/inward/record.uri?eid=2-s2.0-85081173407&amp;doi=10.1039%2Fc9ra09628k&amp;partnerID=40&amp;md5=b790937ddd8c4bb36283de591f91808c</t>
  </si>
  <si>
    <t>Electrochemical Energy Systems, Universität Freiburg, Freiburg im Breisgau, Baden-Wurttemberg, Germany; Department of Chemistry, Simon Fraser University, Burnaby, BC, Canada; Hahn-Schickard, Freiburg im Breisgau, D-79110, Germany; Universität Freiburg, Freiburg im Breisgau, Baden-Wurttemberg, Germany</t>
  </si>
  <si>
    <t>Veh, Philipp, Electrochemical Energy Systems, Universität Freiburg, Freiburg im Breisgau, Baden-Wurttemberg, Germany; Britton, Ben, Department of Chemistry, Simon Fraser University, Burnaby, BC, Canada; Holdcroft, Steven J., Department of Chemistry, Simon Fraser University, Burnaby, BC, Canada; Zengerle, Roland, Electrochemical Energy Systems, Universität Freiburg, Freiburg im Breisgau, Baden-Wurttemberg, Germany, Hahn-Schickard, Freiburg im Breisgau, D-79110, Germany; Vierrath, Severin, Electrochemical Energy Systems, Universität Freiburg, Freiburg im Breisgau, Baden-Wurttemberg, Germany, Hahn-Schickard, Freiburg im Breisgau, D-79110, Germany, Universität Freiburg, Freiburg im Breisgau, Baden-Wurttemberg, Germany; Breitwieser, Matthias, Electrochemical Energy Systems, Universität Freiburg, Freiburg im Breisgau, Baden-Wurttemberg, Germany, Hahn-Schickard, Freiburg im Breisgau, D-79110, Germany</t>
  </si>
  <si>
    <t>2-s2.0-85081173407</t>
  </si>
  <si>
    <t>Praats, R.; Käärik, M.; Kikas, A.; Kisand, V.; Aruväli, J.; Paiste, P.; Merisalu, M.; Leis, J.; Sammelselg, V.; Zagal, J.H.; Holdcroft, S.; Nakashima, N.; Tammeveski, K.</t>
  </si>
  <si>
    <t>Praats, Reio (57205640449); Käärik, Maike (15735143100); Kikas, Arvo (6603881774); Kisand, Vambola (7004348077); Aruväli, Jaan (6508076618); Paiste, Päärn (57189352891); Merisalu, Maido (36990846300); Leis, Jaan (56233840400); Sammelselg, Väino (7004105800); Zagal, Jose H. (7006164899); Holdcroft, Steven J. (7004469945); Nakashima, Naotoshi (7102319939); Tammeveski, Kaido (6603704456)</t>
  </si>
  <si>
    <t>57205640449; 15735143100; 6603881774; 7004348077; 6508076618; 57189352891; 36990846300; 56233840400; 7004105800; 7006164899; 7004469945; 7102319939; 6603704456</t>
  </si>
  <si>
    <t>Electrocatalytic oxygen reduction reaction on iron phthalocyanine-modified carbide-derived carbon/carbon nanotube composite electrocatalysts</t>
  </si>
  <si>
    <t>10.1016/j.electacta.2019.135575</t>
  </si>
  <si>
    <t>https://www.scopus.com/inward/record.uri?eid=2-s2.0-85077345443&amp;doi=10.1016%2Fj.electacta.2019.135575&amp;partnerID=40&amp;md5=c54564a40889e271f7e517252e7d2a8f</t>
  </si>
  <si>
    <t>Institute of Chemistry, Tartu Ülikool, Tartu, Tartumaa, Estonia; Institute of Physics, Tartu Ülikool, Tartu, Tartumaa, Estonia; Ökoloogia ja Maateaduste Instituut, Tartu, Tartumaa, Estonia; Departamento de Química de los Materiales, Universidad de Santiago de Chile, Santiago, RM, Chile; Simon Fraser University, Burnaby, BC, Canada; International Institute for Carbon-Neutral Energy Research (WPI-I2CNER), Kyushu University, Fukuoka, Fukuoka, Japan</t>
  </si>
  <si>
    <t>Praats, Reio, Institute of Chemistry, Tartu Ülikool, Tartu, Tartumaa, Estonia; Käärik, Maike, Institute of Chemistry, Tartu Ülikool, Tartu, Tartumaa, Estonia; Kikas, Arvo, Institute of Physics, Tartu Ülikool, Tartu, Tartumaa, Estonia; Kisand, Vambola, Institute of Physics, Tartu Ülikool, Tartu, Tartumaa, Estonia; Aruväli, Jaan, Ökoloogia ja Maateaduste Instituut, Tartu, Tartumaa, Estonia; Paiste, Päärn, Ökoloogia ja Maateaduste Instituut, Tartu, Tartumaa, Estonia; Merisalu, Maido, Institute of Chemistry, Tartu Ülikool, Tartu, Tartumaa, Estonia, Institute of Physics, Tartu Ülikool, Tartu, Tartumaa, Estonia; Leis, Jaan, Institute of Chemistry, Tartu Ülikool, Tartu, Tartumaa, Estonia; Sammelselg, Väino, Institute of Chemistry, Tartu Ülikool, Tartu, Tartumaa, Estonia, Institute of Physics, Tartu Ülikool, Tartu, Tartumaa, Estonia; Zagal, Jose H., Departamento de Química de los Materiales, Universidad de Santiago de Chile, Santiago, RM, Chile; Holdcroft, Steven J., Simon Fraser University, Burnaby, BC, Canada; Nakashima, Naotoshi, International Institute for Carbon-Neutral Energy Research (WPI-I2CNER), Kyushu University, Fukuoka, Fukuoka, Japan; Tammeveski, Kaido, Institute of Chemistry, Tartu Ülikool, Tartu, Tartumaa, Estonia</t>
  </si>
  <si>
    <t>2-s2.0-85077345443</t>
  </si>
  <si>
    <t>Niroumand, A.M.; Homayouni, H.; Göransson, G.; Olfert, M.; Eikerling, M.</t>
  </si>
  <si>
    <t>Niroumand, Amir M. (6505920100); Homayouni, Hooman (57191865284); Göransson, Gert (55634591200); Olfert, Mark (57211918550); Eikerling, M. H. (6604046486)</t>
  </si>
  <si>
    <t>6505920100; 57191865284; 55634591200; 57211918550; 6604046486</t>
  </si>
  <si>
    <t>In-situ diagnostic tools for hydrogen transfer leak characterization in PEM fuel cell stacks part III: Manufacturing applications</t>
  </si>
  <si>
    <t>10.1016/j.jpowsour.2019.227359</t>
  </si>
  <si>
    <t>https://www.scopus.com/inward/record.uri?eid=2-s2.0-85075403414&amp;doi=10.1016%2Fj.jpowsour.2019.227359&amp;partnerID=40&amp;md5=1b942ff04429700edb00ea3a9dec64f4</t>
  </si>
  <si>
    <t>Simon Fraser University, Burnaby, BC, Canada; Greenlight Innovation, Burnaby, BC, Canada; PowerCell Sweden AB, Gothenburg, Sweden</t>
  </si>
  <si>
    <t>Niroumand, Amir M., Simon Fraser University, Burnaby, BC, Canada; Homayouni, Hooman, Greenlight Innovation, Burnaby, BC, Canada; Göransson, Gert, PowerCell Sweden AB, Gothenburg, Sweden; Olfert, Mark, Greenlight Innovation, Burnaby, BC, Canada; Eikerling, M. H., Simon Fraser University, Burnaby, BC, Canada</t>
  </si>
  <si>
    <t>A.M. Niroumand; Department of Chemistry, Simon Fraser University, Burnaby, 8888 University Drive, V5A 1S6, Canada; email: amniroum@sfu.ca</t>
  </si>
  <si>
    <t>2-s2.0-85075403414</t>
  </si>
  <si>
    <t>Krishnan, P.; Zhang, P.</t>
  </si>
  <si>
    <t>Krishnan, Pramila (26660380300); Zhang, Peng (56963027800)</t>
  </si>
  <si>
    <t>26660380300; 56963027800</t>
  </si>
  <si>
    <t>Restricting trade and reducing variety: Evidence from Ethiopia</t>
  </si>
  <si>
    <t>World Development</t>
  </si>
  <si>
    <t>10.1016/j.worlddev.2019.104695</t>
  </si>
  <si>
    <t>https://www.scopus.com/inward/record.uri?eid=2-s2.0-85073624788&amp;doi=10.1016%2Fj.worlddev.2019.104695&amp;partnerID=40&amp;md5=b2762b28ac69291ca42bccd6b5790f68</t>
  </si>
  <si>
    <t>Department of International Development, University of Oxford, Oxford, Oxfordshire, United Kingdom; Beedie School of Business, Burnaby, BC, Canada</t>
  </si>
  <si>
    <t>Krishnan, Pramila, Department of International Development, University of Oxford, Oxford, Oxfordshire, United Kingdom; Zhang, Peng, Beedie School of Business, Burnaby, BC, Canada</t>
  </si>
  <si>
    <t>P. Zhang; Beedie School of Business, Simon Fraser University, Canada; email: peng_zhang_7@sfu.ca</t>
  </si>
  <si>
    <t>0305750X</t>
  </si>
  <si>
    <t>World Dev.</t>
  </si>
  <si>
    <t>2-s2.0-85073624788</t>
  </si>
  <si>
    <t>Buvat, G.; Eslamibidgoli, M.J.; Youssef, A.H.; Garbarino, S.; Ruediger, A.; Eikerling, M.; Guay, D.</t>
  </si>
  <si>
    <t>Buvat, Gaëtan (56916105800); Eslamibidgoli, Mohammad Javad (55444628700); Youssef, Azza Hadj (57204040160); Garbarino, Sébastien (26040680900); Ruediger, Andreas Peter (6601982880); Eikerling, M. H. (6604046486); Guay, Daniel (35482565400)</t>
  </si>
  <si>
    <t>56916105800; 55444628700; 57204040160; 26040680900; 6601982880; 6604046486; 35482565400</t>
  </si>
  <si>
    <t>Effect of IrO6 Octahedron Distortion on the OER Activity at (100) IrO2 Thin Film</t>
  </si>
  <si>
    <t>ACS Catalysis</t>
  </si>
  <si>
    <t>10.1021/acscatal.9b04347</t>
  </si>
  <si>
    <t>https://www.scopus.com/inward/record.uri?eid=2-s2.0-85077127535&amp;doi=10.1021%2Facscatal.9b04347&amp;partnerID=40&amp;md5=4d9922df895ee52d381e85139efb7e5a</t>
  </si>
  <si>
    <t>Buvat, Gaëtan, Centre Énergie Matériaux Télécommunications, Varennes, QC, Canada; Eslamibidgoli, Mohammad Javad, Centre Énergie Matériaux Télécommunications, Varennes, QC, Canada, Simon Fraser University, Burnaby, BC, Canada; Youssef, Azza Hadj, Centre Énergie Matériaux Télécommunications, Varennes, QC, Canada; Garbarino, Sébastien, PRIMA Québec, Montreal, QC, Canada; Ruediger, Andreas Peter, Centre Énergie Matériaux Télécommunications, Varennes, QC, Canada; Eikerling, M. H., Institute of Energy and Climate Research, Forschungszentrum Jülich GmbH, Julich, Germany; Guay, Daniel, Centre Énergie Matériaux Télécommunications, Varennes, QC, Canada</t>
  </si>
  <si>
    <t>D. Guay; INRS-énergie, Matériaux Télécommunications, Varennes, 1650 Lionel-Boulet Boulevard, J3X 1S2, Canada; email: guay@emt.inrs.ca</t>
  </si>
  <si>
    <t>ACCAC</t>
  </si>
  <si>
    <t>ACS Catal.</t>
  </si>
  <si>
    <t>2-s2.0-85077127535</t>
  </si>
  <si>
    <t>Dewapriya, M.A.N.; Rajapakse, R.K.N.D.; Meguid, S.A.</t>
  </si>
  <si>
    <t>Dewapriya, M. A.N. (55837608800); Rajapakse, R. K.N.D. (57216149626); Meguid, Shaker Abdel (7006394912)</t>
  </si>
  <si>
    <t>55837608800; 57216149626; 7006394912</t>
  </si>
  <si>
    <t>Mechanical properties of two-dimensional materials: Atomistic modeling and future directions</t>
  </si>
  <si>
    <t>Synthesis, Modelling and Characterization of 2D Materials and their Heterostructures</t>
  </si>
  <si>
    <t>10.1016/B978-0-12-818475-2.00002-7</t>
  </si>
  <si>
    <t>https://www.scopus.com/inward/record.uri?eid=2-s2.0-85118582097&amp;doi=10.1016%2FB978-0-12-818475-2.00002-7&amp;partnerID=40&amp;md5=3de66fe0790599874d9a75b44832efd6</t>
  </si>
  <si>
    <t>School of Engineering Science, Simon Fraser University, Burnaby, BC, Canada; University of Toronto, Toronto, ON, Canada</t>
  </si>
  <si>
    <t>Dewapriya, M. A.N., School of Engineering Science, Simon Fraser University, Burnaby, BC, Canada, University of Toronto, Toronto, ON, Canada; Rajapakse, R. K.N.D., School of Engineering Science, Simon Fraser University, Burnaby, BC, Canada; Meguid, Shaker Abdel, University of Toronto, Toronto, ON, Canada</t>
  </si>
  <si>
    <t>2-s2.0-85118582097</t>
  </si>
  <si>
    <t>Jia, Y.; Zhang, Z.G.; Xu, T.</t>
  </si>
  <si>
    <t>Jia, Yanhe (56927325200); Zhang, Zhe George (57216960787); Xu, Te (57194571551)</t>
  </si>
  <si>
    <t>56927325200; 57216960787; 57194571551</t>
  </si>
  <si>
    <t>Improving the performance of MMPP/M/C queue by convex optimization - A real-world application in iron and steel industry</t>
  </si>
  <si>
    <t>IEEE Access</t>
  </si>
  <si>
    <t>10.1109/ACCESS.2020.3030325</t>
  </si>
  <si>
    <t>https://www.scopus.com/inward/record.uri?eid=2-s2.0-85102857286&amp;doi=10.1109%2FACCESS.2020.3030325&amp;partnerID=40&amp;md5=f2574176138ba12e4d774fb488e0718f</t>
  </si>
  <si>
    <t>School of Economics and Management, Beijing Information Science &amp; Technology University, Beijing, China; Beedie School of Business, Burnaby, BC, Canada; Department of Decision Sciences, Western Washington University, Bellingham, WA, United States; Key Laboratory of Manufacturing System and Logistics, Liaoning Province, Northeastern University, Shenyang, Liaoning, China; Institute of Industrial and Systems Engineering, Northeastern University, Shenyang, Liaoning, China</t>
  </si>
  <si>
    <t>Jia, Yanhe, School of Economics and Management, Beijing Information Science &amp; Technology University, Beijing, China; Zhang, Zhe George, Beedie School of Business, Burnaby, BC, Canada, Department of Decision Sciences, Western Washington University, Bellingham, WA, United States; Xu, Te, Key Laboratory of Manufacturing System and Logistics, Liaoning Province, Northeastern University, Shenyang, Liaoning, China, Institute of Industrial and Systems Engineering, Northeastern University, Shenyang, Liaoning, China</t>
  </si>
  <si>
    <t>T. Xu; Liaoning Key Laboratory of Manufacturing System and Logistics, Northeastern University, Shenyang, 110819, China; email: xute@ise.neu.edu.cn</t>
  </si>
  <si>
    <t>2-s2.0-85102857286</t>
  </si>
  <si>
    <t>Experimental and computational analysis of additive manufactured augmented backside liner cooling surfaces for use in micro gas turbines</t>
  </si>
  <si>
    <t>7A-2020</t>
  </si>
  <si>
    <t>10.1115/GT2020-14960</t>
  </si>
  <si>
    <t>https://www.scopus.com/inward/record.uri?eid=2-s2.0-85099790599&amp;doi=10.1115%2FGT2020-14960&amp;partnerID=40&amp;md5=599865ea5b6a21af88e2ea9c626bce7e</t>
  </si>
  <si>
    <t>University of Bath, Bath, Somerset, United Kingdom; Simon Fraser University, Burnaby, BC, Canada</t>
  </si>
  <si>
    <t>Adamou, Adamos, University of Bath, Bath, Somerset, United Kingdom; Copeland, Colin D., Simon Fraser University, Burnaby, BC, Canada</t>
  </si>
  <si>
    <t>9780791884126; 9780791884164; 9780791884218; 9780791884089; 9780791884171; 9780791884133; 9780791884102; 9780791884096</t>
  </si>
  <si>
    <t>2-s2.0-85099790599</t>
  </si>
  <si>
    <t>Zou, S.; Zuo, X.; Qian, Y.; Wang, S.; Xu, C.; Gong, M.; Cheng, L.</t>
  </si>
  <si>
    <t>Zou, Shihao (57211756484); Zuo, Xinxin (56599836200); Qian, Yiming (56547882400); Wang, Sen (56436950500); Xu, Chi (57219131928); Gong, Minglun (7201566763); Cheng, Li (56428060700)</t>
  </si>
  <si>
    <t>57211756484; 56599836200; 56547882400; 56436950500; 57219131928; 7201566763; 56428060700</t>
  </si>
  <si>
    <t>3D Human Shape Reconstruction from a Polarization Image</t>
  </si>
  <si>
    <t>Lecture Notes in Computer Science (including subseries Lecture Notes in Artificial Intelligence and Lecture Notes in Bioinformatics)</t>
  </si>
  <si>
    <t>12359 LNCS</t>
  </si>
  <si>
    <t>10.1007/978-3-030-58568-6_21</t>
  </si>
  <si>
    <t>https://www.scopus.com/inward/record.uri?eid=2-s2.0-85097082605&amp;doi=10.1007%2F978-3-030-58568-6_21&amp;partnerID=40&amp;md5=a3a149e2ae7a57cc184be10deaa1989d</t>
  </si>
  <si>
    <t>University of Alberta, Edmonton, AB, Canada; Simon Fraser University, Burnaby, BC, Canada; School of Automation, China University of Geosciences, Wuhan, Hubei, China; University of Guelph, Guelph, ON, Canada</t>
  </si>
  <si>
    <t>Zou, Shihao, University of Alberta, Edmonton, AB, Canada; Zuo, Xinxin, University of Alberta, Edmonton, AB, Canada; Qian, Yiming, Simon Fraser University, Burnaby, BC, Canada; Wang, Sen, University of Alberta, Edmonton, AB, Canada; Xu, Chi, School of Automation, China University of Geosciences, Wuhan, Hubei, China; Gong, Minglun, University of Guelph, Guelph, ON, Canada; Cheng, Li, University of Alberta, Edmonton, AB, Canada</t>
  </si>
  <si>
    <t>S. Zou; University of Alberta, Edmonton, Canada; email: szou2@ualberta.ca</t>
  </si>
  <si>
    <t>Vedaldi, A.; Bischof, H.; Brox, T.; Frahm, J.</t>
  </si>
  <si>
    <t>9789819698936; 9789819698042; 9789819698110; 9789819698905; 9783032004949; 9789819512324; 9783032026019; 9783032008909; 9783031915802; 9789819698141</t>
  </si>
  <si>
    <t>Lect. Notes Comput. Sci.</t>
  </si>
  <si>
    <t>2-s2.0-85097082605</t>
  </si>
  <si>
    <t>Şahınoğlu, A.; Ulas, E.</t>
  </si>
  <si>
    <t>Şahınoğlu, Abidin (57195976794); Ulas, Efehan (57203875208)</t>
  </si>
  <si>
    <t>57195976794; 57203875208</t>
  </si>
  <si>
    <t>An investigation of cutting parameters effect on sound level, surface roughness, and power consumption during machining of hardened AISI 4140</t>
  </si>
  <si>
    <t>Mechanics and Industry</t>
  </si>
  <si>
    <t>10.1051/meca/2020068</t>
  </si>
  <si>
    <t>https://www.scopus.com/inward/record.uri?eid=2-s2.0-85092091343&amp;doi=10.1051%2Fmeca%2F2020068&amp;partnerID=40&amp;md5=d9c375cdd85bf3ec1ce449950188bb4b</t>
  </si>
  <si>
    <t>Machinary and Metal Technology Department, Manisa Celâl Bayar Üniversitesi, Manisa, Manisa, Turkey; Department of Statistics, Çankiri Karatekin Üniversitesi, Cankiri, Turkey; Department of Statistics and Actuarial Science, Simon Fraser University, Burnaby, BC, Canada</t>
  </si>
  <si>
    <t>Şahınoğlu, Abidin, Machinary and Metal Technology Department, Manisa Celâl Bayar Üniversitesi, Manisa, Manisa, Turkey; Ulas, Efehan, Department of Statistics, Çankiri Karatekin Üniversitesi, Cankiri, Turkey, Department of Statistics and Actuarial Science, Simon Fraser University, Burnaby, BC, Canada</t>
  </si>
  <si>
    <t>EDP Sciences subscribers@edpsciences.org</t>
  </si>
  <si>
    <t>Mec. Ind.</t>
  </si>
  <si>
    <t>2-s2.0-85092091343</t>
  </si>
  <si>
    <t>Riep, C.; Machacek, M.</t>
  </si>
  <si>
    <t>Riep, Curtis B. (57193232728); Machacek, Mark (57205693725)</t>
  </si>
  <si>
    <t>57193232728; 57205693725</t>
  </si>
  <si>
    <t>Interrogating the private in public school outsourcing in Liberia</t>
  </si>
  <si>
    <t>Privatisation and Commercialisation in Public Education: How the Public Nature of Schooling is Changing</t>
  </si>
  <si>
    <t>10.4324/9780429330025-6</t>
  </si>
  <si>
    <t>https://www.scopus.com/inward/record.uri?eid=2-s2.0-85091545963&amp;doi=10.4324%2F9780429330025-6&amp;partnerID=40&amp;md5=20e2bc79eb41a357b6e2b84f31f40825</t>
  </si>
  <si>
    <t>University of Alberta, Edmonton, AB, Canada; Simon Fraser University, Burnaby, BC, Canada</t>
  </si>
  <si>
    <t>Riep, Curtis B., University of Alberta, Edmonton, AB, Canada; Machacek, Mark, Simon Fraser University, Burnaby, BC, Canada</t>
  </si>
  <si>
    <t>9780367351458; 9781000202229</t>
  </si>
  <si>
    <t>2-s2.0-85091545963</t>
  </si>
  <si>
    <t>Liu, P.; Polischuk, R.; Diao, Y.; Arsuaga, J.</t>
  </si>
  <si>
    <t>Liu, Pengyu (57204160662); Polischuk, R. (57218936446); Diao, Yuanan (7004284593); Arsuaga, Javier (7005647844)</t>
  </si>
  <si>
    <t>57204160662; 57218936446; 7004284593; 7005647844</t>
  </si>
  <si>
    <t>Characterizing the topology of kinetoplast DNA using random knotting</t>
  </si>
  <si>
    <t>Contemporary Mathematics</t>
  </si>
  <si>
    <t>10.1090/conm/746/15000</t>
  </si>
  <si>
    <t>https://www.scopus.com/inward/record.uri?eid=2-s2.0-85090850649&amp;doi=10.1090%2Fconm%2F746%2F15000&amp;partnerID=40&amp;md5=e817772ae624ee14d00d48b936ace82c</t>
  </si>
  <si>
    <t>Department of Mathematics and Statistics, The University of North Carolina at Charlotte, Charlotte, NC, United States; Department of Mathematics, Simon Fraser University, Burnaby, BC, Canada; Department of Physics, University of California, Davis, Davis, CA, United States; Department of Mathematics, University of California, Davis, Davis, CA, United States</t>
  </si>
  <si>
    <t>Liu, Pengyu, Department of Mathematics and Statistics, The University of North Carolina at Charlotte, Charlotte, NC, United States, Department of Mathematics, Simon Fraser University, Burnaby, BC, Canada; Polischuk, R., Department of Physics, University of California, Davis, Davis, CA, United States; Diao, Yuanan, Department of Mathematics and Statistics, The University of North Carolina at Charlotte, Charlotte, NC, United States; Arsuaga, Javier, Department of Mathematics, University of California, Davis, Davis, CA, United States</t>
  </si>
  <si>
    <t>J. Arsuaga; Department of Mathematics, Department of Molecular and Cellular Biology, University of California at Davis, Davis, 95616, United States; email: jarsuaga@ucdavis.edu</t>
  </si>
  <si>
    <t>American Mathematical Society pub@ams.org</t>
  </si>
  <si>
    <t>9781470470111; 9781470475260; 9781470473389; 9781470435257; 9781470474959; 9781470473617; 9781470454265; 9781470456641; 9781470469924; 9781470473273</t>
  </si>
  <si>
    <t>Contemp. Math.</t>
  </si>
  <si>
    <t>2-s2.0-85090850649</t>
  </si>
  <si>
    <t>Brar, R.; Grant, C.; DeBeck, K.; Milloy, M.-J.; Fairbairn, N.; Wood, E.; Kerr, T.; Hayashi, K.</t>
  </si>
  <si>
    <t>Brar, Rupinder (57208993479); Grant, Cameron J. (57211079732); DeBeck, Kora (16063277500); Milloy, Michael John S. (24448566900); Fairbairn, Nadia Souhalya (12646826900); Wood, Evan (57191525672); Kerr, Thomas H. (26643236200); Hayashi, Kanna (33267650300)</t>
  </si>
  <si>
    <t>57208993479; 57211079732; 16063277500; 24448566900; 12646826900; 57191525672; 26643236200; 33267650300</t>
  </si>
  <si>
    <t>Changes in drug use behaviors coinciding with the emergence of illicit fentanyl among people who use drugs in Vancouver, Canada</t>
  </si>
  <si>
    <t>American Journal of Drug and Alcohol Abuse</t>
  </si>
  <si>
    <t>10.1080/00952990.2020.1771721</t>
  </si>
  <si>
    <t>https://www.scopus.com/inward/record.uri?eid=2-s2.0-85088302609&amp;doi=10.1080%2F00952990.2020.1771721&amp;partnerID=40&amp;md5=4327a509ef6427fffdb5e8f2af3f8d6e</t>
  </si>
  <si>
    <t>British Columbia Centre on Substance Use, Vancouver, BC, Canada; Department of Medicine, The University of British Columbia, Vancouver, BC, Canada; School of Public Policy, Simon Fraser University, Burnaby, BC, Canada; Simon Fraser University, Burnaby, BC, Canada</t>
  </si>
  <si>
    <t>Brar, Rupinder, British Columbia Centre on Substance Use, Vancouver, BC, Canada, Department of Medicine, The University of British Columbia, Vancouver, BC, Canada; Grant, Cameron J., British Columbia Centre on Substance Use, Vancouver, BC, Canada; DeBeck, Kora, British Columbia Centre on Substance Use, Vancouver, BC, Canada, School of Public Policy, Simon Fraser University, Burnaby, BC, Canada; Milloy, Michael John S., British Columbia Centre on Substance Use, Vancouver, BC, Canada, Department of Medicine, The University of British Columbia, Vancouver, BC, Canada; Fairbairn, Nadia Souhalya, British Columbia Centre on Substance Use, Vancouver, BC, Canada, Department of Medicine, The University of British Columbia, Vancouver, BC, Canada; Wood, Evan, British Columbia Centre on Substance Use, Vancouver, BC, Canada, Department of Medicine, The University of British Columbia, Vancouver, BC, Canada; Kerr, Thomas H., British Columbia Centre on Substance Use, Vancouver, BC, Canada, Department of Medicine, The University of British Columbia, Vancouver, BC, Canada; Hayashi, Kanna, British Columbia Centre on Substance Use, Vancouver, BC, Canada, Simon Fraser University, Burnaby, BC, Canada</t>
  </si>
  <si>
    <t>K. Hayashi; British Columbia Centre for Substance Use, Vancouver, Canada; email: bccsu-kh@bccsu.ubc.ca</t>
  </si>
  <si>
    <t>AJDAB</t>
  </si>
  <si>
    <t>Am. J. Drug Alcohol Abuse</t>
  </si>
  <si>
    <t>2-s2.0-85088302609</t>
  </si>
  <si>
    <t>Paul, M.T.Y.; Kim, D.; Saha, M.S.; Stumper, J.; Gates, B.D.</t>
  </si>
  <si>
    <t>Paul, Michael T.Y. (55808774500); Kim, Dongho (57214770459); Saha, Madhu Sudan (7102365413); Stumper, Jürgen (6602409152); Gates, Byron D. (7102128759)</t>
  </si>
  <si>
    <t>55808774500; 57214770459; 7102365413; 6602409152; 7102128759</t>
  </si>
  <si>
    <t>10.1021/acsaem.9b01754</t>
  </si>
  <si>
    <t>https://www.scopus.com/inward/record.uri?eid=2-s2.0-85078910056&amp;doi=10.1021%2Facsaem.9b01754&amp;partnerID=40&amp;md5=53e3ab687bf9a04b944709f8da73d120</t>
  </si>
  <si>
    <t>Simon Fraser University, Burnaby, BC, Canada; Automotive Fuel Cell Cooperation, Burnaby, BC, Canada</t>
  </si>
  <si>
    <t>Paul, Michael T.Y., Simon Fraser University, Burnaby, BC, Canada; Kim, Dongho, Simon Fraser University, Burnaby, BC, Canada; Saha, Madhu Sudan, Automotive Fuel Cell Cooperation, Burnaby, BC, Canada; Stumper, Jürgen, Automotive Fuel Cell Cooperation, Burnaby, BC, Canada; Gates, Byron D., Simon Fraser University, Burnaby, BC, Canada</t>
  </si>
  <si>
    <t>B.D. Gates; Department of Chemistry, 4D LABS, Simon Fraser University, Burnaby, 8888 University Drive, V5A 1S6, Canada; email: bgates@sfu.ca</t>
  </si>
  <si>
    <t>aip</t>
  </si>
  <si>
    <t>2-s2.0-85078910056</t>
  </si>
  <si>
    <t>Raymakers, A.J.N.; Regier, D.A.; Peacock, S.J.</t>
  </si>
  <si>
    <t>Raymakers, Adam J.N. (54684780900); Regier, Dean A. (57218216743); Peacock, Stuart J. (55785767800)</t>
  </si>
  <si>
    <t>54684780900; 57218216743; 55785767800</t>
  </si>
  <si>
    <t>Health-related quality of life in oncology drug reimbursement submissions in Canada: A review of submissions to the pan-Canadian Oncology Drug Review</t>
  </si>
  <si>
    <t>Cancer</t>
  </si>
  <si>
    <t>10.1002/cncr.32455</t>
  </si>
  <si>
    <t>https://www.scopus.com/inward/record.uri?eid=2-s2.0-85073927756&amp;doi=10.1002%2Fcncr.32455&amp;partnerID=40&amp;md5=b1cde064c81d5a5aa10a3b41ef24f904</t>
  </si>
  <si>
    <t>Canadian Centre for Applied Research in Cancer Control, Vancouver, BC, Canada; Cancer Control Research, British Columbia Cancer Agency, Vancouver, BC, Canada; Faculty of Health Sciences, Simon Fraser University, Burnaby, BC, Canada; School of Population and Public Health, The University of British Columbia, Vancouver, BC, Canada</t>
  </si>
  <si>
    <t>Raymakers, Adam J.N., Canadian Centre for Applied Research in Cancer Control, Vancouver, BC, Canada, Cancer Control Research, British Columbia Cancer Agency, Vancouver, BC, Canada, Faculty of Health Sciences, Simon Fraser University, Burnaby, BC, Canada; Regier, Dean A., Canadian Centre for Applied Research in Cancer Control, Vancouver, BC, Canada, Cancer Control Research, British Columbia Cancer Agency, Vancouver, BC, Canada, School of Population and Public Health, The University of British Columbia, Vancouver, BC, Canada; Peacock, Stuart J., Canadian Centre for Applied Research in Cancer Control, Vancouver, BC, Canada, Cancer Control Research, British Columbia Cancer Agency, Vancouver, BC, Canada, Faculty of Health Sciences, Simon Fraser University, Burnaby, BC, Canada</t>
  </si>
  <si>
    <t>A.J.N. Raymakers; Canadian Centre for Applied Research in Cancer Control, Vancouver, Canada; email: araymakers@bccrc.ca</t>
  </si>
  <si>
    <t>John Wiley and Sons Inc. P.O.Box 18667 Newark NJ 07191-8667</t>
  </si>
  <si>
    <t>0008543X</t>
  </si>
  <si>
    <t>CANCA</t>
  </si>
  <si>
    <t>2-s2.0-85073927756</t>
  </si>
  <si>
    <t xml:space="preserve">OpenAlex Title </t>
  </si>
  <si>
    <t>OpenAlex Citations</t>
  </si>
  <si>
    <t>SciVal Title</t>
  </si>
  <si>
    <t>SciVal Citations</t>
  </si>
  <si>
    <t>OpenAlex DOI</t>
  </si>
  <si>
    <t>SciVal DOI</t>
  </si>
  <si>
    <t>Total number of Publications</t>
  </si>
  <si>
    <t>OpenAlex</t>
  </si>
  <si>
    <t>SciVal</t>
  </si>
  <si>
    <t xml:space="preserve">OA in SV % </t>
  </si>
  <si>
    <t xml:space="preserve">SV in OA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</si>
</sst>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000000"/>
      <name val="Calibri"/>
      <family val="2"/>
    </font>
    <font>
      <b/>
      <sz val="11"/>
      <color rgb="FF000000"/>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14" fontId="0" fillId="0" borderId="0" xfId="0" applyNumberFormat="1"/>
    <xf numFmtId="0" fontId="18" fillId="0" borderId="0" xfId="0" applyFont="1"/>
    <xf numFmtId="11" fontId="18" fillId="0" borderId="0" xfId="0" applyNumberFormat="1" applyFont="1"/>
    <xf numFmtId="16" fontId="18" fillId="0" borderId="0" xfId="0" applyNumberFormat="1" applyFont="1"/>
    <xf numFmtId="0" fontId="16" fillId="0" borderId="0" xfId="0" applyFont="1"/>
    <xf numFmtId="0" fontId="0" fillId="33" borderId="0" xfId="0" applyFill="1"/>
    <xf numFmtId="0" fontId="16" fillId="0" borderId="10" xfId="0" applyFont="1" applyBorder="1"/>
    <xf numFmtId="0" fontId="16" fillId="33" borderId="10" xfId="0" applyFont="1" applyFill="1" applyBorder="1"/>
    <xf numFmtId="0" fontId="19" fillId="0" borderId="0" xfId="0" applyFont="1"/>
    <xf numFmtId="0" fontId="0" fillId="0" borderId="11" xfId="0" applyBorder="1"/>
    <xf numFmtId="0" fontId="0" fillId="0" borderId="12" xfId="0" applyBorder="1"/>
    <xf numFmtId="0" fontId="0" fillId="0" borderId="13" xfId="0" applyBorder="1" applyAlignment="1">
      <alignment horizontal="left" indent="1"/>
    </xf>
    <xf numFmtId="0" fontId="0" fillId="0" borderId="14" xfId="0" applyBorder="1"/>
    <xf numFmtId="0" fontId="0" fillId="0" borderId="15" xfId="0" applyBorder="1" applyAlignment="1">
      <alignment horizontal="left" indent="1"/>
    </xf>
    <xf numFmtId="0" fontId="0" fillId="0" borderId="16" xfId="0" applyBorder="1"/>
    <xf numFmtId="0" fontId="0" fillId="0" borderId="17" xfId="0" applyBorder="1"/>
    <xf numFmtId="0" fontId="0" fillId="0" borderId="18"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ill>
        <patternFill>
          <bgColor theme="5" tint="0.79998168889431442"/>
        </patternFill>
      </fill>
    </dxf>
    <dxf>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AA09-0342-4EA9-84C1-E2EEE74A3369}">
  <dimension ref="A1:R200"/>
  <sheetViews>
    <sheetView topLeftCell="A184" workbookViewId="0">
      <selection activeCell="H212" sqref="H212"/>
    </sheetView>
  </sheetViews>
  <sheetFormatPr defaultRowHeight="14.25" x14ac:dyDescent="0.45"/>
  <cols>
    <col min="5" max="5" width="15.33203125" customWidth="1"/>
    <col min="13" max="13" width="9.06640625" style="6"/>
  </cols>
  <sheetData>
    <row r="1" spans="1:18" s="5" customFormat="1" x14ac:dyDescent="0.45">
      <c r="A1" s="7" t="s">
        <v>0</v>
      </c>
      <c r="B1" s="7" t="s">
        <v>1</v>
      </c>
      <c r="C1" s="7" t="s">
        <v>2</v>
      </c>
      <c r="D1" s="7" t="s">
        <v>3</v>
      </c>
      <c r="E1" s="7" t="s">
        <v>4</v>
      </c>
      <c r="F1" s="7" t="s">
        <v>5</v>
      </c>
      <c r="G1" s="7" t="s">
        <v>6</v>
      </c>
      <c r="H1" s="7" t="s">
        <v>7</v>
      </c>
      <c r="I1" s="7" t="s">
        <v>8</v>
      </c>
      <c r="J1" s="7" t="s">
        <v>9</v>
      </c>
      <c r="K1" s="7" t="s">
        <v>10</v>
      </c>
      <c r="L1" s="7" t="s">
        <v>11</v>
      </c>
      <c r="M1" s="8" t="s">
        <v>12</v>
      </c>
      <c r="N1" s="7" t="s">
        <v>13</v>
      </c>
      <c r="O1" s="7" t="s">
        <v>14</v>
      </c>
      <c r="P1" s="7" t="s">
        <v>15</v>
      </c>
      <c r="Q1" s="7" t="s">
        <v>16</v>
      </c>
      <c r="R1" s="7" t="s">
        <v>17</v>
      </c>
    </row>
    <row r="2" spans="1:18" x14ac:dyDescent="0.45">
      <c r="A2" t="s">
        <v>389</v>
      </c>
      <c r="B2" t="s">
        <v>390</v>
      </c>
      <c r="C2" t="s">
        <v>391</v>
      </c>
      <c r="D2">
        <v>2021</v>
      </c>
      <c r="E2" s="1">
        <v>44239</v>
      </c>
      <c r="F2" t="s">
        <v>392</v>
      </c>
      <c r="G2" t="s">
        <v>22</v>
      </c>
      <c r="H2" t="s">
        <v>34</v>
      </c>
      <c r="I2">
        <v>1</v>
      </c>
      <c r="J2">
        <v>5</v>
      </c>
      <c r="K2">
        <v>20.071000000000002</v>
      </c>
      <c r="L2" t="b">
        <v>1</v>
      </c>
      <c r="M2" s="6">
        <v>294</v>
      </c>
      <c r="N2" t="s">
        <v>393</v>
      </c>
      <c r="O2" t="s">
        <v>386</v>
      </c>
      <c r="P2" t="s">
        <v>394</v>
      </c>
      <c r="Q2" t="s">
        <v>395</v>
      </c>
      <c r="R2" t="s">
        <v>396</v>
      </c>
    </row>
    <row r="3" spans="1:18" x14ac:dyDescent="0.45">
      <c r="A3" t="s">
        <v>18</v>
      </c>
      <c r="B3" t="s">
        <v>19</v>
      </c>
      <c r="C3" t="s">
        <v>20</v>
      </c>
      <c r="D3">
        <v>2021</v>
      </c>
      <c r="E3" s="1">
        <v>44440</v>
      </c>
      <c r="F3" t="s">
        <v>21</v>
      </c>
      <c r="G3" t="s">
        <v>22</v>
      </c>
      <c r="H3" t="s">
        <v>23</v>
      </c>
      <c r="I3">
        <v>2</v>
      </c>
      <c r="J3">
        <v>8</v>
      </c>
      <c r="K3">
        <v>8.8239000000000001</v>
      </c>
      <c r="L3" t="b">
        <v>0</v>
      </c>
      <c r="M3" s="6">
        <v>124</v>
      </c>
      <c r="N3" t="s">
        <v>25</v>
      </c>
      <c r="O3" t="s">
        <v>26</v>
      </c>
      <c r="P3" t="s">
        <v>27</v>
      </c>
      <c r="Q3" t="s">
        <v>28</v>
      </c>
      <c r="R3" t="s">
        <v>29</v>
      </c>
    </row>
    <row r="4" spans="1:18" x14ac:dyDescent="0.45">
      <c r="A4" t="s">
        <v>381</v>
      </c>
      <c r="B4" t="s">
        <v>382</v>
      </c>
      <c r="C4" t="s">
        <v>383</v>
      </c>
      <c r="D4">
        <v>2020</v>
      </c>
      <c r="E4" s="1">
        <v>44064</v>
      </c>
      <c r="F4" t="s">
        <v>384</v>
      </c>
      <c r="G4" t="s">
        <v>22</v>
      </c>
      <c r="H4" t="s">
        <v>34</v>
      </c>
      <c r="I4">
        <v>3</v>
      </c>
      <c r="J4">
        <v>21</v>
      </c>
      <c r="K4">
        <v>4.3853</v>
      </c>
      <c r="L4" t="b">
        <v>0</v>
      </c>
      <c r="M4" s="6">
        <v>123</v>
      </c>
      <c r="N4" t="s">
        <v>385</v>
      </c>
      <c r="O4" t="s">
        <v>386</v>
      </c>
      <c r="P4" t="s">
        <v>387</v>
      </c>
      <c r="Q4" t="s">
        <v>24</v>
      </c>
      <c r="R4" t="s">
        <v>388</v>
      </c>
    </row>
    <row r="5" spans="1:18" x14ac:dyDescent="0.45">
      <c r="A5" t="s">
        <v>30</v>
      </c>
      <c r="B5" t="s">
        <v>31</v>
      </c>
      <c r="C5" t="s">
        <v>32</v>
      </c>
      <c r="D5">
        <v>2020</v>
      </c>
      <c r="E5" s="1">
        <v>44133</v>
      </c>
      <c r="F5" t="s">
        <v>33</v>
      </c>
      <c r="G5" t="s">
        <v>22</v>
      </c>
      <c r="H5" t="s">
        <v>34</v>
      </c>
      <c r="I5">
        <v>2</v>
      </c>
      <c r="J5">
        <v>4</v>
      </c>
      <c r="K5">
        <v>2.5592000000000001</v>
      </c>
      <c r="L5" t="b">
        <v>1</v>
      </c>
      <c r="M5" s="6">
        <v>82</v>
      </c>
      <c r="N5" t="s">
        <v>35</v>
      </c>
      <c r="O5" t="s">
        <v>36</v>
      </c>
      <c r="P5" t="s">
        <v>37</v>
      </c>
      <c r="Q5" t="s">
        <v>38</v>
      </c>
      <c r="R5" t="s">
        <v>39</v>
      </c>
    </row>
    <row r="6" spans="1:18" x14ac:dyDescent="0.45">
      <c r="A6" t="s">
        <v>479</v>
      </c>
      <c r="B6" t="s">
        <v>480</v>
      </c>
      <c r="C6" t="s">
        <v>481</v>
      </c>
      <c r="D6">
        <v>2022</v>
      </c>
      <c r="E6" s="1">
        <v>44728</v>
      </c>
      <c r="F6" t="s">
        <v>482</v>
      </c>
      <c r="G6" t="s">
        <v>22</v>
      </c>
      <c r="H6" t="s">
        <v>34</v>
      </c>
      <c r="I6">
        <v>2</v>
      </c>
      <c r="J6">
        <v>13</v>
      </c>
      <c r="K6">
        <v>5.1836000000000002</v>
      </c>
      <c r="L6" t="b">
        <v>0</v>
      </c>
      <c r="M6" s="6">
        <v>73</v>
      </c>
      <c r="N6" t="s">
        <v>483</v>
      </c>
      <c r="O6" t="s">
        <v>122</v>
      </c>
      <c r="P6" t="s">
        <v>484</v>
      </c>
      <c r="Q6" t="s">
        <v>485</v>
      </c>
      <c r="R6" t="s">
        <v>486</v>
      </c>
    </row>
    <row r="7" spans="1:18" x14ac:dyDescent="0.45">
      <c r="A7" t="s">
        <v>66</v>
      </c>
      <c r="B7" t="s">
        <v>67</v>
      </c>
      <c r="C7" t="s">
        <v>68</v>
      </c>
      <c r="D7">
        <v>2021</v>
      </c>
      <c r="E7" s="1">
        <v>44330</v>
      </c>
      <c r="F7" t="s">
        <v>69</v>
      </c>
      <c r="G7" t="s">
        <v>22</v>
      </c>
      <c r="H7" t="s">
        <v>34</v>
      </c>
      <c r="I7">
        <v>1</v>
      </c>
      <c r="J7">
        <v>4</v>
      </c>
      <c r="K7">
        <v>5.6151999999999997</v>
      </c>
      <c r="L7" t="b">
        <v>0</v>
      </c>
      <c r="M7" s="6">
        <v>71</v>
      </c>
      <c r="N7" t="s">
        <v>70</v>
      </c>
      <c r="O7" t="s">
        <v>71</v>
      </c>
      <c r="P7" t="s">
        <v>72</v>
      </c>
      <c r="Q7" t="s">
        <v>73</v>
      </c>
      <c r="R7" t="s">
        <v>74</v>
      </c>
    </row>
    <row r="8" spans="1:18" x14ac:dyDescent="0.45">
      <c r="A8" t="s">
        <v>487</v>
      </c>
      <c r="B8" t="s">
        <v>488</v>
      </c>
      <c r="C8" t="s">
        <v>489</v>
      </c>
      <c r="D8">
        <v>2022</v>
      </c>
      <c r="E8" s="1">
        <v>44863</v>
      </c>
      <c r="F8" t="s">
        <v>490</v>
      </c>
      <c r="G8" t="s">
        <v>22</v>
      </c>
      <c r="H8" t="s">
        <v>34</v>
      </c>
      <c r="I8">
        <v>2</v>
      </c>
      <c r="J8">
        <v>4</v>
      </c>
      <c r="K8">
        <v>5.0354999999999999</v>
      </c>
      <c r="L8" t="b">
        <v>0</v>
      </c>
      <c r="M8" s="6">
        <v>69</v>
      </c>
      <c r="N8" t="s">
        <v>491</v>
      </c>
      <c r="O8" t="s">
        <v>80</v>
      </c>
      <c r="P8" t="s">
        <v>492</v>
      </c>
      <c r="Q8" t="s">
        <v>24</v>
      </c>
      <c r="R8" t="s">
        <v>493</v>
      </c>
    </row>
    <row r="9" spans="1:18" x14ac:dyDescent="0.45">
      <c r="A9" t="s">
        <v>464</v>
      </c>
      <c r="B9" t="s">
        <v>465</v>
      </c>
      <c r="C9" t="s">
        <v>466</v>
      </c>
      <c r="D9">
        <v>2024</v>
      </c>
      <c r="E9" s="1">
        <v>45394</v>
      </c>
      <c r="F9" t="s">
        <v>467</v>
      </c>
      <c r="G9" t="s">
        <v>22</v>
      </c>
      <c r="H9" t="s">
        <v>34</v>
      </c>
      <c r="I9">
        <v>1</v>
      </c>
      <c r="J9">
        <v>4</v>
      </c>
      <c r="K9">
        <v>20.537800000000001</v>
      </c>
      <c r="L9" t="b">
        <v>0</v>
      </c>
      <c r="M9" s="6">
        <v>68</v>
      </c>
      <c r="N9" t="s">
        <v>468</v>
      </c>
      <c r="O9" t="s">
        <v>386</v>
      </c>
      <c r="P9" t="s">
        <v>469</v>
      </c>
      <c r="Q9" t="s">
        <v>470</v>
      </c>
      <c r="R9" t="s">
        <v>471</v>
      </c>
    </row>
    <row r="10" spans="1:18" x14ac:dyDescent="0.45">
      <c r="A10" t="s">
        <v>640</v>
      </c>
      <c r="B10" t="s">
        <v>641</v>
      </c>
      <c r="C10" t="s">
        <v>642</v>
      </c>
      <c r="D10">
        <v>2020</v>
      </c>
      <c r="E10" s="1">
        <v>44078</v>
      </c>
      <c r="F10" t="s">
        <v>643</v>
      </c>
      <c r="G10" t="s">
        <v>22</v>
      </c>
      <c r="H10" t="s">
        <v>34</v>
      </c>
      <c r="I10">
        <v>4</v>
      </c>
      <c r="J10">
        <v>7</v>
      </c>
      <c r="K10">
        <v>1.8604000000000001</v>
      </c>
      <c r="L10" t="b">
        <v>0</v>
      </c>
      <c r="M10" s="6">
        <v>68</v>
      </c>
      <c r="N10" t="s">
        <v>644</v>
      </c>
      <c r="O10" t="s">
        <v>122</v>
      </c>
      <c r="P10" t="s">
        <v>645</v>
      </c>
      <c r="Q10" t="s">
        <v>646</v>
      </c>
      <c r="R10" t="s">
        <v>647</v>
      </c>
    </row>
    <row r="11" spans="1:18" x14ac:dyDescent="0.45">
      <c r="A11" t="s">
        <v>40</v>
      </c>
      <c r="B11" t="s">
        <v>41</v>
      </c>
      <c r="C11" t="s">
        <v>42</v>
      </c>
      <c r="D11">
        <v>2022</v>
      </c>
      <c r="E11" s="1">
        <v>44907</v>
      </c>
      <c r="F11" t="s">
        <v>43</v>
      </c>
      <c r="G11" t="s">
        <v>22</v>
      </c>
      <c r="H11" t="s">
        <v>34</v>
      </c>
      <c r="I11">
        <v>1</v>
      </c>
      <c r="J11">
        <v>3</v>
      </c>
      <c r="K11">
        <v>8.3579000000000008</v>
      </c>
      <c r="L11" t="b">
        <v>0</v>
      </c>
      <c r="M11" s="6">
        <v>67</v>
      </c>
      <c r="N11" t="s">
        <v>44</v>
      </c>
      <c r="O11" t="s">
        <v>45</v>
      </c>
      <c r="P11" t="s">
        <v>46</v>
      </c>
      <c r="Q11" t="s">
        <v>47</v>
      </c>
      <c r="R11" t="s">
        <v>48</v>
      </c>
    </row>
    <row r="12" spans="1:18" x14ac:dyDescent="0.45">
      <c r="A12" t="s">
        <v>75</v>
      </c>
      <c r="B12" t="s">
        <v>76</v>
      </c>
      <c r="C12" t="s">
        <v>77</v>
      </c>
      <c r="D12">
        <v>2021</v>
      </c>
      <c r="E12" s="1">
        <v>44356</v>
      </c>
      <c r="F12" t="s">
        <v>78</v>
      </c>
      <c r="G12" t="s">
        <v>22</v>
      </c>
      <c r="H12" t="s">
        <v>34</v>
      </c>
      <c r="I12">
        <v>2</v>
      </c>
      <c r="J12">
        <v>3</v>
      </c>
      <c r="K12">
        <v>3.71</v>
      </c>
      <c r="L12" t="b">
        <v>0</v>
      </c>
      <c r="M12" s="6">
        <v>64</v>
      </c>
      <c r="N12" t="s">
        <v>79</v>
      </c>
      <c r="O12" t="s">
        <v>80</v>
      </c>
      <c r="P12" t="s">
        <v>81</v>
      </c>
      <c r="Q12" t="s">
        <v>82</v>
      </c>
      <c r="R12" t="s">
        <v>83</v>
      </c>
    </row>
    <row r="13" spans="1:18" x14ac:dyDescent="0.45">
      <c r="A13" t="s">
        <v>419</v>
      </c>
      <c r="B13" t="s">
        <v>420</v>
      </c>
      <c r="C13" t="s">
        <v>421</v>
      </c>
      <c r="D13">
        <v>2021</v>
      </c>
      <c r="E13" s="1">
        <v>44265</v>
      </c>
      <c r="F13" t="s">
        <v>422</v>
      </c>
      <c r="G13" t="s">
        <v>22</v>
      </c>
      <c r="H13" t="s">
        <v>34</v>
      </c>
      <c r="I13">
        <v>2</v>
      </c>
      <c r="J13">
        <v>5</v>
      </c>
      <c r="K13">
        <v>3.2505999999999999</v>
      </c>
      <c r="L13" t="b">
        <v>0</v>
      </c>
      <c r="M13" s="6">
        <v>62</v>
      </c>
      <c r="N13" t="s">
        <v>423</v>
      </c>
      <c r="O13" t="s">
        <v>122</v>
      </c>
      <c r="P13" t="s">
        <v>424</v>
      </c>
      <c r="Q13" t="s">
        <v>425</v>
      </c>
      <c r="R13" t="s">
        <v>426</v>
      </c>
    </row>
    <row r="14" spans="1:18" x14ac:dyDescent="0.45">
      <c r="A14" t="s">
        <v>731</v>
      </c>
      <c r="B14" t="s">
        <v>732</v>
      </c>
      <c r="C14" t="s">
        <v>733</v>
      </c>
      <c r="D14">
        <v>2021</v>
      </c>
      <c r="E14" s="1">
        <v>44295</v>
      </c>
      <c r="F14" t="s">
        <v>734</v>
      </c>
      <c r="G14" t="s">
        <v>22</v>
      </c>
      <c r="H14" t="s">
        <v>34</v>
      </c>
      <c r="I14">
        <v>2</v>
      </c>
      <c r="J14">
        <v>4</v>
      </c>
      <c r="K14">
        <v>3.0556999999999999</v>
      </c>
      <c r="L14" t="b">
        <v>0</v>
      </c>
      <c r="M14" s="6">
        <v>60</v>
      </c>
      <c r="N14" t="s">
        <v>735</v>
      </c>
      <c r="O14" t="s">
        <v>45</v>
      </c>
      <c r="P14" t="s">
        <v>736</v>
      </c>
      <c r="Q14" t="s">
        <v>737</v>
      </c>
      <c r="R14" t="s">
        <v>738</v>
      </c>
    </row>
    <row r="15" spans="1:18" x14ac:dyDescent="0.45">
      <c r="A15" t="s">
        <v>472</v>
      </c>
      <c r="B15" t="s">
        <v>473</v>
      </c>
      <c r="C15" t="s">
        <v>474</v>
      </c>
      <c r="D15">
        <v>2020</v>
      </c>
      <c r="E15" s="1">
        <v>43831</v>
      </c>
      <c r="F15" t="s">
        <v>475</v>
      </c>
      <c r="G15" t="s">
        <v>22</v>
      </c>
      <c r="H15" t="s">
        <v>34</v>
      </c>
      <c r="I15">
        <v>6</v>
      </c>
      <c r="J15">
        <v>6</v>
      </c>
      <c r="K15">
        <v>1.9933000000000001</v>
      </c>
      <c r="L15" t="b">
        <v>0</v>
      </c>
      <c r="M15" s="6">
        <v>58</v>
      </c>
      <c r="N15" t="s">
        <v>476</v>
      </c>
      <c r="O15" t="s">
        <v>80</v>
      </c>
      <c r="P15" t="s">
        <v>477</v>
      </c>
      <c r="Q15" t="s">
        <v>24</v>
      </c>
      <c r="R15" t="s">
        <v>478</v>
      </c>
    </row>
    <row r="16" spans="1:18" x14ac:dyDescent="0.45">
      <c r="A16" t="s">
        <v>427</v>
      </c>
      <c r="B16" t="s">
        <v>428</v>
      </c>
      <c r="C16" t="s">
        <v>429</v>
      </c>
      <c r="D16">
        <v>2020</v>
      </c>
      <c r="E16" s="1">
        <v>43963</v>
      </c>
      <c r="F16" t="s">
        <v>430</v>
      </c>
      <c r="G16" t="s">
        <v>22</v>
      </c>
      <c r="H16" t="s">
        <v>34</v>
      </c>
      <c r="I16">
        <v>1</v>
      </c>
      <c r="J16">
        <v>3</v>
      </c>
      <c r="K16">
        <v>2.5912999999999999</v>
      </c>
      <c r="L16" t="b">
        <v>0</v>
      </c>
      <c r="M16" s="6">
        <v>56</v>
      </c>
      <c r="N16" t="s">
        <v>431</v>
      </c>
      <c r="O16" t="s">
        <v>167</v>
      </c>
      <c r="P16" t="s">
        <v>432</v>
      </c>
      <c r="Q16" t="s">
        <v>433</v>
      </c>
      <c r="R16" t="s">
        <v>434</v>
      </c>
    </row>
    <row r="17" spans="1:18" x14ac:dyDescent="0.45">
      <c r="A17" t="s">
        <v>448</v>
      </c>
      <c r="B17" t="s">
        <v>449</v>
      </c>
      <c r="C17" t="s">
        <v>450</v>
      </c>
      <c r="D17">
        <v>2020</v>
      </c>
      <c r="E17" s="1">
        <v>44159</v>
      </c>
      <c r="F17" t="s">
        <v>451</v>
      </c>
      <c r="G17" t="s">
        <v>22</v>
      </c>
      <c r="H17" t="s">
        <v>34</v>
      </c>
      <c r="I17">
        <v>4</v>
      </c>
      <c r="J17">
        <v>6</v>
      </c>
      <c r="K17">
        <v>2.3254999999999999</v>
      </c>
      <c r="L17" t="b">
        <v>0</v>
      </c>
      <c r="M17" s="6">
        <v>55</v>
      </c>
      <c r="N17" t="s">
        <v>452</v>
      </c>
      <c r="O17" t="s">
        <v>80</v>
      </c>
      <c r="P17" t="s">
        <v>453</v>
      </c>
      <c r="Q17" t="s">
        <v>454</v>
      </c>
      <c r="R17" t="s">
        <v>455</v>
      </c>
    </row>
    <row r="18" spans="1:18" x14ac:dyDescent="0.45">
      <c r="A18" t="s">
        <v>571</v>
      </c>
      <c r="B18" t="s">
        <v>572</v>
      </c>
      <c r="C18" t="s">
        <v>573</v>
      </c>
      <c r="D18">
        <v>2021</v>
      </c>
      <c r="E18" s="1">
        <v>44214</v>
      </c>
      <c r="F18" t="s">
        <v>574</v>
      </c>
      <c r="G18" t="s">
        <v>22</v>
      </c>
      <c r="H18" t="s">
        <v>23</v>
      </c>
      <c r="I18">
        <v>1</v>
      </c>
      <c r="J18">
        <v>3</v>
      </c>
      <c r="K18">
        <v>3.6766000000000001</v>
      </c>
      <c r="L18" t="b">
        <v>0</v>
      </c>
      <c r="M18" s="6">
        <v>55</v>
      </c>
      <c r="N18" t="s">
        <v>575</v>
      </c>
      <c r="O18" t="s">
        <v>45</v>
      </c>
      <c r="P18" t="s">
        <v>576</v>
      </c>
      <c r="Q18" t="s">
        <v>577</v>
      </c>
      <c r="R18" t="s">
        <v>578</v>
      </c>
    </row>
    <row r="19" spans="1:18" x14ac:dyDescent="0.45">
      <c r="A19" t="s">
        <v>596</v>
      </c>
      <c r="B19" t="s">
        <v>597</v>
      </c>
      <c r="C19" t="s">
        <v>598</v>
      </c>
      <c r="D19">
        <v>2024</v>
      </c>
      <c r="E19" s="1">
        <v>45551</v>
      </c>
      <c r="F19" t="s">
        <v>599</v>
      </c>
      <c r="G19" t="s">
        <v>22</v>
      </c>
      <c r="H19" t="s">
        <v>23</v>
      </c>
      <c r="I19">
        <v>4</v>
      </c>
      <c r="J19">
        <v>9</v>
      </c>
      <c r="K19">
        <v>2.6858</v>
      </c>
      <c r="L19" t="b">
        <v>0</v>
      </c>
      <c r="M19" s="6">
        <v>49</v>
      </c>
      <c r="N19" t="s">
        <v>600</v>
      </c>
      <c r="O19" t="s">
        <v>54</v>
      </c>
      <c r="P19" t="s">
        <v>601</v>
      </c>
      <c r="Q19" t="s">
        <v>602</v>
      </c>
      <c r="R19" t="s">
        <v>603</v>
      </c>
    </row>
    <row r="20" spans="1:18" x14ac:dyDescent="0.45">
      <c r="A20" t="s">
        <v>523</v>
      </c>
      <c r="B20" t="s">
        <v>524</v>
      </c>
      <c r="C20" t="s">
        <v>525</v>
      </c>
      <c r="D20">
        <v>2020</v>
      </c>
      <c r="E20" s="1">
        <v>43831</v>
      </c>
      <c r="F20" t="s">
        <v>526</v>
      </c>
      <c r="G20" t="s">
        <v>22</v>
      </c>
      <c r="H20" t="s">
        <v>34</v>
      </c>
      <c r="I20">
        <v>3</v>
      </c>
      <c r="J20">
        <v>6</v>
      </c>
      <c r="K20">
        <v>3.3906000000000001</v>
      </c>
      <c r="L20" t="b">
        <v>1</v>
      </c>
      <c r="M20" s="6">
        <v>46</v>
      </c>
      <c r="N20" t="s">
        <v>527</v>
      </c>
      <c r="O20" t="s">
        <v>167</v>
      </c>
      <c r="P20" t="s">
        <v>528</v>
      </c>
      <c r="Q20" t="s">
        <v>529</v>
      </c>
      <c r="R20" t="s">
        <v>530</v>
      </c>
    </row>
    <row r="21" spans="1:18" x14ac:dyDescent="0.45">
      <c r="A21" t="s">
        <v>796</v>
      </c>
      <c r="B21" t="s">
        <v>797</v>
      </c>
      <c r="C21" t="s">
        <v>798</v>
      </c>
      <c r="D21">
        <v>2020</v>
      </c>
      <c r="E21" s="1">
        <v>44074</v>
      </c>
      <c r="F21" t="s">
        <v>799</v>
      </c>
      <c r="G21" t="s">
        <v>22</v>
      </c>
      <c r="H21" t="s">
        <v>34</v>
      </c>
      <c r="I21">
        <v>2</v>
      </c>
      <c r="J21">
        <v>7</v>
      </c>
      <c r="K21">
        <v>2.2317</v>
      </c>
      <c r="L21" t="b">
        <v>1</v>
      </c>
      <c r="M21" s="6">
        <v>46</v>
      </c>
      <c r="N21" t="s">
        <v>800</v>
      </c>
      <c r="O21" t="s">
        <v>89</v>
      </c>
      <c r="P21" t="s">
        <v>801</v>
      </c>
      <c r="Q21" t="s">
        <v>802</v>
      </c>
      <c r="R21" t="s">
        <v>803</v>
      </c>
    </row>
    <row r="22" spans="1:18" x14ac:dyDescent="0.45">
      <c r="A22" t="s">
        <v>58</v>
      </c>
      <c r="B22" t="s">
        <v>59</v>
      </c>
      <c r="C22" t="s">
        <v>60</v>
      </c>
      <c r="D22">
        <v>2022</v>
      </c>
      <c r="E22" s="1">
        <v>44588</v>
      </c>
      <c r="F22" t="s">
        <v>61</v>
      </c>
      <c r="G22" t="s">
        <v>22</v>
      </c>
      <c r="H22" t="s">
        <v>34</v>
      </c>
      <c r="I22">
        <v>1</v>
      </c>
      <c r="J22">
        <v>4</v>
      </c>
      <c r="K22">
        <v>3.5223</v>
      </c>
      <c r="L22" t="b">
        <v>1</v>
      </c>
      <c r="M22" s="6">
        <v>44</v>
      </c>
      <c r="N22" t="s">
        <v>62</v>
      </c>
      <c r="O22" t="s">
        <v>45</v>
      </c>
      <c r="P22" t="s">
        <v>63</v>
      </c>
      <c r="Q22" t="s">
        <v>64</v>
      </c>
      <c r="R22" t="s">
        <v>65</v>
      </c>
    </row>
    <row r="23" spans="1:18" x14ac:dyDescent="0.45">
      <c r="A23" t="s">
        <v>539</v>
      </c>
      <c r="B23" t="s">
        <v>540</v>
      </c>
      <c r="C23" t="s">
        <v>541</v>
      </c>
      <c r="D23">
        <v>2023</v>
      </c>
      <c r="E23" s="1">
        <v>45044</v>
      </c>
      <c r="F23" t="s">
        <v>542</v>
      </c>
      <c r="G23" t="s">
        <v>22</v>
      </c>
      <c r="H23" t="s">
        <v>34</v>
      </c>
      <c r="I23">
        <v>1</v>
      </c>
      <c r="J23">
        <v>6</v>
      </c>
      <c r="K23">
        <v>5.8906999999999998</v>
      </c>
      <c r="L23" t="b">
        <v>1</v>
      </c>
      <c r="M23" s="6">
        <v>44</v>
      </c>
      <c r="N23" t="s">
        <v>543</v>
      </c>
      <c r="O23" t="s">
        <v>45</v>
      </c>
      <c r="P23" t="s">
        <v>544</v>
      </c>
      <c r="Q23" t="s">
        <v>545</v>
      </c>
      <c r="R23" t="s">
        <v>546</v>
      </c>
    </row>
    <row r="24" spans="1:18" x14ac:dyDescent="0.45">
      <c r="A24" t="s">
        <v>404</v>
      </c>
      <c r="B24" t="s">
        <v>405</v>
      </c>
      <c r="C24" t="s">
        <v>406</v>
      </c>
      <c r="D24">
        <v>2020</v>
      </c>
      <c r="E24" s="1">
        <v>43911</v>
      </c>
      <c r="F24" t="s">
        <v>407</v>
      </c>
      <c r="G24" t="s">
        <v>22</v>
      </c>
      <c r="H24" t="s">
        <v>34</v>
      </c>
      <c r="I24">
        <v>2</v>
      </c>
      <c r="J24">
        <v>3</v>
      </c>
      <c r="K24">
        <v>2.2393000000000001</v>
      </c>
      <c r="L24" t="b">
        <v>0</v>
      </c>
      <c r="M24" s="6">
        <v>43</v>
      </c>
      <c r="N24" t="s">
        <v>408</v>
      </c>
      <c r="O24" t="s">
        <v>122</v>
      </c>
      <c r="P24" t="s">
        <v>409</v>
      </c>
      <c r="Q24" t="s">
        <v>24</v>
      </c>
      <c r="R24" t="s">
        <v>410</v>
      </c>
    </row>
    <row r="25" spans="1:18" x14ac:dyDescent="0.45">
      <c r="A25" t="s">
        <v>125</v>
      </c>
      <c r="B25" t="s">
        <v>126</v>
      </c>
      <c r="C25" t="s">
        <v>127</v>
      </c>
      <c r="D25">
        <v>2023</v>
      </c>
      <c r="E25" s="1">
        <v>45146</v>
      </c>
      <c r="F25" t="s">
        <v>128</v>
      </c>
      <c r="G25" t="s">
        <v>22</v>
      </c>
      <c r="H25" t="s">
        <v>34</v>
      </c>
      <c r="I25">
        <v>6</v>
      </c>
      <c r="J25">
        <v>8</v>
      </c>
      <c r="K25">
        <v>6.5292000000000003</v>
      </c>
      <c r="L25" t="b">
        <v>0</v>
      </c>
      <c r="M25" s="6">
        <v>41</v>
      </c>
      <c r="N25" t="s">
        <v>129</v>
      </c>
      <c r="O25" t="s">
        <v>122</v>
      </c>
      <c r="P25" t="s">
        <v>130</v>
      </c>
      <c r="Q25" t="s">
        <v>24</v>
      </c>
      <c r="R25" t="s">
        <v>131</v>
      </c>
    </row>
    <row r="26" spans="1:18" x14ac:dyDescent="0.45">
      <c r="A26" t="s">
        <v>664</v>
      </c>
      <c r="B26" t="s">
        <v>665</v>
      </c>
      <c r="C26" t="s">
        <v>666</v>
      </c>
      <c r="D26">
        <v>2022</v>
      </c>
      <c r="E26" s="1">
        <v>44745</v>
      </c>
      <c r="F26" t="s">
        <v>667</v>
      </c>
      <c r="G26" t="s">
        <v>22</v>
      </c>
      <c r="H26" t="s">
        <v>23</v>
      </c>
      <c r="I26">
        <v>3</v>
      </c>
      <c r="J26">
        <v>6</v>
      </c>
      <c r="K26">
        <v>1.8253999999999999</v>
      </c>
      <c r="L26" t="b">
        <v>0</v>
      </c>
      <c r="M26" s="6">
        <v>39</v>
      </c>
      <c r="N26" t="s">
        <v>668</v>
      </c>
      <c r="O26" t="s">
        <v>80</v>
      </c>
      <c r="P26" t="s">
        <v>669</v>
      </c>
      <c r="Q26" t="s">
        <v>24</v>
      </c>
      <c r="R26" t="s">
        <v>670</v>
      </c>
    </row>
    <row r="27" spans="1:18" x14ac:dyDescent="0.45">
      <c r="A27" t="s">
        <v>633</v>
      </c>
      <c r="B27" t="s">
        <v>634</v>
      </c>
      <c r="C27" t="s">
        <v>635</v>
      </c>
      <c r="D27">
        <v>2022</v>
      </c>
      <c r="E27" s="1">
        <v>44805</v>
      </c>
      <c r="F27" t="s">
        <v>636</v>
      </c>
      <c r="G27" t="s">
        <v>22</v>
      </c>
      <c r="H27" t="s">
        <v>34</v>
      </c>
      <c r="I27">
        <v>1</v>
      </c>
      <c r="J27">
        <v>2</v>
      </c>
      <c r="K27">
        <v>2.7128999999999999</v>
      </c>
      <c r="L27" t="b">
        <v>1</v>
      </c>
      <c r="M27" s="6">
        <v>38</v>
      </c>
      <c r="N27" t="s">
        <v>637</v>
      </c>
      <c r="O27" t="s">
        <v>122</v>
      </c>
      <c r="P27" t="s">
        <v>638</v>
      </c>
      <c r="Q27" t="s">
        <v>24</v>
      </c>
      <c r="R27" t="s">
        <v>639</v>
      </c>
    </row>
    <row r="28" spans="1:18" x14ac:dyDescent="0.45">
      <c r="A28" t="s">
        <v>171</v>
      </c>
      <c r="B28" t="s">
        <v>172</v>
      </c>
      <c r="C28" t="s">
        <v>173</v>
      </c>
      <c r="D28">
        <v>2023</v>
      </c>
      <c r="E28" s="1">
        <v>45204</v>
      </c>
      <c r="F28" t="s">
        <v>174</v>
      </c>
      <c r="G28" t="s">
        <v>22</v>
      </c>
      <c r="H28" t="s">
        <v>34</v>
      </c>
      <c r="I28">
        <v>3</v>
      </c>
      <c r="J28">
        <v>6</v>
      </c>
      <c r="K28">
        <v>4.9535999999999998</v>
      </c>
      <c r="L28" t="b">
        <v>1</v>
      </c>
      <c r="M28" s="6">
        <v>37</v>
      </c>
      <c r="N28" t="s">
        <v>175</v>
      </c>
      <c r="O28" t="s">
        <v>80</v>
      </c>
      <c r="P28" t="s">
        <v>176</v>
      </c>
      <c r="Q28" t="s">
        <v>177</v>
      </c>
      <c r="R28" t="s">
        <v>178</v>
      </c>
    </row>
    <row r="29" spans="1:18" x14ac:dyDescent="0.45">
      <c r="A29" t="s">
        <v>739</v>
      </c>
      <c r="B29" t="s">
        <v>740</v>
      </c>
      <c r="C29" t="s">
        <v>741</v>
      </c>
      <c r="D29">
        <v>2023</v>
      </c>
      <c r="E29" s="1">
        <v>44972</v>
      </c>
      <c r="F29" t="s">
        <v>742</v>
      </c>
      <c r="G29" t="s">
        <v>22</v>
      </c>
      <c r="H29" t="s">
        <v>34</v>
      </c>
      <c r="I29">
        <v>3</v>
      </c>
      <c r="J29">
        <v>3</v>
      </c>
      <c r="K29">
        <v>4.5393999999999997</v>
      </c>
      <c r="L29" t="b">
        <v>0</v>
      </c>
      <c r="M29" s="6">
        <v>36</v>
      </c>
      <c r="N29" t="s">
        <v>743</v>
      </c>
      <c r="O29" t="s">
        <v>122</v>
      </c>
      <c r="P29" t="s">
        <v>744</v>
      </c>
      <c r="Q29" t="s">
        <v>24</v>
      </c>
      <c r="R29" t="s">
        <v>745</v>
      </c>
    </row>
    <row r="30" spans="1:18" x14ac:dyDescent="0.45">
      <c r="A30" t="s">
        <v>776</v>
      </c>
      <c r="B30" t="s">
        <v>777</v>
      </c>
      <c r="C30" t="s">
        <v>778</v>
      </c>
      <c r="D30">
        <v>2022</v>
      </c>
      <c r="E30" s="1">
        <v>44899</v>
      </c>
      <c r="F30" t="s">
        <v>779</v>
      </c>
      <c r="G30" t="s">
        <v>22</v>
      </c>
      <c r="H30" t="s">
        <v>34</v>
      </c>
      <c r="I30">
        <v>3</v>
      </c>
      <c r="J30">
        <v>15</v>
      </c>
      <c r="K30">
        <v>1.6675</v>
      </c>
      <c r="L30" t="b">
        <v>0</v>
      </c>
      <c r="M30" s="6">
        <v>36</v>
      </c>
      <c r="N30" t="s">
        <v>780</v>
      </c>
      <c r="O30" t="s">
        <v>122</v>
      </c>
      <c r="P30" t="s">
        <v>781</v>
      </c>
      <c r="Q30" t="s">
        <v>24</v>
      </c>
      <c r="R30" t="s">
        <v>782</v>
      </c>
    </row>
    <row r="31" spans="1:18" x14ac:dyDescent="0.45">
      <c r="A31" t="s">
        <v>411</v>
      </c>
      <c r="B31" t="s">
        <v>412</v>
      </c>
      <c r="C31" t="s">
        <v>413</v>
      </c>
      <c r="D31">
        <v>2022</v>
      </c>
      <c r="E31" s="1">
        <v>44895</v>
      </c>
      <c r="F31" t="s">
        <v>414</v>
      </c>
      <c r="G31" t="s">
        <v>22</v>
      </c>
      <c r="H31" t="s">
        <v>34</v>
      </c>
      <c r="I31">
        <v>1</v>
      </c>
      <c r="J31">
        <v>5</v>
      </c>
      <c r="K31">
        <v>2.7218</v>
      </c>
      <c r="L31" t="b">
        <v>1</v>
      </c>
      <c r="M31" s="6">
        <v>35</v>
      </c>
      <c r="N31" t="s">
        <v>415</v>
      </c>
      <c r="O31" t="s">
        <v>122</v>
      </c>
      <c r="P31" t="s">
        <v>416</v>
      </c>
      <c r="Q31" t="s">
        <v>417</v>
      </c>
      <c r="R31" t="s">
        <v>418</v>
      </c>
    </row>
    <row r="32" spans="1:18" x14ac:dyDescent="0.45">
      <c r="A32" t="s">
        <v>515</v>
      </c>
      <c r="B32" t="s">
        <v>516</v>
      </c>
      <c r="C32" t="s">
        <v>517</v>
      </c>
      <c r="D32">
        <v>2021</v>
      </c>
      <c r="E32" s="1">
        <v>44511</v>
      </c>
      <c r="F32" t="s">
        <v>518</v>
      </c>
      <c r="G32" t="s">
        <v>22</v>
      </c>
      <c r="H32" t="s">
        <v>34</v>
      </c>
      <c r="I32">
        <v>2</v>
      </c>
      <c r="J32">
        <v>4</v>
      </c>
      <c r="K32">
        <v>2.4230999999999998</v>
      </c>
      <c r="L32" t="b">
        <v>0</v>
      </c>
      <c r="M32" s="6">
        <v>35</v>
      </c>
      <c r="N32" t="s">
        <v>519</v>
      </c>
      <c r="O32" t="s">
        <v>167</v>
      </c>
      <c r="P32" t="s">
        <v>520</v>
      </c>
      <c r="Q32" t="s">
        <v>521</v>
      </c>
      <c r="R32" t="s">
        <v>522</v>
      </c>
    </row>
    <row r="33" spans="1:18" x14ac:dyDescent="0.45">
      <c r="A33" t="s">
        <v>835</v>
      </c>
      <c r="B33" t="s">
        <v>836</v>
      </c>
      <c r="C33" t="s">
        <v>837</v>
      </c>
      <c r="D33">
        <v>2023</v>
      </c>
      <c r="E33" s="1">
        <v>45170</v>
      </c>
      <c r="F33" t="s">
        <v>838</v>
      </c>
      <c r="G33" t="s">
        <v>22</v>
      </c>
      <c r="H33" t="s">
        <v>34</v>
      </c>
      <c r="I33">
        <v>5</v>
      </c>
      <c r="J33">
        <v>6</v>
      </c>
      <c r="K33">
        <v>3.4319000000000002</v>
      </c>
      <c r="L33" t="b">
        <v>0</v>
      </c>
      <c r="M33" s="6">
        <v>35</v>
      </c>
      <c r="N33" t="s">
        <v>839</v>
      </c>
      <c r="O33" t="s">
        <v>36</v>
      </c>
      <c r="P33" t="s">
        <v>840</v>
      </c>
      <c r="Q33" t="s">
        <v>841</v>
      </c>
      <c r="R33" t="s">
        <v>842</v>
      </c>
    </row>
    <row r="34" spans="1:18" x14ac:dyDescent="0.45">
      <c r="A34" t="s">
        <v>140</v>
      </c>
      <c r="B34" t="s">
        <v>141</v>
      </c>
      <c r="C34" t="s">
        <v>142</v>
      </c>
      <c r="D34">
        <v>2020</v>
      </c>
      <c r="E34" s="1">
        <v>43831</v>
      </c>
      <c r="F34" t="s">
        <v>143</v>
      </c>
      <c r="G34" t="s">
        <v>22</v>
      </c>
      <c r="H34" t="s">
        <v>34</v>
      </c>
      <c r="I34">
        <v>2</v>
      </c>
      <c r="J34">
        <v>11</v>
      </c>
      <c r="K34">
        <v>2.4317000000000002</v>
      </c>
      <c r="L34" t="b">
        <v>0</v>
      </c>
      <c r="M34" s="6">
        <v>34</v>
      </c>
      <c r="N34" t="s">
        <v>144</v>
      </c>
      <c r="O34" t="s">
        <v>114</v>
      </c>
      <c r="P34" t="s">
        <v>145</v>
      </c>
      <c r="Q34" t="s">
        <v>24</v>
      </c>
      <c r="R34" t="s">
        <v>146</v>
      </c>
    </row>
    <row r="35" spans="1:18" x14ac:dyDescent="0.45">
      <c r="A35" t="s">
        <v>435</v>
      </c>
      <c r="B35" t="s">
        <v>436</v>
      </c>
      <c r="C35" t="s">
        <v>437</v>
      </c>
      <c r="D35">
        <v>2024</v>
      </c>
      <c r="E35" s="1">
        <v>45360</v>
      </c>
      <c r="F35" t="s">
        <v>438</v>
      </c>
      <c r="G35" t="s">
        <v>22</v>
      </c>
      <c r="H35" t="s">
        <v>23</v>
      </c>
      <c r="I35">
        <v>1</v>
      </c>
      <c r="J35">
        <v>2</v>
      </c>
      <c r="K35">
        <v>7.3685</v>
      </c>
      <c r="L35" t="b">
        <v>0</v>
      </c>
      <c r="M35" s="6">
        <v>34</v>
      </c>
      <c r="N35" t="s">
        <v>439</v>
      </c>
      <c r="O35" t="s">
        <v>45</v>
      </c>
      <c r="P35" t="s">
        <v>440</v>
      </c>
      <c r="Q35" t="s">
        <v>441</v>
      </c>
      <c r="R35" t="s">
        <v>442</v>
      </c>
    </row>
    <row r="36" spans="1:18" x14ac:dyDescent="0.45">
      <c r="A36" t="s">
        <v>49</v>
      </c>
      <c r="B36" t="s">
        <v>50</v>
      </c>
      <c r="C36" t="s">
        <v>51</v>
      </c>
      <c r="D36">
        <v>2022</v>
      </c>
      <c r="E36" s="1">
        <v>44639</v>
      </c>
      <c r="F36" t="s">
        <v>52</v>
      </c>
      <c r="G36" t="s">
        <v>22</v>
      </c>
      <c r="H36" t="s">
        <v>34</v>
      </c>
      <c r="I36">
        <v>1</v>
      </c>
      <c r="J36">
        <v>4</v>
      </c>
      <c r="K36">
        <v>2.6534</v>
      </c>
      <c r="L36" t="b">
        <v>0</v>
      </c>
      <c r="M36" s="6">
        <v>32</v>
      </c>
      <c r="N36" t="s">
        <v>53</v>
      </c>
      <c r="O36" t="s">
        <v>54</v>
      </c>
      <c r="P36" t="s">
        <v>55</v>
      </c>
      <c r="Q36" t="s">
        <v>56</v>
      </c>
      <c r="R36" t="s">
        <v>57</v>
      </c>
    </row>
    <row r="37" spans="1:18" x14ac:dyDescent="0.45">
      <c r="A37" t="s">
        <v>604</v>
      </c>
      <c r="B37" t="s">
        <v>605</v>
      </c>
      <c r="C37" t="s">
        <v>606</v>
      </c>
      <c r="D37">
        <v>2024</v>
      </c>
      <c r="E37" s="1">
        <v>45612</v>
      </c>
      <c r="F37" t="s">
        <v>607</v>
      </c>
      <c r="G37" t="s">
        <v>22</v>
      </c>
      <c r="H37" t="s">
        <v>34</v>
      </c>
      <c r="I37">
        <v>6</v>
      </c>
      <c r="J37">
        <v>18</v>
      </c>
      <c r="K37">
        <v>3.8163</v>
      </c>
      <c r="L37" t="b">
        <v>0</v>
      </c>
      <c r="M37" s="6">
        <v>31</v>
      </c>
      <c r="N37" t="s">
        <v>608</v>
      </c>
      <c r="O37" t="s">
        <v>386</v>
      </c>
      <c r="P37" t="s">
        <v>609</v>
      </c>
      <c r="Q37" t="s">
        <v>24</v>
      </c>
      <c r="R37" t="s">
        <v>610</v>
      </c>
    </row>
    <row r="38" spans="1:18" x14ac:dyDescent="0.45">
      <c r="A38" t="s">
        <v>648</v>
      </c>
      <c r="B38" t="s">
        <v>649</v>
      </c>
      <c r="C38" t="s">
        <v>650</v>
      </c>
      <c r="D38">
        <v>2023</v>
      </c>
      <c r="E38" s="1">
        <v>45021</v>
      </c>
      <c r="F38" t="s">
        <v>651</v>
      </c>
      <c r="G38" t="s">
        <v>22</v>
      </c>
      <c r="H38" t="s">
        <v>34</v>
      </c>
      <c r="I38">
        <v>2</v>
      </c>
      <c r="J38">
        <v>9</v>
      </c>
      <c r="K38">
        <v>3.0430999999999999</v>
      </c>
      <c r="L38" t="b">
        <v>0</v>
      </c>
      <c r="M38" s="6">
        <v>31</v>
      </c>
      <c r="N38" t="s">
        <v>652</v>
      </c>
      <c r="O38" t="s">
        <v>122</v>
      </c>
      <c r="P38" t="s">
        <v>653</v>
      </c>
      <c r="Q38" t="s">
        <v>654</v>
      </c>
      <c r="R38" t="s">
        <v>655</v>
      </c>
    </row>
    <row r="39" spans="1:18" x14ac:dyDescent="0.45">
      <c r="A39" t="s">
        <v>755</v>
      </c>
      <c r="B39" t="s">
        <v>756</v>
      </c>
      <c r="C39" t="s">
        <v>757</v>
      </c>
      <c r="D39">
        <v>2024</v>
      </c>
      <c r="E39" s="1">
        <v>45556</v>
      </c>
      <c r="F39" t="s">
        <v>758</v>
      </c>
      <c r="G39" t="s">
        <v>22</v>
      </c>
      <c r="H39" t="s">
        <v>23</v>
      </c>
      <c r="I39">
        <v>2</v>
      </c>
      <c r="J39">
        <v>2</v>
      </c>
      <c r="K39">
        <v>2.8378000000000001</v>
      </c>
      <c r="L39" t="b">
        <v>0</v>
      </c>
      <c r="M39" s="6">
        <v>29</v>
      </c>
      <c r="N39" t="s">
        <v>759</v>
      </c>
      <c r="O39" t="s">
        <v>36</v>
      </c>
      <c r="P39" t="s">
        <v>760</v>
      </c>
      <c r="Q39" t="s">
        <v>24</v>
      </c>
      <c r="R39" t="s">
        <v>761</v>
      </c>
    </row>
    <row r="40" spans="1:18" x14ac:dyDescent="0.45">
      <c r="A40" t="s">
        <v>587</v>
      </c>
      <c r="B40" t="s">
        <v>588</v>
      </c>
      <c r="C40" t="s">
        <v>589</v>
      </c>
      <c r="D40">
        <v>2020</v>
      </c>
      <c r="E40" s="1">
        <v>44168</v>
      </c>
      <c r="F40" t="s">
        <v>590</v>
      </c>
      <c r="G40" t="s">
        <v>22</v>
      </c>
      <c r="H40" t="s">
        <v>34</v>
      </c>
      <c r="I40">
        <v>1</v>
      </c>
      <c r="J40">
        <v>4</v>
      </c>
      <c r="K40">
        <v>1.2017</v>
      </c>
      <c r="L40" t="b">
        <v>1</v>
      </c>
      <c r="M40" s="6">
        <v>28</v>
      </c>
      <c r="N40" t="s">
        <v>591</v>
      </c>
      <c r="O40" t="s">
        <v>592</v>
      </c>
      <c r="P40" t="s">
        <v>593</v>
      </c>
      <c r="Q40" t="s">
        <v>594</v>
      </c>
      <c r="R40" t="s">
        <v>595</v>
      </c>
    </row>
    <row r="41" spans="1:18" x14ac:dyDescent="0.45">
      <c r="A41" t="s">
        <v>769</v>
      </c>
      <c r="B41" t="s">
        <v>770</v>
      </c>
      <c r="C41" t="s">
        <v>771</v>
      </c>
      <c r="D41">
        <v>2023</v>
      </c>
      <c r="E41" s="1">
        <v>45125</v>
      </c>
      <c r="F41" t="s">
        <v>772</v>
      </c>
      <c r="G41" t="s">
        <v>22</v>
      </c>
      <c r="H41" t="s">
        <v>34</v>
      </c>
      <c r="I41">
        <v>2</v>
      </c>
      <c r="J41">
        <v>6</v>
      </c>
      <c r="K41">
        <v>3.0373999999999999</v>
      </c>
      <c r="L41" t="b">
        <v>1</v>
      </c>
      <c r="M41" s="6">
        <v>27</v>
      </c>
      <c r="N41" t="s">
        <v>773</v>
      </c>
      <c r="O41" t="s">
        <v>106</v>
      </c>
      <c r="P41" t="s">
        <v>774</v>
      </c>
      <c r="Q41" t="s">
        <v>24</v>
      </c>
      <c r="R41" t="s">
        <v>775</v>
      </c>
    </row>
    <row r="42" spans="1:18" x14ac:dyDescent="0.45">
      <c r="A42" t="s">
        <v>579</v>
      </c>
      <c r="B42" t="s">
        <v>580</v>
      </c>
      <c r="C42" t="s">
        <v>581</v>
      </c>
      <c r="D42">
        <v>2024</v>
      </c>
      <c r="E42" s="1">
        <v>45614</v>
      </c>
      <c r="F42" t="s">
        <v>582</v>
      </c>
      <c r="G42" t="s">
        <v>22</v>
      </c>
      <c r="H42" t="s">
        <v>34</v>
      </c>
      <c r="I42">
        <v>2</v>
      </c>
      <c r="J42">
        <v>7</v>
      </c>
      <c r="K42">
        <v>9.3876000000000008</v>
      </c>
      <c r="L42" t="b">
        <v>0</v>
      </c>
      <c r="M42" s="6">
        <v>26</v>
      </c>
      <c r="N42" t="s">
        <v>583</v>
      </c>
      <c r="O42" t="s">
        <v>386</v>
      </c>
      <c r="P42" t="s">
        <v>584</v>
      </c>
      <c r="Q42" t="s">
        <v>585</v>
      </c>
      <c r="R42" t="s">
        <v>586</v>
      </c>
    </row>
    <row r="43" spans="1:18" x14ac:dyDescent="0.45">
      <c r="A43" t="s">
        <v>675</v>
      </c>
      <c r="B43" t="s">
        <v>676</v>
      </c>
      <c r="C43" t="s">
        <v>677</v>
      </c>
      <c r="D43">
        <v>2021</v>
      </c>
      <c r="E43" s="1">
        <v>44482</v>
      </c>
      <c r="F43" t="s">
        <v>678</v>
      </c>
      <c r="G43" t="s">
        <v>22</v>
      </c>
      <c r="H43" t="s">
        <v>34</v>
      </c>
      <c r="I43">
        <v>2</v>
      </c>
      <c r="J43">
        <v>7</v>
      </c>
      <c r="K43">
        <v>1.2617</v>
      </c>
      <c r="L43" t="b">
        <v>0</v>
      </c>
      <c r="M43" s="6">
        <v>26</v>
      </c>
      <c r="N43" t="s">
        <v>679</v>
      </c>
      <c r="O43" t="s">
        <v>167</v>
      </c>
      <c r="P43" t="s">
        <v>680</v>
      </c>
      <c r="Q43" t="s">
        <v>24</v>
      </c>
      <c r="R43" t="s">
        <v>681</v>
      </c>
    </row>
    <row r="44" spans="1:18" x14ac:dyDescent="0.45">
      <c r="A44" t="s">
        <v>883</v>
      </c>
      <c r="B44" t="s">
        <v>884</v>
      </c>
      <c r="C44" t="s">
        <v>885</v>
      </c>
      <c r="D44">
        <v>2022</v>
      </c>
      <c r="E44" s="1">
        <v>44897</v>
      </c>
      <c r="F44" t="s">
        <v>886</v>
      </c>
      <c r="G44" t="s">
        <v>22</v>
      </c>
      <c r="H44" t="s">
        <v>34</v>
      </c>
      <c r="I44">
        <v>1</v>
      </c>
      <c r="J44">
        <v>5</v>
      </c>
      <c r="K44">
        <v>1.9370000000000001</v>
      </c>
      <c r="L44" t="b">
        <v>0</v>
      </c>
      <c r="M44" s="6">
        <v>25</v>
      </c>
      <c r="N44" t="s">
        <v>887</v>
      </c>
      <c r="O44" t="s">
        <v>888</v>
      </c>
      <c r="P44" t="s">
        <v>889</v>
      </c>
      <c r="Q44" t="s">
        <v>24</v>
      </c>
      <c r="R44" t="s">
        <v>890</v>
      </c>
    </row>
    <row r="45" spans="1:18" x14ac:dyDescent="0.45">
      <c r="A45" t="s">
        <v>117</v>
      </c>
      <c r="B45" t="s">
        <v>118</v>
      </c>
      <c r="C45" t="s">
        <v>119</v>
      </c>
      <c r="D45">
        <v>2024</v>
      </c>
      <c r="E45" s="1">
        <v>45385</v>
      </c>
      <c r="F45" t="s">
        <v>120</v>
      </c>
      <c r="G45" t="s">
        <v>22</v>
      </c>
      <c r="H45" t="s">
        <v>34</v>
      </c>
      <c r="I45">
        <v>1</v>
      </c>
      <c r="J45">
        <v>5</v>
      </c>
      <c r="K45">
        <v>4.7034000000000002</v>
      </c>
      <c r="L45" t="b">
        <v>1</v>
      </c>
      <c r="M45" s="6">
        <v>24</v>
      </c>
      <c r="N45" t="s">
        <v>121</v>
      </c>
      <c r="O45" t="s">
        <v>122</v>
      </c>
      <c r="P45" t="s">
        <v>123</v>
      </c>
      <c r="Q45" t="s">
        <v>24</v>
      </c>
      <c r="R45" t="s">
        <v>124</v>
      </c>
    </row>
    <row r="46" spans="1:18" x14ac:dyDescent="0.45">
      <c r="A46" t="s">
        <v>930</v>
      </c>
      <c r="B46" t="s">
        <v>931</v>
      </c>
      <c r="C46" t="s">
        <v>932</v>
      </c>
      <c r="D46">
        <v>2024</v>
      </c>
      <c r="E46" s="1">
        <v>45618</v>
      </c>
      <c r="F46" t="s">
        <v>933</v>
      </c>
      <c r="G46" t="s">
        <v>22</v>
      </c>
      <c r="H46" t="s">
        <v>34</v>
      </c>
      <c r="I46">
        <v>6</v>
      </c>
      <c r="J46">
        <v>26</v>
      </c>
      <c r="K46">
        <v>4.3438999999999997</v>
      </c>
      <c r="L46" t="b">
        <v>0</v>
      </c>
      <c r="M46" s="6">
        <v>24</v>
      </c>
      <c r="N46" t="s">
        <v>934</v>
      </c>
      <c r="O46" t="s">
        <v>386</v>
      </c>
      <c r="P46" t="s">
        <v>935</v>
      </c>
      <c r="Q46" t="s">
        <v>24</v>
      </c>
      <c r="R46" t="s">
        <v>936</v>
      </c>
    </row>
    <row r="47" spans="1:18" x14ac:dyDescent="0.45">
      <c r="A47" t="s">
        <v>84</v>
      </c>
      <c r="B47" t="s">
        <v>85</v>
      </c>
      <c r="C47" t="s">
        <v>86</v>
      </c>
      <c r="D47">
        <v>2020</v>
      </c>
      <c r="E47" s="1">
        <v>44063</v>
      </c>
      <c r="F47" t="s">
        <v>87</v>
      </c>
      <c r="G47" t="s">
        <v>22</v>
      </c>
      <c r="H47" t="s">
        <v>34</v>
      </c>
      <c r="I47">
        <v>1</v>
      </c>
      <c r="J47">
        <v>4</v>
      </c>
      <c r="K47">
        <v>1.2329000000000001</v>
      </c>
      <c r="L47" t="b">
        <v>0</v>
      </c>
      <c r="M47" s="6">
        <v>23</v>
      </c>
      <c r="N47" t="s">
        <v>88</v>
      </c>
      <c r="O47" t="s">
        <v>89</v>
      </c>
      <c r="P47" t="s">
        <v>90</v>
      </c>
      <c r="Q47" t="s">
        <v>91</v>
      </c>
      <c r="R47" t="s">
        <v>92</v>
      </c>
    </row>
    <row r="48" spans="1:18" x14ac:dyDescent="0.45">
      <c r="A48" t="s">
        <v>617</v>
      </c>
      <c r="B48" t="s">
        <v>618</v>
      </c>
      <c r="C48" t="s">
        <v>619</v>
      </c>
      <c r="D48">
        <v>2021</v>
      </c>
      <c r="E48" s="1">
        <v>44221</v>
      </c>
      <c r="F48" t="s">
        <v>620</v>
      </c>
      <c r="G48" t="s">
        <v>22</v>
      </c>
      <c r="H48" t="s">
        <v>34</v>
      </c>
      <c r="I48">
        <v>1</v>
      </c>
      <c r="J48">
        <v>7</v>
      </c>
      <c r="K48">
        <v>1.8048999999999999</v>
      </c>
      <c r="L48" t="b">
        <v>0</v>
      </c>
      <c r="M48" s="6">
        <v>23</v>
      </c>
      <c r="N48" t="s">
        <v>621</v>
      </c>
      <c r="O48" t="s">
        <v>622</v>
      </c>
      <c r="P48" t="s">
        <v>623</v>
      </c>
      <c r="Q48" t="s">
        <v>24</v>
      </c>
      <c r="R48" t="s">
        <v>624</v>
      </c>
    </row>
    <row r="49" spans="1:18" x14ac:dyDescent="0.45">
      <c r="A49" t="s">
        <v>93</v>
      </c>
      <c r="B49" t="s">
        <v>94</v>
      </c>
      <c r="C49" t="s">
        <v>95</v>
      </c>
      <c r="D49">
        <v>2024</v>
      </c>
      <c r="E49" s="1">
        <v>45308</v>
      </c>
      <c r="F49" t="s">
        <v>96</v>
      </c>
      <c r="G49" t="s">
        <v>22</v>
      </c>
      <c r="H49" t="s">
        <v>34</v>
      </c>
      <c r="I49">
        <v>2</v>
      </c>
      <c r="J49">
        <v>7</v>
      </c>
      <c r="K49">
        <v>4.9545000000000003</v>
      </c>
      <c r="L49" t="b">
        <v>0</v>
      </c>
      <c r="M49" s="6">
        <v>22</v>
      </c>
      <c r="N49" t="s">
        <v>97</v>
      </c>
      <c r="O49" t="s">
        <v>45</v>
      </c>
      <c r="P49" t="s">
        <v>98</v>
      </c>
      <c r="Q49" t="s">
        <v>99</v>
      </c>
      <c r="R49" t="s">
        <v>100</v>
      </c>
    </row>
    <row r="50" spans="1:18" x14ac:dyDescent="0.45">
      <c r="A50" t="s">
        <v>716</v>
      </c>
      <c r="B50" t="s">
        <v>717</v>
      </c>
      <c r="C50" t="s">
        <v>718</v>
      </c>
      <c r="D50">
        <v>2022</v>
      </c>
      <c r="E50" s="1">
        <v>44586</v>
      </c>
      <c r="F50" t="s">
        <v>719</v>
      </c>
      <c r="G50" t="s">
        <v>22</v>
      </c>
      <c r="H50" t="s">
        <v>460</v>
      </c>
      <c r="I50">
        <v>2</v>
      </c>
      <c r="J50">
        <v>4</v>
      </c>
      <c r="K50">
        <v>12.2014</v>
      </c>
      <c r="L50" t="b">
        <v>0</v>
      </c>
      <c r="M50" s="6">
        <v>22</v>
      </c>
      <c r="N50" t="s">
        <v>720</v>
      </c>
      <c r="O50" t="s">
        <v>106</v>
      </c>
      <c r="P50" t="s">
        <v>721</v>
      </c>
      <c r="Q50" t="s">
        <v>722</v>
      </c>
      <c r="R50" t="s">
        <v>723</v>
      </c>
    </row>
    <row r="51" spans="1:18" x14ac:dyDescent="0.45">
      <c r="A51" t="s">
        <v>937</v>
      </c>
      <c r="B51" t="s">
        <v>938</v>
      </c>
      <c r="C51" t="s">
        <v>939</v>
      </c>
      <c r="D51">
        <v>2021</v>
      </c>
      <c r="E51" s="1">
        <v>44371</v>
      </c>
      <c r="F51" t="s">
        <v>940</v>
      </c>
      <c r="G51" t="s">
        <v>22</v>
      </c>
      <c r="H51" t="s">
        <v>34</v>
      </c>
      <c r="I51">
        <v>2</v>
      </c>
      <c r="J51">
        <v>9</v>
      </c>
      <c r="K51">
        <v>1.2353000000000001</v>
      </c>
      <c r="L51" t="b">
        <v>0</v>
      </c>
      <c r="M51" s="6">
        <v>22</v>
      </c>
      <c r="N51" t="s">
        <v>941</v>
      </c>
      <c r="O51" t="s">
        <v>622</v>
      </c>
      <c r="P51" t="s">
        <v>942</v>
      </c>
      <c r="Q51" t="s">
        <v>943</v>
      </c>
      <c r="R51" t="s">
        <v>944</v>
      </c>
    </row>
    <row r="52" spans="1:18" x14ac:dyDescent="0.45">
      <c r="A52" t="s">
        <v>1064</v>
      </c>
      <c r="B52" t="s">
        <v>1065</v>
      </c>
      <c r="C52" t="s">
        <v>1066</v>
      </c>
      <c r="D52">
        <v>2020</v>
      </c>
      <c r="E52" s="1">
        <v>43971</v>
      </c>
      <c r="F52" t="s">
        <v>1067</v>
      </c>
      <c r="G52" t="s">
        <v>22</v>
      </c>
      <c r="H52" t="s">
        <v>34</v>
      </c>
      <c r="I52">
        <v>1</v>
      </c>
      <c r="J52">
        <v>4</v>
      </c>
      <c r="K52">
        <v>5.8259999999999996</v>
      </c>
      <c r="L52" t="b">
        <v>0</v>
      </c>
      <c r="M52" s="6">
        <v>22</v>
      </c>
      <c r="N52" t="s">
        <v>1068</v>
      </c>
      <c r="O52" t="s">
        <v>89</v>
      </c>
      <c r="P52" t="s">
        <v>1069</v>
      </c>
      <c r="Q52" t="s">
        <v>24</v>
      </c>
      <c r="R52" t="s">
        <v>1070</v>
      </c>
    </row>
    <row r="53" spans="1:18" x14ac:dyDescent="0.45">
      <c r="A53" t="s">
        <v>155</v>
      </c>
      <c r="B53" t="s">
        <v>156</v>
      </c>
      <c r="C53" t="s">
        <v>157</v>
      </c>
      <c r="D53">
        <v>2022</v>
      </c>
      <c r="E53" s="1">
        <v>44658</v>
      </c>
      <c r="F53" t="s">
        <v>158</v>
      </c>
      <c r="G53" t="s">
        <v>22</v>
      </c>
      <c r="H53" t="s">
        <v>34</v>
      </c>
      <c r="I53">
        <v>2</v>
      </c>
      <c r="J53">
        <v>21</v>
      </c>
      <c r="K53">
        <v>1.5549999999999999</v>
      </c>
      <c r="L53" t="b">
        <v>0</v>
      </c>
      <c r="M53" s="6">
        <v>21</v>
      </c>
      <c r="N53" t="s">
        <v>159</v>
      </c>
      <c r="O53" t="s">
        <v>114</v>
      </c>
      <c r="P53" t="s">
        <v>160</v>
      </c>
      <c r="Q53" t="s">
        <v>24</v>
      </c>
      <c r="R53" t="s">
        <v>161</v>
      </c>
    </row>
    <row r="54" spans="1:18" x14ac:dyDescent="0.45">
      <c r="A54" t="s">
        <v>211</v>
      </c>
      <c r="B54" t="s">
        <v>212</v>
      </c>
      <c r="C54" t="s">
        <v>213</v>
      </c>
      <c r="D54">
        <v>2020</v>
      </c>
      <c r="E54" s="1">
        <v>43831</v>
      </c>
      <c r="F54" t="s">
        <v>214</v>
      </c>
      <c r="G54" t="s">
        <v>22</v>
      </c>
      <c r="H54" t="s">
        <v>34</v>
      </c>
      <c r="I54">
        <v>2</v>
      </c>
      <c r="J54">
        <v>14</v>
      </c>
      <c r="K54">
        <v>1.4384999999999999</v>
      </c>
      <c r="L54" t="b">
        <v>0</v>
      </c>
      <c r="M54" s="6">
        <v>21</v>
      </c>
      <c r="N54" t="s">
        <v>215</v>
      </c>
      <c r="O54" t="s">
        <v>89</v>
      </c>
      <c r="P54" t="s">
        <v>216</v>
      </c>
      <c r="Q54" t="s">
        <v>24</v>
      </c>
      <c r="R54" t="s">
        <v>217</v>
      </c>
    </row>
    <row r="55" spans="1:18" x14ac:dyDescent="0.45">
      <c r="A55" t="s">
        <v>555</v>
      </c>
      <c r="B55" t="s">
        <v>556</v>
      </c>
      <c r="C55" t="s">
        <v>557</v>
      </c>
      <c r="D55">
        <v>2021</v>
      </c>
      <c r="E55" s="1">
        <v>44214</v>
      </c>
      <c r="F55" t="s">
        <v>558</v>
      </c>
      <c r="G55" t="s">
        <v>22</v>
      </c>
      <c r="H55" t="s">
        <v>34</v>
      </c>
      <c r="I55">
        <v>2</v>
      </c>
      <c r="J55">
        <v>3</v>
      </c>
      <c r="K55">
        <v>1.5041</v>
      </c>
      <c r="L55" t="b">
        <v>0</v>
      </c>
      <c r="M55" s="6">
        <v>21</v>
      </c>
      <c r="N55" t="s">
        <v>559</v>
      </c>
      <c r="O55" t="s">
        <v>89</v>
      </c>
      <c r="P55" t="s">
        <v>560</v>
      </c>
      <c r="Q55" t="s">
        <v>561</v>
      </c>
      <c r="R55" t="s">
        <v>562</v>
      </c>
    </row>
    <row r="56" spans="1:18" x14ac:dyDescent="0.45">
      <c r="A56" t="s">
        <v>701</v>
      </c>
      <c r="B56" t="s">
        <v>702</v>
      </c>
      <c r="C56" t="s">
        <v>703</v>
      </c>
      <c r="D56">
        <v>2020</v>
      </c>
      <c r="E56" s="1">
        <v>43832</v>
      </c>
      <c r="F56" t="s">
        <v>704</v>
      </c>
      <c r="G56" t="s">
        <v>22</v>
      </c>
      <c r="H56" t="s">
        <v>34</v>
      </c>
      <c r="I56">
        <v>1</v>
      </c>
      <c r="J56">
        <v>5</v>
      </c>
      <c r="K56">
        <v>1.3357000000000001</v>
      </c>
      <c r="L56" t="b">
        <v>0</v>
      </c>
      <c r="M56" s="6">
        <v>21</v>
      </c>
      <c r="N56" t="s">
        <v>705</v>
      </c>
      <c r="O56" t="s">
        <v>256</v>
      </c>
      <c r="P56" t="s">
        <v>706</v>
      </c>
      <c r="Q56" t="s">
        <v>707</v>
      </c>
      <c r="R56" t="s">
        <v>708</v>
      </c>
    </row>
    <row r="57" spans="1:18" x14ac:dyDescent="0.45">
      <c r="A57" t="s">
        <v>724</v>
      </c>
      <c r="B57" t="s">
        <v>725</v>
      </c>
      <c r="C57" t="s">
        <v>726</v>
      </c>
      <c r="D57">
        <v>2024</v>
      </c>
      <c r="E57" s="1">
        <v>45400</v>
      </c>
      <c r="F57" t="s">
        <v>727</v>
      </c>
      <c r="G57" t="s">
        <v>22</v>
      </c>
      <c r="H57" t="s">
        <v>34</v>
      </c>
      <c r="I57">
        <v>4</v>
      </c>
      <c r="J57">
        <v>7</v>
      </c>
      <c r="K57">
        <v>7.3385999999999996</v>
      </c>
      <c r="L57" t="b">
        <v>1</v>
      </c>
      <c r="M57" s="6">
        <v>21</v>
      </c>
      <c r="N57" t="s">
        <v>728</v>
      </c>
      <c r="O57" t="s">
        <v>167</v>
      </c>
      <c r="P57" t="s">
        <v>729</v>
      </c>
      <c r="Q57" t="s">
        <v>24</v>
      </c>
      <c r="R57" t="s">
        <v>730</v>
      </c>
    </row>
    <row r="58" spans="1:18" x14ac:dyDescent="0.45">
      <c r="A58" t="s">
        <v>132</v>
      </c>
      <c r="B58" t="s">
        <v>133</v>
      </c>
      <c r="C58" t="s">
        <v>134</v>
      </c>
      <c r="D58">
        <v>2024</v>
      </c>
      <c r="E58" s="1">
        <v>45292</v>
      </c>
      <c r="F58" t="s">
        <v>135</v>
      </c>
      <c r="G58" t="s">
        <v>22</v>
      </c>
      <c r="H58" t="s">
        <v>34</v>
      </c>
      <c r="I58">
        <v>2</v>
      </c>
      <c r="J58">
        <v>3</v>
      </c>
      <c r="K58">
        <v>2.1402999999999999</v>
      </c>
      <c r="L58" t="b">
        <v>0</v>
      </c>
      <c r="M58" s="6">
        <v>19</v>
      </c>
      <c r="N58" t="s">
        <v>136</v>
      </c>
      <c r="O58" t="s">
        <v>137</v>
      </c>
      <c r="P58" t="s">
        <v>138</v>
      </c>
      <c r="Q58" t="s">
        <v>24</v>
      </c>
      <c r="R58" t="s">
        <v>139</v>
      </c>
    </row>
    <row r="59" spans="1:18" x14ac:dyDescent="0.45">
      <c r="A59" t="s">
        <v>196</v>
      </c>
      <c r="B59" t="s">
        <v>197</v>
      </c>
      <c r="C59" t="s">
        <v>198</v>
      </c>
      <c r="D59">
        <v>2024</v>
      </c>
      <c r="E59" s="1">
        <v>45517</v>
      </c>
      <c r="F59" t="s">
        <v>199</v>
      </c>
      <c r="G59" t="s">
        <v>22</v>
      </c>
      <c r="H59" t="s">
        <v>34</v>
      </c>
      <c r="I59">
        <v>1</v>
      </c>
      <c r="J59">
        <v>2</v>
      </c>
      <c r="K59">
        <v>4.383</v>
      </c>
      <c r="L59" t="b">
        <v>0</v>
      </c>
      <c r="M59" s="6">
        <v>19</v>
      </c>
      <c r="N59" t="s">
        <v>200</v>
      </c>
      <c r="O59" t="s">
        <v>54</v>
      </c>
      <c r="P59" t="s">
        <v>201</v>
      </c>
      <c r="Q59" t="s">
        <v>24</v>
      </c>
      <c r="R59" t="s">
        <v>202</v>
      </c>
    </row>
    <row r="60" spans="1:18" x14ac:dyDescent="0.45">
      <c r="A60" t="s">
        <v>783</v>
      </c>
      <c r="B60" t="s">
        <v>784</v>
      </c>
      <c r="C60" t="s">
        <v>785</v>
      </c>
      <c r="D60">
        <v>2020</v>
      </c>
      <c r="E60" s="1">
        <v>43968</v>
      </c>
      <c r="F60" t="s">
        <v>786</v>
      </c>
      <c r="G60" t="s">
        <v>22</v>
      </c>
      <c r="H60" t="s">
        <v>34</v>
      </c>
      <c r="I60">
        <v>2</v>
      </c>
      <c r="J60">
        <v>6</v>
      </c>
      <c r="K60">
        <v>0.71919999999999995</v>
      </c>
      <c r="L60" t="b">
        <v>0</v>
      </c>
      <c r="M60" s="6">
        <v>19</v>
      </c>
      <c r="N60" t="s">
        <v>787</v>
      </c>
      <c r="O60" t="s">
        <v>89</v>
      </c>
      <c r="P60" t="s">
        <v>788</v>
      </c>
      <c r="Q60" t="s">
        <v>24</v>
      </c>
      <c r="R60" t="s">
        <v>789</v>
      </c>
    </row>
    <row r="61" spans="1:18" x14ac:dyDescent="0.45">
      <c r="A61" t="s">
        <v>187</v>
      </c>
      <c r="B61" t="s">
        <v>188</v>
      </c>
      <c r="C61" t="s">
        <v>189</v>
      </c>
      <c r="D61">
        <v>2020</v>
      </c>
      <c r="E61" s="1">
        <v>43957</v>
      </c>
      <c r="F61" t="s">
        <v>190</v>
      </c>
      <c r="G61" t="s">
        <v>22</v>
      </c>
      <c r="H61" t="s">
        <v>34</v>
      </c>
      <c r="I61">
        <v>3</v>
      </c>
      <c r="J61">
        <v>5</v>
      </c>
      <c r="K61">
        <v>0.6835</v>
      </c>
      <c r="L61" t="b">
        <v>0</v>
      </c>
      <c r="M61" s="6">
        <v>18</v>
      </c>
      <c r="N61" t="s">
        <v>191</v>
      </c>
      <c r="O61" t="s">
        <v>192</v>
      </c>
      <c r="P61" t="s">
        <v>193</v>
      </c>
      <c r="Q61" t="s">
        <v>194</v>
      </c>
      <c r="R61" t="s">
        <v>195</v>
      </c>
    </row>
    <row r="62" spans="1:18" x14ac:dyDescent="0.45">
      <c r="A62" t="s">
        <v>563</v>
      </c>
      <c r="B62" t="s">
        <v>564</v>
      </c>
      <c r="C62" t="s">
        <v>565</v>
      </c>
      <c r="D62">
        <v>2020</v>
      </c>
      <c r="E62" s="1">
        <v>44136</v>
      </c>
      <c r="F62" t="s">
        <v>566</v>
      </c>
      <c r="G62" t="s">
        <v>22</v>
      </c>
      <c r="H62" t="s">
        <v>34</v>
      </c>
      <c r="I62">
        <v>3</v>
      </c>
      <c r="J62">
        <v>8</v>
      </c>
      <c r="K62">
        <v>1.5907</v>
      </c>
      <c r="L62" t="b">
        <v>0</v>
      </c>
      <c r="M62" s="6">
        <v>18</v>
      </c>
      <c r="N62" t="s">
        <v>567</v>
      </c>
      <c r="O62" t="s">
        <v>568</v>
      </c>
      <c r="P62" t="s">
        <v>569</v>
      </c>
      <c r="Q62" t="s">
        <v>24</v>
      </c>
      <c r="R62" t="s">
        <v>570</v>
      </c>
    </row>
    <row r="63" spans="1:18" x14ac:dyDescent="0.45">
      <c r="A63" t="s">
        <v>162</v>
      </c>
      <c r="B63" t="s">
        <v>163</v>
      </c>
      <c r="C63" t="s">
        <v>164</v>
      </c>
      <c r="D63">
        <v>2023</v>
      </c>
      <c r="E63" s="1">
        <v>45185</v>
      </c>
      <c r="F63" t="s">
        <v>165</v>
      </c>
      <c r="G63" t="s">
        <v>22</v>
      </c>
      <c r="H63" t="s">
        <v>34</v>
      </c>
      <c r="I63">
        <v>1</v>
      </c>
      <c r="J63">
        <v>3</v>
      </c>
      <c r="K63">
        <v>1.9124000000000001</v>
      </c>
      <c r="L63" t="b">
        <v>0</v>
      </c>
      <c r="M63" s="6">
        <v>17</v>
      </c>
      <c r="N63" t="s">
        <v>166</v>
      </c>
      <c r="O63" t="s">
        <v>167</v>
      </c>
      <c r="P63" t="s">
        <v>168</v>
      </c>
      <c r="Q63" t="s">
        <v>169</v>
      </c>
      <c r="R63" t="s">
        <v>170</v>
      </c>
    </row>
    <row r="64" spans="1:18" x14ac:dyDescent="0.45">
      <c r="A64" t="s">
        <v>1115</v>
      </c>
      <c r="B64" t="s">
        <v>1116</v>
      </c>
      <c r="C64" t="s">
        <v>1117</v>
      </c>
      <c r="D64">
        <v>2020</v>
      </c>
      <c r="E64" s="1">
        <v>44010</v>
      </c>
      <c r="F64" t="s">
        <v>1118</v>
      </c>
      <c r="G64" t="s">
        <v>22</v>
      </c>
      <c r="H64" t="s">
        <v>34</v>
      </c>
      <c r="I64">
        <v>1</v>
      </c>
      <c r="J64">
        <v>4</v>
      </c>
      <c r="K64">
        <v>1.665</v>
      </c>
      <c r="L64" t="b">
        <v>0</v>
      </c>
      <c r="M64" s="6">
        <v>17</v>
      </c>
      <c r="N64" t="s">
        <v>1119</v>
      </c>
      <c r="O64" t="s">
        <v>89</v>
      </c>
      <c r="P64" t="s">
        <v>1120</v>
      </c>
      <c r="Q64" t="s">
        <v>1121</v>
      </c>
      <c r="R64" t="s">
        <v>1122</v>
      </c>
    </row>
    <row r="65" spans="1:18" x14ac:dyDescent="0.45">
      <c r="A65" t="s">
        <v>109</v>
      </c>
      <c r="B65" t="s">
        <v>110</v>
      </c>
      <c r="C65" t="s">
        <v>111</v>
      </c>
      <c r="D65">
        <v>2022</v>
      </c>
      <c r="E65" s="1">
        <v>44864</v>
      </c>
      <c r="F65" t="s">
        <v>112</v>
      </c>
      <c r="G65" t="s">
        <v>22</v>
      </c>
      <c r="H65" t="s">
        <v>34</v>
      </c>
      <c r="I65">
        <v>1</v>
      </c>
      <c r="J65">
        <v>3</v>
      </c>
      <c r="K65">
        <v>1.2010000000000001</v>
      </c>
      <c r="L65" t="b">
        <v>0</v>
      </c>
      <c r="M65" s="6">
        <v>16</v>
      </c>
      <c r="N65" t="s">
        <v>113</v>
      </c>
      <c r="O65" t="s">
        <v>114</v>
      </c>
      <c r="P65" t="s">
        <v>115</v>
      </c>
      <c r="Q65" t="s">
        <v>24</v>
      </c>
      <c r="R65" t="s">
        <v>116</v>
      </c>
    </row>
    <row r="66" spans="1:18" x14ac:dyDescent="0.45">
      <c r="A66" t="s">
        <v>891</v>
      </c>
      <c r="B66" t="s">
        <v>892</v>
      </c>
      <c r="C66" t="s">
        <v>893</v>
      </c>
      <c r="D66">
        <v>2021</v>
      </c>
      <c r="E66" s="1">
        <v>44443</v>
      </c>
      <c r="F66" t="s">
        <v>894</v>
      </c>
      <c r="G66" t="s">
        <v>22</v>
      </c>
      <c r="H66" t="s">
        <v>34</v>
      </c>
      <c r="I66">
        <v>3</v>
      </c>
      <c r="J66">
        <v>15</v>
      </c>
      <c r="K66">
        <v>3.0236999999999998</v>
      </c>
      <c r="L66" t="b">
        <v>1</v>
      </c>
      <c r="M66" s="6">
        <v>16</v>
      </c>
      <c r="N66" t="s">
        <v>895</v>
      </c>
      <c r="O66" t="s">
        <v>89</v>
      </c>
      <c r="P66" t="s">
        <v>896</v>
      </c>
      <c r="Q66" t="s">
        <v>897</v>
      </c>
      <c r="R66" t="s">
        <v>898</v>
      </c>
    </row>
    <row r="67" spans="1:18" x14ac:dyDescent="0.45">
      <c r="A67" t="s">
        <v>899</v>
      </c>
      <c r="B67" t="s">
        <v>900</v>
      </c>
      <c r="C67" t="s">
        <v>901</v>
      </c>
      <c r="D67">
        <v>2022</v>
      </c>
      <c r="E67" s="1">
        <v>44614</v>
      </c>
      <c r="F67" t="s">
        <v>902</v>
      </c>
      <c r="G67" t="s">
        <v>22</v>
      </c>
      <c r="H67" t="s">
        <v>34</v>
      </c>
      <c r="I67">
        <v>2</v>
      </c>
      <c r="J67">
        <v>12</v>
      </c>
      <c r="K67">
        <v>1.9881</v>
      </c>
      <c r="L67" t="b">
        <v>0</v>
      </c>
      <c r="M67" s="6">
        <v>16</v>
      </c>
      <c r="N67" t="s">
        <v>903</v>
      </c>
      <c r="O67" t="s">
        <v>192</v>
      </c>
      <c r="P67" t="s">
        <v>904</v>
      </c>
      <c r="Q67" t="s">
        <v>905</v>
      </c>
      <c r="R67" t="s">
        <v>906</v>
      </c>
    </row>
    <row r="68" spans="1:18" x14ac:dyDescent="0.45">
      <c r="A68" t="s">
        <v>625</v>
      </c>
      <c r="B68" t="s">
        <v>626</v>
      </c>
      <c r="C68" t="s">
        <v>627</v>
      </c>
      <c r="D68">
        <v>2024</v>
      </c>
      <c r="E68" s="1">
        <v>45565</v>
      </c>
      <c r="F68" t="s">
        <v>628</v>
      </c>
      <c r="G68" t="s">
        <v>22</v>
      </c>
      <c r="H68" t="s">
        <v>34</v>
      </c>
      <c r="I68">
        <v>3</v>
      </c>
      <c r="J68">
        <v>10</v>
      </c>
      <c r="K68">
        <v>3.3368000000000002</v>
      </c>
      <c r="L68" t="b">
        <v>0</v>
      </c>
      <c r="M68" s="6">
        <v>15</v>
      </c>
      <c r="N68" t="s">
        <v>629</v>
      </c>
      <c r="O68" t="s">
        <v>386</v>
      </c>
      <c r="P68" t="s">
        <v>630</v>
      </c>
      <c r="Q68" t="s">
        <v>631</v>
      </c>
      <c r="R68" t="s">
        <v>632</v>
      </c>
    </row>
    <row r="69" spans="1:18" x14ac:dyDescent="0.45">
      <c r="A69" t="s">
        <v>508</v>
      </c>
      <c r="B69" t="s">
        <v>509</v>
      </c>
      <c r="C69" t="s">
        <v>510</v>
      </c>
      <c r="D69">
        <v>2020</v>
      </c>
      <c r="E69" s="1">
        <v>43831</v>
      </c>
      <c r="F69" t="s">
        <v>511</v>
      </c>
      <c r="G69" t="s">
        <v>22</v>
      </c>
      <c r="H69" t="s">
        <v>34</v>
      </c>
      <c r="I69">
        <v>4</v>
      </c>
      <c r="J69">
        <v>16</v>
      </c>
      <c r="K69">
        <v>0.63980000000000004</v>
      </c>
      <c r="L69" t="b">
        <v>0</v>
      </c>
      <c r="M69" s="6">
        <v>14</v>
      </c>
      <c r="N69" t="s">
        <v>512</v>
      </c>
      <c r="O69" t="s">
        <v>504</v>
      </c>
      <c r="P69" t="s">
        <v>513</v>
      </c>
      <c r="Q69" t="s">
        <v>24</v>
      </c>
      <c r="R69" t="s">
        <v>514</v>
      </c>
    </row>
    <row r="70" spans="1:18" x14ac:dyDescent="0.45">
      <c r="A70" t="s">
        <v>812</v>
      </c>
      <c r="B70" t="s">
        <v>813</v>
      </c>
      <c r="C70" t="s">
        <v>814</v>
      </c>
      <c r="D70">
        <v>2023</v>
      </c>
      <c r="E70" s="1">
        <v>45196</v>
      </c>
      <c r="F70" t="s">
        <v>815</v>
      </c>
      <c r="G70" t="s">
        <v>22</v>
      </c>
      <c r="H70" t="s">
        <v>34</v>
      </c>
      <c r="I70">
        <v>3</v>
      </c>
      <c r="J70">
        <v>7</v>
      </c>
      <c r="K70">
        <v>1.3728</v>
      </c>
      <c r="L70" t="b">
        <v>1</v>
      </c>
      <c r="M70" s="6">
        <v>14</v>
      </c>
      <c r="N70" t="s">
        <v>816</v>
      </c>
      <c r="O70" t="s">
        <v>106</v>
      </c>
      <c r="P70" t="s">
        <v>817</v>
      </c>
      <c r="Q70" t="s">
        <v>818</v>
      </c>
      <c r="R70" t="s">
        <v>819</v>
      </c>
    </row>
    <row r="71" spans="1:18" x14ac:dyDescent="0.45">
      <c r="A71" t="s">
        <v>828</v>
      </c>
      <c r="B71" t="s">
        <v>829</v>
      </c>
      <c r="C71" t="s">
        <v>830</v>
      </c>
      <c r="D71">
        <v>2020</v>
      </c>
      <c r="E71" s="1">
        <v>43865</v>
      </c>
      <c r="F71" t="s">
        <v>831</v>
      </c>
      <c r="G71" t="s">
        <v>22</v>
      </c>
      <c r="H71" t="s">
        <v>34</v>
      </c>
      <c r="I71">
        <v>3</v>
      </c>
      <c r="J71">
        <v>13</v>
      </c>
      <c r="K71">
        <v>0.92469999999999997</v>
      </c>
      <c r="L71" t="b">
        <v>0</v>
      </c>
      <c r="M71" s="6">
        <v>14</v>
      </c>
      <c r="N71" t="s">
        <v>832</v>
      </c>
      <c r="O71" t="s">
        <v>751</v>
      </c>
      <c r="P71" t="s">
        <v>833</v>
      </c>
      <c r="Q71" t="s">
        <v>24</v>
      </c>
      <c r="R71" t="s">
        <v>834</v>
      </c>
    </row>
    <row r="72" spans="1:18" x14ac:dyDescent="0.45">
      <c r="A72" t="s">
        <v>859</v>
      </c>
      <c r="B72" t="s">
        <v>860</v>
      </c>
      <c r="C72" t="s">
        <v>861</v>
      </c>
      <c r="D72">
        <v>2021</v>
      </c>
      <c r="E72" s="1">
        <v>44197</v>
      </c>
      <c r="F72" t="s">
        <v>862</v>
      </c>
      <c r="G72" t="s">
        <v>22</v>
      </c>
      <c r="H72" t="s">
        <v>34</v>
      </c>
      <c r="I72">
        <v>1</v>
      </c>
      <c r="J72">
        <v>2</v>
      </c>
      <c r="K72">
        <v>1.0863</v>
      </c>
      <c r="L72" t="b">
        <v>1</v>
      </c>
      <c r="M72" s="6">
        <v>14</v>
      </c>
      <c r="N72" t="s">
        <v>863</v>
      </c>
      <c r="O72" t="s">
        <v>864</v>
      </c>
      <c r="P72" t="s">
        <v>865</v>
      </c>
      <c r="Q72" t="s">
        <v>24</v>
      </c>
      <c r="R72" t="s">
        <v>866</v>
      </c>
    </row>
    <row r="73" spans="1:18" x14ac:dyDescent="0.45">
      <c r="A73" t="s">
        <v>531</v>
      </c>
      <c r="B73" t="s">
        <v>532</v>
      </c>
      <c r="C73" t="s">
        <v>533</v>
      </c>
      <c r="D73">
        <v>2020</v>
      </c>
      <c r="E73" s="1">
        <v>44166</v>
      </c>
      <c r="F73" t="s">
        <v>534</v>
      </c>
      <c r="G73" t="s">
        <v>22</v>
      </c>
      <c r="H73" t="s">
        <v>34</v>
      </c>
      <c r="I73">
        <v>1</v>
      </c>
      <c r="J73">
        <v>3</v>
      </c>
      <c r="K73">
        <v>1.0132000000000001</v>
      </c>
      <c r="L73" t="b">
        <v>0</v>
      </c>
      <c r="M73" s="6">
        <v>13</v>
      </c>
      <c r="N73" t="s">
        <v>535</v>
      </c>
      <c r="O73" t="s">
        <v>536</v>
      </c>
      <c r="P73" t="s">
        <v>537</v>
      </c>
      <c r="Q73" t="s">
        <v>24</v>
      </c>
      <c r="R73" t="s">
        <v>538</v>
      </c>
    </row>
    <row r="74" spans="1:18" x14ac:dyDescent="0.45">
      <c r="A74" t="s">
        <v>851</v>
      </c>
      <c r="B74" t="s">
        <v>852</v>
      </c>
      <c r="C74" t="s">
        <v>853</v>
      </c>
      <c r="D74">
        <v>2020</v>
      </c>
      <c r="E74" s="1">
        <v>43937</v>
      </c>
      <c r="F74" t="s">
        <v>854</v>
      </c>
      <c r="G74" t="s">
        <v>22</v>
      </c>
      <c r="H74" t="s">
        <v>34</v>
      </c>
      <c r="I74">
        <v>2</v>
      </c>
      <c r="J74">
        <v>6</v>
      </c>
      <c r="K74">
        <v>1.3359000000000001</v>
      </c>
      <c r="L74" t="b">
        <v>0</v>
      </c>
      <c r="M74" s="6">
        <v>13</v>
      </c>
      <c r="N74" t="s">
        <v>855</v>
      </c>
      <c r="O74" t="s">
        <v>89</v>
      </c>
      <c r="P74" t="s">
        <v>856</v>
      </c>
      <c r="Q74" t="s">
        <v>857</v>
      </c>
      <c r="R74" t="s">
        <v>858</v>
      </c>
    </row>
    <row r="75" spans="1:18" x14ac:dyDescent="0.45">
      <c r="A75" t="s">
        <v>1085</v>
      </c>
      <c r="B75" t="s">
        <v>1086</v>
      </c>
      <c r="C75" t="s">
        <v>1087</v>
      </c>
      <c r="D75">
        <v>2022</v>
      </c>
      <c r="E75" s="1">
        <v>44738</v>
      </c>
      <c r="F75" t="s">
        <v>1088</v>
      </c>
      <c r="G75" t="s">
        <v>22</v>
      </c>
      <c r="H75" t="s">
        <v>34</v>
      </c>
      <c r="I75">
        <v>3</v>
      </c>
      <c r="J75">
        <v>6</v>
      </c>
      <c r="K75">
        <v>2.5455000000000001</v>
      </c>
      <c r="L75" t="b">
        <v>0</v>
      </c>
      <c r="M75" s="6">
        <v>13</v>
      </c>
      <c r="N75" t="s">
        <v>1089</v>
      </c>
      <c r="O75" t="s">
        <v>661</v>
      </c>
      <c r="P75" t="s">
        <v>1090</v>
      </c>
      <c r="Q75" t="s">
        <v>594</v>
      </c>
      <c r="R75" t="s">
        <v>1091</v>
      </c>
    </row>
    <row r="76" spans="1:18" x14ac:dyDescent="0.45">
      <c r="A76" t="s">
        <v>101</v>
      </c>
      <c r="B76" t="s">
        <v>102</v>
      </c>
      <c r="C76" t="s">
        <v>103</v>
      </c>
      <c r="D76">
        <v>2023</v>
      </c>
      <c r="E76" s="1">
        <v>45040</v>
      </c>
      <c r="F76" t="s">
        <v>104</v>
      </c>
      <c r="G76" t="s">
        <v>22</v>
      </c>
      <c r="H76" t="s">
        <v>34</v>
      </c>
      <c r="I76">
        <v>1</v>
      </c>
      <c r="J76">
        <v>3</v>
      </c>
      <c r="K76">
        <v>1.3499000000000001</v>
      </c>
      <c r="L76" t="b">
        <v>1</v>
      </c>
      <c r="M76" s="6">
        <v>12</v>
      </c>
      <c r="N76" t="s">
        <v>105</v>
      </c>
      <c r="O76" t="s">
        <v>106</v>
      </c>
      <c r="P76" t="s">
        <v>107</v>
      </c>
      <c r="Q76" t="s">
        <v>24</v>
      </c>
      <c r="R76" t="s">
        <v>108</v>
      </c>
    </row>
    <row r="77" spans="1:18" x14ac:dyDescent="0.45">
      <c r="A77" t="s">
        <v>746</v>
      </c>
      <c r="B77" t="s">
        <v>747</v>
      </c>
      <c r="C77" t="s">
        <v>748</v>
      </c>
      <c r="D77">
        <v>2020</v>
      </c>
      <c r="E77" s="1">
        <v>44194</v>
      </c>
      <c r="F77" t="s">
        <v>749</v>
      </c>
      <c r="G77" t="s">
        <v>22</v>
      </c>
      <c r="H77" t="s">
        <v>34</v>
      </c>
      <c r="I77">
        <v>2</v>
      </c>
      <c r="J77">
        <v>5</v>
      </c>
      <c r="K77">
        <v>0.68089999999999995</v>
      </c>
      <c r="L77" t="b">
        <v>0</v>
      </c>
      <c r="M77" s="6">
        <v>12</v>
      </c>
      <c r="N77" t="s">
        <v>750</v>
      </c>
      <c r="O77" t="s">
        <v>751</v>
      </c>
      <c r="P77" t="s">
        <v>752</v>
      </c>
      <c r="Q77" t="s">
        <v>753</v>
      </c>
      <c r="R77" t="s">
        <v>754</v>
      </c>
    </row>
    <row r="78" spans="1:18" x14ac:dyDescent="0.45">
      <c r="A78" t="s">
        <v>875</v>
      </c>
      <c r="B78" t="s">
        <v>876</v>
      </c>
      <c r="C78" t="s">
        <v>877</v>
      </c>
      <c r="D78">
        <v>2022</v>
      </c>
      <c r="E78" s="1">
        <v>44613</v>
      </c>
      <c r="F78" t="s">
        <v>878</v>
      </c>
      <c r="G78" t="s">
        <v>22</v>
      </c>
      <c r="H78" t="s">
        <v>34</v>
      </c>
      <c r="I78">
        <v>2</v>
      </c>
      <c r="J78">
        <v>12</v>
      </c>
      <c r="K78">
        <v>0.57169999999999999</v>
      </c>
      <c r="L78" t="b">
        <v>0</v>
      </c>
      <c r="M78" s="6">
        <v>12</v>
      </c>
      <c r="N78" t="s">
        <v>879</v>
      </c>
      <c r="O78" t="s">
        <v>864</v>
      </c>
      <c r="P78" t="s">
        <v>880</v>
      </c>
      <c r="Q78" t="s">
        <v>881</v>
      </c>
      <c r="R78" t="s">
        <v>882</v>
      </c>
    </row>
    <row r="79" spans="1:18" x14ac:dyDescent="0.45">
      <c r="A79" t="s">
        <v>226</v>
      </c>
      <c r="B79" t="s">
        <v>227</v>
      </c>
      <c r="C79" t="s">
        <v>228</v>
      </c>
      <c r="D79">
        <v>2023</v>
      </c>
      <c r="E79" s="1">
        <v>45121</v>
      </c>
      <c r="F79" t="s">
        <v>229</v>
      </c>
      <c r="G79" t="s">
        <v>22</v>
      </c>
      <c r="H79" t="s">
        <v>34</v>
      </c>
      <c r="I79">
        <v>2</v>
      </c>
      <c r="J79">
        <v>10</v>
      </c>
      <c r="K79">
        <v>1.0786</v>
      </c>
      <c r="L79" t="b">
        <v>0</v>
      </c>
      <c r="M79" s="6">
        <v>11</v>
      </c>
      <c r="N79" t="s">
        <v>230</v>
      </c>
      <c r="O79" t="s">
        <v>114</v>
      </c>
      <c r="P79" t="s">
        <v>231</v>
      </c>
      <c r="Q79" t="s">
        <v>232</v>
      </c>
      <c r="R79" t="s">
        <v>233</v>
      </c>
    </row>
    <row r="80" spans="1:18" x14ac:dyDescent="0.45">
      <c r="A80" t="s">
        <v>499</v>
      </c>
      <c r="B80" t="s">
        <v>500</v>
      </c>
      <c r="C80" t="s">
        <v>501</v>
      </c>
      <c r="D80">
        <v>2020</v>
      </c>
      <c r="E80" s="1">
        <v>44146</v>
      </c>
      <c r="F80" t="s">
        <v>502</v>
      </c>
      <c r="G80" t="s">
        <v>22</v>
      </c>
      <c r="H80" t="s">
        <v>34</v>
      </c>
      <c r="I80">
        <v>2</v>
      </c>
      <c r="J80">
        <v>5</v>
      </c>
      <c r="K80">
        <v>0.7198</v>
      </c>
      <c r="L80" t="b">
        <v>0</v>
      </c>
      <c r="M80" s="6">
        <v>11</v>
      </c>
      <c r="N80" t="s">
        <v>503</v>
      </c>
      <c r="O80" t="s">
        <v>504</v>
      </c>
      <c r="P80" t="s">
        <v>505</v>
      </c>
      <c r="Q80" t="s">
        <v>506</v>
      </c>
      <c r="R80" t="s">
        <v>507</v>
      </c>
    </row>
    <row r="81" spans="1:18" x14ac:dyDescent="0.45">
      <c r="A81" t="s">
        <v>1028</v>
      </c>
      <c r="B81" t="s">
        <v>1029</v>
      </c>
      <c r="C81" t="s">
        <v>1030</v>
      </c>
      <c r="D81">
        <v>2024</v>
      </c>
      <c r="E81" s="1">
        <v>45477</v>
      </c>
      <c r="F81" t="s">
        <v>1031</v>
      </c>
      <c r="G81" t="s">
        <v>22</v>
      </c>
      <c r="H81" t="s">
        <v>34</v>
      </c>
      <c r="I81">
        <v>1</v>
      </c>
      <c r="J81">
        <v>4</v>
      </c>
      <c r="K81">
        <v>2.3662999999999998</v>
      </c>
      <c r="L81" t="b">
        <v>0</v>
      </c>
      <c r="M81" s="6">
        <v>10</v>
      </c>
      <c r="N81" t="s">
        <v>1032</v>
      </c>
      <c r="O81" t="s">
        <v>114</v>
      </c>
      <c r="P81" t="s">
        <v>1033</v>
      </c>
      <c r="Q81" t="s">
        <v>24</v>
      </c>
      <c r="R81" t="s">
        <v>1034</v>
      </c>
    </row>
    <row r="82" spans="1:18" x14ac:dyDescent="0.45">
      <c r="A82" t="s">
        <v>1123</v>
      </c>
      <c r="B82" t="s">
        <v>1124</v>
      </c>
      <c r="C82" t="s">
        <v>1125</v>
      </c>
      <c r="D82">
        <v>2021</v>
      </c>
      <c r="E82" s="1">
        <v>44506</v>
      </c>
      <c r="F82" t="s">
        <v>1126</v>
      </c>
      <c r="G82" t="s">
        <v>22</v>
      </c>
      <c r="H82" t="s">
        <v>34</v>
      </c>
      <c r="I82">
        <v>3</v>
      </c>
      <c r="J82">
        <v>3</v>
      </c>
      <c r="K82">
        <v>1.93</v>
      </c>
      <c r="L82" t="b">
        <v>0</v>
      </c>
      <c r="M82" s="6">
        <v>10</v>
      </c>
      <c r="N82" t="s">
        <v>1127</v>
      </c>
      <c r="O82" t="s">
        <v>89</v>
      </c>
      <c r="P82" t="s">
        <v>1128</v>
      </c>
      <c r="Q82" t="s">
        <v>1129</v>
      </c>
      <c r="R82" t="s">
        <v>1130</v>
      </c>
    </row>
    <row r="83" spans="1:18" x14ac:dyDescent="0.45">
      <c r="A83" t="s">
        <v>251</v>
      </c>
      <c r="B83" t="s">
        <v>252</v>
      </c>
      <c r="C83" t="s">
        <v>253</v>
      </c>
      <c r="D83">
        <v>2023</v>
      </c>
      <c r="E83" s="1">
        <v>44956</v>
      </c>
      <c r="F83" t="s">
        <v>254</v>
      </c>
      <c r="G83" t="s">
        <v>22</v>
      </c>
      <c r="H83" t="s">
        <v>34</v>
      </c>
      <c r="I83">
        <v>1</v>
      </c>
      <c r="J83">
        <v>3</v>
      </c>
      <c r="K83">
        <v>1.0125</v>
      </c>
      <c r="L83" t="b">
        <v>0</v>
      </c>
      <c r="M83" s="6">
        <v>9</v>
      </c>
      <c r="N83" t="s">
        <v>255</v>
      </c>
      <c r="O83" t="s">
        <v>256</v>
      </c>
      <c r="P83" t="s">
        <v>257</v>
      </c>
      <c r="Q83" t="s">
        <v>258</v>
      </c>
      <c r="R83" t="s">
        <v>259</v>
      </c>
    </row>
    <row r="84" spans="1:18" x14ac:dyDescent="0.45">
      <c r="A84" t="s">
        <v>843</v>
      </c>
      <c r="B84" t="s">
        <v>844</v>
      </c>
      <c r="C84" t="s">
        <v>845</v>
      </c>
      <c r="D84">
        <v>2020</v>
      </c>
      <c r="E84" s="1">
        <v>43975</v>
      </c>
      <c r="F84" t="s">
        <v>846</v>
      </c>
      <c r="G84" t="s">
        <v>22</v>
      </c>
      <c r="H84" t="s">
        <v>34</v>
      </c>
      <c r="I84">
        <v>1</v>
      </c>
      <c r="J84">
        <v>5</v>
      </c>
      <c r="K84">
        <v>0.30819999999999997</v>
      </c>
      <c r="L84" t="b">
        <v>0</v>
      </c>
      <c r="M84" s="6">
        <v>9</v>
      </c>
      <c r="N84" t="s">
        <v>847</v>
      </c>
      <c r="O84" t="s">
        <v>80</v>
      </c>
      <c r="P84" t="s">
        <v>848</v>
      </c>
      <c r="Q84" t="s">
        <v>849</v>
      </c>
      <c r="R84" t="s">
        <v>850</v>
      </c>
    </row>
    <row r="85" spans="1:18" x14ac:dyDescent="0.45">
      <c r="A85" t="s">
        <v>976</v>
      </c>
      <c r="B85" t="s">
        <v>977</v>
      </c>
      <c r="C85" t="s">
        <v>978</v>
      </c>
      <c r="D85">
        <v>2022</v>
      </c>
      <c r="E85" s="1">
        <v>44916</v>
      </c>
      <c r="F85" t="s">
        <v>979</v>
      </c>
      <c r="G85" t="s">
        <v>22</v>
      </c>
      <c r="H85" t="s">
        <v>34</v>
      </c>
      <c r="I85">
        <v>2</v>
      </c>
      <c r="J85">
        <v>4</v>
      </c>
      <c r="K85">
        <v>1.0095000000000001</v>
      </c>
      <c r="L85" t="b">
        <v>0</v>
      </c>
      <c r="M85" s="6">
        <v>9</v>
      </c>
      <c r="N85" t="s">
        <v>980</v>
      </c>
      <c r="O85" t="s">
        <v>318</v>
      </c>
      <c r="P85" t="s">
        <v>981</v>
      </c>
      <c r="Q85" t="s">
        <v>24</v>
      </c>
      <c r="R85" t="s">
        <v>982</v>
      </c>
    </row>
    <row r="86" spans="1:18" x14ac:dyDescent="0.45">
      <c r="A86" t="s">
        <v>968</v>
      </c>
      <c r="B86" t="s">
        <v>969</v>
      </c>
      <c r="C86" t="s">
        <v>970</v>
      </c>
      <c r="D86">
        <v>2024</v>
      </c>
      <c r="E86" s="1">
        <v>45501</v>
      </c>
      <c r="F86" t="s">
        <v>971</v>
      </c>
      <c r="G86" t="s">
        <v>22</v>
      </c>
      <c r="H86" t="s">
        <v>34</v>
      </c>
      <c r="I86">
        <v>4</v>
      </c>
      <c r="J86">
        <v>10</v>
      </c>
      <c r="K86">
        <v>1.6760999999999999</v>
      </c>
      <c r="L86" t="b">
        <v>0</v>
      </c>
      <c r="M86" s="6">
        <v>8</v>
      </c>
      <c r="N86" t="s">
        <v>972</v>
      </c>
      <c r="O86" t="s">
        <v>152</v>
      </c>
      <c r="P86" t="s">
        <v>973</v>
      </c>
      <c r="Q86" t="s">
        <v>974</v>
      </c>
      <c r="R86" t="s">
        <v>975</v>
      </c>
    </row>
    <row r="87" spans="1:18" x14ac:dyDescent="0.45">
      <c r="A87" t="s">
        <v>147</v>
      </c>
      <c r="B87" t="s">
        <v>148</v>
      </c>
      <c r="C87" t="s">
        <v>149</v>
      </c>
      <c r="D87">
        <v>2024</v>
      </c>
      <c r="E87" s="1">
        <v>45424</v>
      </c>
      <c r="F87" t="s">
        <v>150</v>
      </c>
      <c r="G87" t="s">
        <v>22</v>
      </c>
      <c r="H87" t="s">
        <v>34</v>
      </c>
      <c r="I87">
        <v>2</v>
      </c>
      <c r="J87">
        <v>9</v>
      </c>
      <c r="K87">
        <v>1.5764</v>
      </c>
      <c r="L87" t="b">
        <v>0</v>
      </c>
      <c r="M87" s="6">
        <v>7</v>
      </c>
      <c r="N87" t="s">
        <v>151</v>
      </c>
      <c r="O87" t="s">
        <v>152</v>
      </c>
      <c r="P87" t="s">
        <v>153</v>
      </c>
      <c r="Q87" t="s">
        <v>24</v>
      </c>
      <c r="R87" t="s">
        <v>154</v>
      </c>
    </row>
    <row r="88" spans="1:18" x14ac:dyDescent="0.45">
      <c r="A88" t="s">
        <v>203</v>
      </c>
      <c r="B88" t="s">
        <v>204</v>
      </c>
      <c r="C88" t="s">
        <v>205</v>
      </c>
      <c r="D88">
        <v>2024</v>
      </c>
      <c r="E88" s="1">
        <v>45637</v>
      </c>
      <c r="F88" t="s">
        <v>206</v>
      </c>
      <c r="G88" t="s">
        <v>22</v>
      </c>
      <c r="H88" t="s">
        <v>34</v>
      </c>
      <c r="I88">
        <v>2</v>
      </c>
      <c r="J88">
        <v>6</v>
      </c>
      <c r="K88">
        <v>5.2929000000000004</v>
      </c>
      <c r="L88" t="b">
        <v>0</v>
      </c>
      <c r="M88" s="6">
        <v>7</v>
      </c>
      <c r="N88" t="s">
        <v>207</v>
      </c>
      <c r="O88" t="s">
        <v>45</v>
      </c>
      <c r="P88" t="s">
        <v>208</v>
      </c>
      <c r="Q88" t="s">
        <v>209</v>
      </c>
      <c r="R88" t="s">
        <v>210</v>
      </c>
    </row>
    <row r="89" spans="1:18" x14ac:dyDescent="0.45">
      <c r="A89" t="s">
        <v>368</v>
      </c>
      <c r="B89" t="s">
        <v>369</v>
      </c>
      <c r="C89" t="s">
        <v>370</v>
      </c>
      <c r="D89">
        <v>2021</v>
      </c>
      <c r="E89" s="1">
        <v>44197</v>
      </c>
      <c r="F89" t="s">
        <v>371</v>
      </c>
      <c r="G89" t="s">
        <v>22</v>
      </c>
      <c r="H89" t="s">
        <v>34</v>
      </c>
      <c r="I89">
        <v>1</v>
      </c>
      <c r="J89">
        <v>2</v>
      </c>
      <c r="K89">
        <v>0.75119999999999998</v>
      </c>
      <c r="L89" t="b">
        <v>0</v>
      </c>
      <c r="M89" s="6">
        <v>7</v>
      </c>
      <c r="N89" t="s">
        <v>372</v>
      </c>
      <c r="O89" t="s">
        <v>279</v>
      </c>
      <c r="P89" t="s">
        <v>373</v>
      </c>
      <c r="Q89" t="s">
        <v>24</v>
      </c>
      <c r="R89" t="s">
        <v>374</v>
      </c>
    </row>
    <row r="90" spans="1:18" x14ac:dyDescent="0.45">
      <c r="A90" t="s">
        <v>397</v>
      </c>
      <c r="B90" t="s">
        <v>398</v>
      </c>
      <c r="C90" t="s">
        <v>399</v>
      </c>
      <c r="D90">
        <v>2020</v>
      </c>
      <c r="E90" s="1">
        <v>43914</v>
      </c>
      <c r="F90" t="s">
        <v>400</v>
      </c>
      <c r="G90" t="s">
        <v>22</v>
      </c>
      <c r="H90" t="s">
        <v>34</v>
      </c>
      <c r="I90">
        <v>1</v>
      </c>
      <c r="J90">
        <v>5</v>
      </c>
      <c r="K90">
        <v>0.61650000000000005</v>
      </c>
      <c r="L90" t="b">
        <v>0</v>
      </c>
      <c r="M90" s="6">
        <v>7</v>
      </c>
      <c r="N90" t="s">
        <v>401</v>
      </c>
      <c r="O90" t="s">
        <v>184</v>
      </c>
      <c r="P90" t="s">
        <v>402</v>
      </c>
      <c r="Q90" t="s">
        <v>24</v>
      </c>
      <c r="R90" t="s">
        <v>403</v>
      </c>
    </row>
    <row r="91" spans="1:18" x14ac:dyDescent="0.45">
      <c r="A91" t="s">
        <v>762</v>
      </c>
      <c r="B91" t="s">
        <v>763</v>
      </c>
      <c r="C91" t="s">
        <v>764</v>
      </c>
      <c r="D91">
        <v>2020</v>
      </c>
      <c r="E91" s="1">
        <v>44013</v>
      </c>
      <c r="F91" t="s">
        <v>765</v>
      </c>
      <c r="G91" t="s">
        <v>22</v>
      </c>
      <c r="H91" t="s">
        <v>34</v>
      </c>
      <c r="I91">
        <v>2</v>
      </c>
      <c r="J91">
        <v>4</v>
      </c>
      <c r="K91">
        <v>0.56120000000000003</v>
      </c>
      <c r="L91" t="b">
        <v>0</v>
      </c>
      <c r="M91" s="6">
        <v>7</v>
      </c>
      <c r="N91" t="s">
        <v>766</v>
      </c>
      <c r="O91" t="s">
        <v>279</v>
      </c>
      <c r="P91" t="s">
        <v>767</v>
      </c>
      <c r="Q91" t="s">
        <v>24</v>
      </c>
      <c r="R91" t="s">
        <v>768</v>
      </c>
    </row>
    <row r="92" spans="1:18" x14ac:dyDescent="0.45">
      <c r="A92" t="s">
        <v>923</v>
      </c>
      <c r="B92" t="s">
        <v>924</v>
      </c>
      <c r="C92" t="s">
        <v>925</v>
      </c>
      <c r="D92">
        <v>2021</v>
      </c>
      <c r="E92" s="1">
        <v>44489</v>
      </c>
      <c r="F92" t="s">
        <v>926</v>
      </c>
      <c r="G92" t="s">
        <v>22</v>
      </c>
      <c r="H92" t="s">
        <v>34</v>
      </c>
      <c r="I92">
        <v>2</v>
      </c>
      <c r="J92">
        <v>6</v>
      </c>
      <c r="K92">
        <v>0.44369999999999998</v>
      </c>
      <c r="L92" t="b">
        <v>0</v>
      </c>
      <c r="M92" s="6">
        <v>7</v>
      </c>
      <c r="N92" t="s">
        <v>927</v>
      </c>
      <c r="O92" t="s">
        <v>279</v>
      </c>
      <c r="P92" t="s">
        <v>928</v>
      </c>
      <c r="Q92" t="s">
        <v>24</v>
      </c>
      <c r="R92" t="s">
        <v>929</v>
      </c>
    </row>
    <row r="93" spans="1:18" x14ac:dyDescent="0.45">
      <c r="A93" t="s">
        <v>260</v>
      </c>
      <c r="B93" t="s">
        <v>261</v>
      </c>
      <c r="C93" t="s">
        <v>262</v>
      </c>
      <c r="D93">
        <v>2020</v>
      </c>
      <c r="E93" s="1">
        <v>44008</v>
      </c>
      <c r="F93" t="s">
        <v>263</v>
      </c>
      <c r="G93" t="s">
        <v>22</v>
      </c>
      <c r="H93" t="s">
        <v>34</v>
      </c>
      <c r="I93">
        <v>2</v>
      </c>
      <c r="J93">
        <v>8</v>
      </c>
      <c r="K93">
        <v>0.39989999999999998</v>
      </c>
      <c r="L93" t="b">
        <v>0</v>
      </c>
      <c r="M93" s="6">
        <v>6</v>
      </c>
      <c r="N93" t="s">
        <v>264</v>
      </c>
      <c r="O93" t="s">
        <v>184</v>
      </c>
      <c r="P93" t="s">
        <v>265</v>
      </c>
      <c r="Q93" t="s">
        <v>24</v>
      </c>
      <c r="R93" t="s">
        <v>266</v>
      </c>
    </row>
    <row r="94" spans="1:18" x14ac:dyDescent="0.45">
      <c r="A94" t="s">
        <v>267</v>
      </c>
      <c r="B94" t="s">
        <v>268</v>
      </c>
      <c r="C94" t="s">
        <v>269</v>
      </c>
      <c r="D94">
        <v>2022</v>
      </c>
      <c r="E94" s="1">
        <v>44830</v>
      </c>
      <c r="F94" t="s">
        <v>270</v>
      </c>
      <c r="G94" t="s">
        <v>22</v>
      </c>
      <c r="H94" t="s">
        <v>34</v>
      </c>
      <c r="I94">
        <v>3</v>
      </c>
      <c r="J94">
        <v>9</v>
      </c>
      <c r="K94">
        <v>0.37030000000000002</v>
      </c>
      <c r="L94" t="b">
        <v>0</v>
      </c>
      <c r="M94" s="6">
        <v>6</v>
      </c>
      <c r="N94" t="s">
        <v>271</v>
      </c>
      <c r="O94" t="s">
        <v>89</v>
      </c>
      <c r="P94" t="s">
        <v>272</v>
      </c>
      <c r="Q94" t="s">
        <v>24</v>
      </c>
      <c r="R94" t="s">
        <v>273</v>
      </c>
    </row>
    <row r="95" spans="1:18" x14ac:dyDescent="0.45">
      <c r="A95" t="s">
        <v>274</v>
      </c>
      <c r="B95" t="s">
        <v>275</v>
      </c>
      <c r="C95" t="s">
        <v>276</v>
      </c>
      <c r="D95">
        <v>2021</v>
      </c>
      <c r="E95" s="1">
        <v>44409</v>
      </c>
      <c r="F95" t="s">
        <v>277</v>
      </c>
      <c r="G95" t="s">
        <v>22</v>
      </c>
      <c r="H95" t="s">
        <v>34</v>
      </c>
      <c r="I95">
        <v>1</v>
      </c>
      <c r="J95">
        <v>9</v>
      </c>
      <c r="K95">
        <v>0.47320000000000001</v>
      </c>
      <c r="L95" t="b">
        <v>0</v>
      </c>
      <c r="M95" s="6">
        <v>6</v>
      </c>
      <c r="N95" t="s">
        <v>278</v>
      </c>
      <c r="O95" t="s">
        <v>279</v>
      </c>
      <c r="P95" t="s">
        <v>280</v>
      </c>
      <c r="Q95" t="s">
        <v>24</v>
      </c>
      <c r="R95" t="s">
        <v>281</v>
      </c>
    </row>
    <row r="96" spans="1:18" x14ac:dyDescent="0.45">
      <c r="A96" t="s">
        <v>306</v>
      </c>
      <c r="B96" t="s">
        <v>307</v>
      </c>
      <c r="C96" t="s">
        <v>308</v>
      </c>
      <c r="D96">
        <v>2022</v>
      </c>
      <c r="E96" s="1">
        <v>44777</v>
      </c>
      <c r="F96" t="s">
        <v>309</v>
      </c>
      <c r="G96" t="s">
        <v>22</v>
      </c>
      <c r="H96" t="s">
        <v>34</v>
      </c>
      <c r="I96">
        <v>1</v>
      </c>
      <c r="J96">
        <v>3</v>
      </c>
      <c r="K96">
        <v>0.71689999999999998</v>
      </c>
      <c r="L96" t="b">
        <v>1</v>
      </c>
      <c r="M96" s="6">
        <v>6</v>
      </c>
      <c r="N96" t="s">
        <v>310</v>
      </c>
      <c r="O96" t="s">
        <v>137</v>
      </c>
      <c r="P96" t="s">
        <v>311</v>
      </c>
      <c r="Q96" t="s">
        <v>24</v>
      </c>
      <c r="R96" t="s">
        <v>312</v>
      </c>
    </row>
    <row r="97" spans="1:18" x14ac:dyDescent="0.45">
      <c r="A97" t="s">
        <v>322</v>
      </c>
      <c r="B97" t="s">
        <v>323</v>
      </c>
      <c r="C97" t="s">
        <v>324</v>
      </c>
      <c r="D97">
        <v>2023</v>
      </c>
      <c r="E97" s="1">
        <v>45226</v>
      </c>
      <c r="F97" t="s">
        <v>325</v>
      </c>
      <c r="G97" t="s">
        <v>22</v>
      </c>
      <c r="H97" t="s">
        <v>34</v>
      </c>
      <c r="I97">
        <v>1</v>
      </c>
      <c r="J97">
        <v>14</v>
      </c>
      <c r="K97">
        <v>2.2096</v>
      </c>
      <c r="L97" t="b">
        <v>1</v>
      </c>
      <c r="M97" s="6">
        <v>6</v>
      </c>
      <c r="N97" t="s">
        <v>326</v>
      </c>
      <c r="O97" t="s">
        <v>302</v>
      </c>
      <c r="P97" t="s">
        <v>327</v>
      </c>
      <c r="Q97" t="s">
        <v>320</v>
      </c>
      <c r="R97" t="s">
        <v>328</v>
      </c>
    </row>
    <row r="98" spans="1:18" x14ac:dyDescent="0.45">
      <c r="A98" t="s">
        <v>344</v>
      </c>
      <c r="B98" t="s">
        <v>345</v>
      </c>
      <c r="C98" t="s">
        <v>346</v>
      </c>
      <c r="D98">
        <v>2023</v>
      </c>
      <c r="E98" s="1">
        <v>44935</v>
      </c>
      <c r="F98" t="s">
        <v>347</v>
      </c>
      <c r="G98" t="s">
        <v>22</v>
      </c>
      <c r="H98" t="s">
        <v>34</v>
      </c>
      <c r="I98">
        <v>1</v>
      </c>
      <c r="J98">
        <v>1</v>
      </c>
      <c r="K98">
        <v>11.338200000000001</v>
      </c>
      <c r="L98" t="b">
        <v>0</v>
      </c>
      <c r="M98" s="6">
        <v>6</v>
      </c>
      <c r="N98" t="s">
        <v>348</v>
      </c>
      <c r="O98" t="s">
        <v>349</v>
      </c>
      <c r="P98" t="s">
        <v>350</v>
      </c>
      <c r="Q98" t="s">
        <v>351</v>
      </c>
      <c r="R98" t="s">
        <v>352</v>
      </c>
    </row>
    <row r="99" spans="1:18" x14ac:dyDescent="0.45">
      <c r="A99" t="s">
        <v>1041</v>
      </c>
      <c r="B99" t="s">
        <v>1042</v>
      </c>
      <c r="C99" t="s">
        <v>1043</v>
      </c>
      <c r="D99">
        <v>2020</v>
      </c>
      <c r="E99" s="1">
        <v>44169</v>
      </c>
      <c r="F99" t="s">
        <v>1044</v>
      </c>
      <c r="G99" t="s">
        <v>22</v>
      </c>
      <c r="H99" t="s">
        <v>34</v>
      </c>
      <c r="I99">
        <v>2</v>
      </c>
      <c r="J99">
        <v>11</v>
      </c>
      <c r="K99">
        <v>0.76629999999999998</v>
      </c>
      <c r="L99" t="b">
        <v>0</v>
      </c>
      <c r="M99" s="6">
        <v>6</v>
      </c>
      <c r="N99" t="s">
        <v>1045</v>
      </c>
      <c r="O99" t="s">
        <v>184</v>
      </c>
      <c r="P99" t="s">
        <v>1046</v>
      </c>
      <c r="Q99" t="s">
        <v>24</v>
      </c>
      <c r="R99" t="s">
        <v>1047</v>
      </c>
    </row>
    <row r="100" spans="1:18" x14ac:dyDescent="0.45">
      <c r="A100" t="s">
        <v>1077</v>
      </c>
      <c r="B100" t="s">
        <v>1078</v>
      </c>
      <c r="C100" t="s">
        <v>1079</v>
      </c>
      <c r="D100">
        <v>2021</v>
      </c>
      <c r="E100" s="1">
        <v>44496</v>
      </c>
      <c r="F100" t="s">
        <v>1080</v>
      </c>
      <c r="G100" t="s">
        <v>22</v>
      </c>
      <c r="H100" t="s">
        <v>34</v>
      </c>
      <c r="I100">
        <v>1</v>
      </c>
      <c r="J100">
        <v>3</v>
      </c>
      <c r="K100">
        <v>0.3327</v>
      </c>
      <c r="L100" t="b">
        <v>0</v>
      </c>
      <c r="M100" s="6">
        <v>6</v>
      </c>
      <c r="N100" t="s">
        <v>1081</v>
      </c>
      <c r="O100" t="s">
        <v>279</v>
      </c>
      <c r="P100" t="s">
        <v>1082</v>
      </c>
      <c r="Q100" t="s">
        <v>1083</v>
      </c>
      <c r="R100" t="s">
        <v>1084</v>
      </c>
    </row>
    <row r="101" spans="1:18" x14ac:dyDescent="0.45">
      <c r="A101" t="s">
        <v>241</v>
      </c>
      <c r="B101" t="s">
        <v>242</v>
      </c>
      <c r="C101" t="s">
        <v>243</v>
      </c>
      <c r="D101">
        <v>2023</v>
      </c>
      <c r="E101" s="1">
        <v>45035</v>
      </c>
      <c r="F101" t="s">
        <v>244</v>
      </c>
      <c r="G101" t="s">
        <v>22</v>
      </c>
      <c r="H101" t="s">
        <v>245</v>
      </c>
      <c r="I101">
        <v>2</v>
      </c>
      <c r="J101">
        <v>3</v>
      </c>
      <c r="K101">
        <v>1.08554127</v>
      </c>
      <c r="L101" t="b">
        <v>0</v>
      </c>
      <c r="M101" s="6">
        <v>5</v>
      </c>
      <c r="N101" t="s">
        <v>246</v>
      </c>
      <c r="O101" t="s">
        <v>247</v>
      </c>
      <c r="P101" t="s">
        <v>248</v>
      </c>
      <c r="Q101" t="s">
        <v>249</v>
      </c>
      <c r="R101" t="s">
        <v>250</v>
      </c>
    </row>
    <row r="102" spans="1:18" x14ac:dyDescent="0.45">
      <c r="A102" t="s">
        <v>282</v>
      </c>
      <c r="B102" t="s">
        <v>283</v>
      </c>
      <c r="C102" t="s">
        <v>284</v>
      </c>
      <c r="D102">
        <v>2022</v>
      </c>
      <c r="E102" s="1">
        <v>44562</v>
      </c>
      <c r="F102" t="s">
        <v>285</v>
      </c>
      <c r="G102" t="s">
        <v>22</v>
      </c>
      <c r="H102" t="s">
        <v>34</v>
      </c>
      <c r="I102">
        <v>1</v>
      </c>
      <c r="J102">
        <v>4</v>
      </c>
      <c r="K102">
        <v>0.45750000000000002</v>
      </c>
      <c r="L102" t="b">
        <v>1</v>
      </c>
      <c r="M102" s="6">
        <v>5</v>
      </c>
      <c r="N102" t="s">
        <v>286</v>
      </c>
      <c r="O102" t="s">
        <v>279</v>
      </c>
      <c r="P102" t="s">
        <v>287</v>
      </c>
      <c r="Q102" t="s">
        <v>24</v>
      </c>
      <c r="R102" t="s">
        <v>288</v>
      </c>
    </row>
    <row r="103" spans="1:18" x14ac:dyDescent="0.45">
      <c r="A103" t="s">
        <v>656</v>
      </c>
      <c r="B103" t="s">
        <v>657</v>
      </c>
      <c r="C103" t="s">
        <v>658</v>
      </c>
      <c r="D103">
        <v>2024</v>
      </c>
      <c r="E103" s="1">
        <v>45419</v>
      </c>
      <c r="F103" t="s">
        <v>659</v>
      </c>
      <c r="G103" t="s">
        <v>22</v>
      </c>
      <c r="H103" t="s">
        <v>34</v>
      </c>
      <c r="I103">
        <v>1</v>
      </c>
      <c r="J103">
        <v>7</v>
      </c>
      <c r="K103">
        <v>1.0476000000000001</v>
      </c>
      <c r="L103" t="b">
        <v>0</v>
      </c>
      <c r="M103" s="6">
        <v>5</v>
      </c>
      <c r="N103" t="s">
        <v>660</v>
      </c>
      <c r="O103" t="s">
        <v>661</v>
      </c>
      <c r="P103" t="s">
        <v>662</v>
      </c>
      <c r="Q103" t="s">
        <v>24</v>
      </c>
      <c r="R103" t="s">
        <v>663</v>
      </c>
    </row>
    <row r="104" spans="1:18" x14ac:dyDescent="0.45">
      <c r="A104" t="s">
        <v>682</v>
      </c>
      <c r="B104" t="s">
        <v>683</v>
      </c>
      <c r="C104" t="s">
        <v>684</v>
      </c>
      <c r="D104">
        <v>2024</v>
      </c>
      <c r="E104" s="1">
        <v>45569</v>
      </c>
      <c r="F104" t="s">
        <v>685</v>
      </c>
      <c r="G104" t="s">
        <v>22</v>
      </c>
      <c r="H104" t="s">
        <v>34</v>
      </c>
      <c r="I104">
        <v>2</v>
      </c>
      <c r="J104">
        <v>5</v>
      </c>
      <c r="K104">
        <v>1.7882</v>
      </c>
      <c r="L104" t="b">
        <v>0</v>
      </c>
      <c r="M104" s="6">
        <v>5</v>
      </c>
      <c r="N104" t="s">
        <v>686</v>
      </c>
      <c r="O104" t="s">
        <v>54</v>
      </c>
      <c r="P104" t="s">
        <v>687</v>
      </c>
      <c r="Q104" t="s">
        <v>24</v>
      </c>
      <c r="R104" t="s">
        <v>688</v>
      </c>
    </row>
    <row r="105" spans="1:18" x14ac:dyDescent="0.45">
      <c r="A105" t="s">
        <v>790</v>
      </c>
      <c r="B105" t="s">
        <v>791</v>
      </c>
      <c r="C105" t="s">
        <v>792</v>
      </c>
      <c r="D105">
        <v>2024</v>
      </c>
      <c r="E105" s="1">
        <v>45511</v>
      </c>
      <c r="F105" t="s">
        <v>793</v>
      </c>
      <c r="G105" t="s">
        <v>22</v>
      </c>
      <c r="H105" t="s">
        <v>34</v>
      </c>
      <c r="I105">
        <v>2</v>
      </c>
      <c r="J105">
        <v>21</v>
      </c>
      <c r="K105">
        <v>0.63200000000000001</v>
      </c>
      <c r="L105" t="b">
        <v>0</v>
      </c>
      <c r="M105" s="6">
        <v>5</v>
      </c>
      <c r="N105" t="s">
        <v>794</v>
      </c>
      <c r="O105" t="s">
        <v>661</v>
      </c>
      <c r="P105" t="s">
        <v>795</v>
      </c>
      <c r="Q105" t="s">
        <v>24</v>
      </c>
      <c r="R105" t="s">
        <v>663</v>
      </c>
    </row>
    <row r="106" spans="1:18" x14ac:dyDescent="0.45">
      <c r="A106" t="s">
        <v>820</v>
      </c>
      <c r="B106" t="s">
        <v>821</v>
      </c>
      <c r="C106" t="s">
        <v>822</v>
      </c>
      <c r="D106">
        <v>2024</v>
      </c>
      <c r="E106" s="1">
        <v>45484</v>
      </c>
      <c r="F106" t="s">
        <v>823</v>
      </c>
      <c r="G106" t="s">
        <v>22</v>
      </c>
      <c r="H106" t="s">
        <v>34</v>
      </c>
      <c r="I106">
        <v>1</v>
      </c>
      <c r="J106">
        <v>2</v>
      </c>
      <c r="K106">
        <v>1.8185</v>
      </c>
      <c r="L106" t="b">
        <v>0</v>
      </c>
      <c r="M106" s="6">
        <v>5</v>
      </c>
      <c r="N106" t="s">
        <v>824</v>
      </c>
      <c r="O106" t="s">
        <v>536</v>
      </c>
      <c r="P106" t="s">
        <v>825</v>
      </c>
      <c r="Q106" t="s">
        <v>826</v>
      </c>
      <c r="R106" t="s">
        <v>827</v>
      </c>
    </row>
    <row r="107" spans="1:18" x14ac:dyDescent="0.45">
      <c r="A107" t="s">
        <v>915</v>
      </c>
      <c r="B107" t="s">
        <v>916</v>
      </c>
      <c r="C107" t="s">
        <v>917</v>
      </c>
      <c r="D107">
        <v>2023</v>
      </c>
      <c r="E107" s="1">
        <v>45204</v>
      </c>
      <c r="F107" t="s">
        <v>918</v>
      </c>
      <c r="G107" t="s">
        <v>22</v>
      </c>
      <c r="H107" t="s">
        <v>34</v>
      </c>
      <c r="I107">
        <v>1</v>
      </c>
      <c r="J107">
        <v>2</v>
      </c>
      <c r="K107">
        <v>0.67020000000000002</v>
      </c>
      <c r="L107" t="b">
        <v>0</v>
      </c>
      <c r="M107" s="6">
        <v>5</v>
      </c>
      <c r="N107" t="s">
        <v>919</v>
      </c>
      <c r="O107" t="s">
        <v>568</v>
      </c>
      <c r="P107" t="s">
        <v>920</v>
      </c>
      <c r="Q107" t="s">
        <v>921</v>
      </c>
      <c r="R107" t="s">
        <v>922</v>
      </c>
    </row>
    <row r="108" spans="1:18" x14ac:dyDescent="0.45">
      <c r="A108" t="s">
        <v>983</v>
      </c>
      <c r="B108" t="s">
        <v>984</v>
      </c>
      <c r="C108" t="s">
        <v>985</v>
      </c>
      <c r="D108">
        <v>2022</v>
      </c>
      <c r="E108" s="1">
        <v>44699</v>
      </c>
      <c r="F108" t="s">
        <v>986</v>
      </c>
      <c r="G108" t="s">
        <v>22</v>
      </c>
      <c r="H108" t="s">
        <v>34</v>
      </c>
      <c r="I108">
        <v>2</v>
      </c>
      <c r="J108">
        <v>10</v>
      </c>
      <c r="K108">
        <v>0.37019999999999997</v>
      </c>
      <c r="L108" t="b">
        <v>0</v>
      </c>
      <c r="M108" s="6">
        <v>5</v>
      </c>
      <c r="N108" t="s">
        <v>987</v>
      </c>
      <c r="O108" t="s">
        <v>184</v>
      </c>
      <c r="P108" t="s">
        <v>988</v>
      </c>
      <c r="Q108" t="s">
        <v>24</v>
      </c>
      <c r="R108" t="s">
        <v>989</v>
      </c>
    </row>
    <row r="109" spans="1:18" x14ac:dyDescent="0.45">
      <c r="A109" t="s">
        <v>990</v>
      </c>
      <c r="B109" t="s">
        <v>991</v>
      </c>
      <c r="C109" t="s">
        <v>992</v>
      </c>
      <c r="D109">
        <v>2023</v>
      </c>
      <c r="E109" s="1">
        <v>44927</v>
      </c>
      <c r="F109" t="s">
        <v>993</v>
      </c>
      <c r="G109" t="s">
        <v>22</v>
      </c>
      <c r="H109" t="s">
        <v>460</v>
      </c>
      <c r="I109">
        <v>2</v>
      </c>
      <c r="J109">
        <v>3</v>
      </c>
      <c r="K109">
        <v>4.7588999999999997</v>
      </c>
      <c r="L109" t="b">
        <v>0</v>
      </c>
      <c r="M109" s="6">
        <v>5</v>
      </c>
      <c r="N109" t="s">
        <v>994</v>
      </c>
      <c r="O109" t="s">
        <v>279</v>
      </c>
      <c r="P109" t="s">
        <v>995</v>
      </c>
      <c r="Q109" t="s">
        <v>996</v>
      </c>
      <c r="R109" t="s">
        <v>997</v>
      </c>
    </row>
    <row r="110" spans="1:18" x14ac:dyDescent="0.45">
      <c r="A110" t="s">
        <v>1005</v>
      </c>
      <c r="B110" t="s">
        <v>1006</v>
      </c>
      <c r="C110" t="s">
        <v>1007</v>
      </c>
      <c r="D110">
        <v>2022</v>
      </c>
      <c r="E110" s="1">
        <v>44749</v>
      </c>
      <c r="F110" t="s">
        <v>1008</v>
      </c>
      <c r="G110" t="s">
        <v>22</v>
      </c>
      <c r="H110" t="s">
        <v>34</v>
      </c>
      <c r="I110">
        <v>4</v>
      </c>
      <c r="J110">
        <v>7</v>
      </c>
      <c r="K110">
        <v>0.6946</v>
      </c>
      <c r="L110" t="b">
        <v>0</v>
      </c>
      <c r="M110" s="6">
        <v>5</v>
      </c>
      <c r="N110" t="s">
        <v>1009</v>
      </c>
      <c r="O110" t="s">
        <v>89</v>
      </c>
      <c r="P110" t="s">
        <v>1010</v>
      </c>
      <c r="Q110" t="s">
        <v>24</v>
      </c>
      <c r="R110" t="s">
        <v>1011</v>
      </c>
    </row>
    <row r="111" spans="1:18" x14ac:dyDescent="0.45">
      <c r="A111" t="s">
        <v>1048</v>
      </c>
      <c r="B111" t="s">
        <v>1049</v>
      </c>
      <c r="C111" t="s">
        <v>1050</v>
      </c>
      <c r="D111">
        <v>2021</v>
      </c>
      <c r="E111" s="1">
        <v>44244</v>
      </c>
      <c r="F111" t="s">
        <v>1051</v>
      </c>
      <c r="G111" t="s">
        <v>1052</v>
      </c>
      <c r="H111" t="s">
        <v>34</v>
      </c>
      <c r="I111">
        <v>3</v>
      </c>
      <c r="J111">
        <v>7</v>
      </c>
      <c r="K111">
        <v>0.39429999999999998</v>
      </c>
      <c r="L111" t="b">
        <v>0</v>
      </c>
      <c r="M111" s="6">
        <v>5</v>
      </c>
      <c r="N111" t="s">
        <v>1053</v>
      </c>
      <c r="O111" t="s">
        <v>334</v>
      </c>
      <c r="P111" t="s">
        <v>1054</v>
      </c>
      <c r="Q111" t="s">
        <v>24</v>
      </c>
      <c r="R111" t="s">
        <v>1055</v>
      </c>
    </row>
    <row r="112" spans="1:18" x14ac:dyDescent="0.45">
      <c r="A112" t="s">
        <v>1131</v>
      </c>
      <c r="B112" t="s">
        <v>1132</v>
      </c>
      <c r="C112" t="s">
        <v>1133</v>
      </c>
      <c r="D112">
        <v>2024</v>
      </c>
      <c r="E112" s="1">
        <v>45593</v>
      </c>
      <c r="F112" t="s">
        <v>1134</v>
      </c>
      <c r="G112" t="s">
        <v>22</v>
      </c>
      <c r="H112" t="s">
        <v>34</v>
      </c>
      <c r="I112">
        <v>1</v>
      </c>
      <c r="J112">
        <v>7</v>
      </c>
      <c r="K112">
        <v>0.97989999999999999</v>
      </c>
      <c r="L112" t="b">
        <v>0</v>
      </c>
      <c r="M112" s="6">
        <v>5</v>
      </c>
      <c r="N112" t="s">
        <v>1135</v>
      </c>
      <c r="O112" t="s">
        <v>167</v>
      </c>
      <c r="P112" t="s">
        <v>1136</v>
      </c>
      <c r="Q112" t="s">
        <v>1137</v>
      </c>
      <c r="R112" t="s">
        <v>1138</v>
      </c>
    </row>
    <row r="113" spans="1:18" x14ac:dyDescent="0.45">
      <c r="A113" t="s">
        <v>1145</v>
      </c>
      <c r="B113" t="s">
        <v>1146</v>
      </c>
      <c r="C113" t="s">
        <v>1147</v>
      </c>
      <c r="D113">
        <v>2022</v>
      </c>
      <c r="E113" s="1">
        <v>44858</v>
      </c>
      <c r="F113" t="s">
        <v>1148</v>
      </c>
      <c r="G113" t="s">
        <v>22</v>
      </c>
      <c r="H113" t="s">
        <v>34</v>
      </c>
      <c r="I113">
        <v>2</v>
      </c>
      <c r="J113">
        <v>4</v>
      </c>
      <c r="K113">
        <v>0.2382</v>
      </c>
      <c r="L113" t="b">
        <v>0</v>
      </c>
      <c r="M113" s="6">
        <v>5</v>
      </c>
      <c r="N113" t="s">
        <v>1149</v>
      </c>
      <c r="O113" t="s">
        <v>1150</v>
      </c>
      <c r="P113" t="s">
        <v>1151</v>
      </c>
      <c r="Q113" t="s">
        <v>24</v>
      </c>
      <c r="R113" t="s">
        <v>1152</v>
      </c>
    </row>
    <row r="114" spans="1:18" x14ac:dyDescent="0.45">
      <c r="A114" t="s">
        <v>1167</v>
      </c>
      <c r="B114" t="s">
        <v>1168</v>
      </c>
      <c r="C114" t="s">
        <v>1169</v>
      </c>
      <c r="D114">
        <v>2023</v>
      </c>
      <c r="E114" s="1">
        <v>45131</v>
      </c>
      <c r="F114" t="s">
        <v>1170</v>
      </c>
      <c r="G114" t="s">
        <v>22</v>
      </c>
      <c r="H114" t="s">
        <v>34</v>
      </c>
      <c r="I114">
        <v>3</v>
      </c>
      <c r="J114">
        <v>10</v>
      </c>
      <c r="K114">
        <v>0.56320000000000003</v>
      </c>
      <c r="L114" t="b">
        <v>0</v>
      </c>
      <c r="M114" s="6">
        <v>5</v>
      </c>
      <c r="N114" t="s">
        <v>1171</v>
      </c>
      <c r="O114" t="s">
        <v>279</v>
      </c>
      <c r="P114" t="s">
        <v>1172</v>
      </c>
      <c r="Q114" t="s">
        <v>1173</v>
      </c>
      <c r="R114" t="s">
        <v>1174</v>
      </c>
    </row>
    <row r="115" spans="1:18" x14ac:dyDescent="0.45">
      <c r="A115" t="s">
        <v>1241</v>
      </c>
      <c r="B115" t="s">
        <v>1242</v>
      </c>
      <c r="C115" t="s">
        <v>1117</v>
      </c>
      <c r="D115">
        <v>2020</v>
      </c>
      <c r="E115" s="1">
        <v>43887</v>
      </c>
      <c r="F115" t="s">
        <v>1243</v>
      </c>
      <c r="G115" t="s">
        <v>22</v>
      </c>
      <c r="H115" t="s">
        <v>245</v>
      </c>
      <c r="I115">
        <v>1</v>
      </c>
      <c r="J115">
        <v>4</v>
      </c>
      <c r="L115" t="b">
        <v>1</v>
      </c>
      <c r="M115" s="6">
        <v>5</v>
      </c>
      <c r="P115" t="s">
        <v>303</v>
      </c>
      <c r="Q115" t="s">
        <v>1244</v>
      </c>
      <c r="R115" t="s">
        <v>1245</v>
      </c>
    </row>
    <row r="116" spans="1:18" x14ac:dyDescent="0.45">
      <c r="A116" t="s">
        <v>179</v>
      </c>
      <c r="B116" t="s">
        <v>180</v>
      </c>
      <c r="C116" t="s">
        <v>181</v>
      </c>
      <c r="D116">
        <v>2023</v>
      </c>
      <c r="E116" s="1">
        <v>45045</v>
      </c>
      <c r="F116" t="s">
        <v>182</v>
      </c>
      <c r="G116" t="s">
        <v>22</v>
      </c>
      <c r="H116" t="s">
        <v>34</v>
      </c>
      <c r="I116">
        <v>1</v>
      </c>
      <c r="J116">
        <v>2</v>
      </c>
      <c r="K116">
        <v>0.7006</v>
      </c>
      <c r="L116" t="b">
        <v>1</v>
      </c>
      <c r="M116" s="6">
        <v>4</v>
      </c>
      <c r="N116" t="s">
        <v>183</v>
      </c>
      <c r="O116" t="s">
        <v>184</v>
      </c>
      <c r="P116" t="s">
        <v>185</v>
      </c>
      <c r="Q116" t="s">
        <v>24</v>
      </c>
      <c r="R116" t="s">
        <v>186</v>
      </c>
    </row>
    <row r="117" spans="1:18" x14ac:dyDescent="0.45">
      <c r="A117" t="s">
        <v>234</v>
      </c>
      <c r="B117" t="s">
        <v>235</v>
      </c>
      <c r="C117" t="s">
        <v>236</v>
      </c>
      <c r="D117">
        <v>2021</v>
      </c>
      <c r="E117" s="1">
        <v>44537</v>
      </c>
      <c r="F117" t="s">
        <v>237</v>
      </c>
      <c r="G117" t="s">
        <v>22</v>
      </c>
      <c r="H117" t="s">
        <v>34</v>
      </c>
      <c r="I117">
        <v>2</v>
      </c>
      <c r="J117">
        <v>4</v>
      </c>
      <c r="K117">
        <v>0.28820000000000001</v>
      </c>
      <c r="L117" t="b">
        <v>0</v>
      </c>
      <c r="M117" s="6">
        <v>4</v>
      </c>
      <c r="N117" t="s">
        <v>238</v>
      </c>
      <c r="O117" t="s">
        <v>184</v>
      </c>
      <c r="P117" t="s">
        <v>239</v>
      </c>
      <c r="Q117" t="s">
        <v>24</v>
      </c>
      <c r="R117" t="s">
        <v>240</v>
      </c>
    </row>
    <row r="118" spans="1:18" x14ac:dyDescent="0.45">
      <c r="A118" t="s">
        <v>329</v>
      </c>
      <c r="B118" t="s">
        <v>330</v>
      </c>
      <c r="C118" t="s">
        <v>331</v>
      </c>
      <c r="D118">
        <v>2023</v>
      </c>
      <c r="E118" s="1">
        <v>45132</v>
      </c>
      <c r="F118" t="s">
        <v>332</v>
      </c>
      <c r="G118" t="s">
        <v>22</v>
      </c>
      <c r="H118" t="s">
        <v>34</v>
      </c>
      <c r="I118">
        <v>3</v>
      </c>
      <c r="J118">
        <v>7</v>
      </c>
      <c r="K118">
        <v>0.77070000000000005</v>
      </c>
      <c r="L118" t="b">
        <v>0</v>
      </c>
      <c r="M118" s="6">
        <v>4</v>
      </c>
      <c r="N118" t="s">
        <v>333</v>
      </c>
      <c r="O118" t="s">
        <v>334</v>
      </c>
      <c r="P118" t="s">
        <v>335</v>
      </c>
      <c r="Q118" t="s">
        <v>24</v>
      </c>
      <c r="R118" t="s">
        <v>336</v>
      </c>
    </row>
    <row r="119" spans="1:18" x14ac:dyDescent="0.45">
      <c r="A119" t="s">
        <v>689</v>
      </c>
      <c r="B119" t="s">
        <v>690</v>
      </c>
      <c r="C119" t="s">
        <v>691</v>
      </c>
      <c r="D119">
        <v>2020</v>
      </c>
      <c r="E119" s="1">
        <v>43831</v>
      </c>
      <c r="F119" t="s">
        <v>692</v>
      </c>
      <c r="G119" t="s">
        <v>22</v>
      </c>
      <c r="H119" t="s">
        <v>460</v>
      </c>
      <c r="I119">
        <v>1</v>
      </c>
      <c r="J119">
        <v>3</v>
      </c>
      <c r="K119">
        <v>1.8879999999999999</v>
      </c>
      <c r="L119" t="b">
        <v>0</v>
      </c>
      <c r="M119" s="6">
        <v>4</v>
      </c>
      <c r="N119" t="s">
        <v>693</v>
      </c>
      <c r="O119" t="s">
        <v>184</v>
      </c>
      <c r="P119" t="s">
        <v>694</v>
      </c>
      <c r="Q119" t="s">
        <v>695</v>
      </c>
      <c r="R119" t="s">
        <v>696</v>
      </c>
    </row>
    <row r="120" spans="1:18" x14ac:dyDescent="0.45">
      <c r="A120" t="s">
        <v>907</v>
      </c>
      <c r="B120" t="s">
        <v>908</v>
      </c>
      <c r="C120" t="s">
        <v>909</v>
      </c>
      <c r="D120">
        <v>2021</v>
      </c>
      <c r="E120" s="1">
        <v>44371</v>
      </c>
      <c r="F120" t="s">
        <v>910</v>
      </c>
      <c r="G120" t="s">
        <v>22</v>
      </c>
      <c r="H120" t="s">
        <v>34</v>
      </c>
      <c r="I120">
        <v>1</v>
      </c>
      <c r="J120">
        <v>2</v>
      </c>
      <c r="K120">
        <v>0.60099999999999998</v>
      </c>
      <c r="L120" t="b">
        <v>0</v>
      </c>
      <c r="M120" s="6">
        <v>4</v>
      </c>
      <c r="N120" t="s">
        <v>911</v>
      </c>
      <c r="O120" t="s">
        <v>279</v>
      </c>
      <c r="P120" t="s">
        <v>912</v>
      </c>
      <c r="Q120" t="s">
        <v>913</v>
      </c>
      <c r="R120" t="s">
        <v>914</v>
      </c>
    </row>
    <row r="121" spans="1:18" x14ac:dyDescent="0.45">
      <c r="A121" t="s">
        <v>945</v>
      </c>
      <c r="B121" t="s">
        <v>946</v>
      </c>
      <c r="C121" t="s">
        <v>947</v>
      </c>
      <c r="D121">
        <v>2024</v>
      </c>
      <c r="E121" s="1">
        <v>45390</v>
      </c>
      <c r="F121" t="s">
        <v>948</v>
      </c>
      <c r="G121" t="s">
        <v>22</v>
      </c>
      <c r="H121" t="s">
        <v>34</v>
      </c>
      <c r="I121">
        <v>2</v>
      </c>
      <c r="J121">
        <v>5</v>
      </c>
      <c r="K121">
        <v>0.7167</v>
      </c>
      <c r="L121" t="b">
        <v>0</v>
      </c>
      <c r="M121" s="6">
        <v>4</v>
      </c>
      <c r="N121" t="s">
        <v>949</v>
      </c>
      <c r="O121" t="s">
        <v>302</v>
      </c>
      <c r="P121" t="s">
        <v>950</v>
      </c>
      <c r="Q121" t="s">
        <v>24</v>
      </c>
      <c r="R121" t="s">
        <v>951</v>
      </c>
    </row>
    <row r="122" spans="1:18" x14ac:dyDescent="0.45">
      <c r="A122" t="s">
        <v>960</v>
      </c>
      <c r="B122" t="s">
        <v>961</v>
      </c>
      <c r="C122" t="s">
        <v>962</v>
      </c>
      <c r="D122">
        <v>2023</v>
      </c>
      <c r="E122" s="1">
        <v>45224</v>
      </c>
      <c r="F122" t="s">
        <v>963</v>
      </c>
      <c r="G122" t="s">
        <v>22</v>
      </c>
      <c r="H122" t="s">
        <v>34</v>
      </c>
      <c r="I122">
        <v>2</v>
      </c>
      <c r="J122">
        <v>6</v>
      </c>
      <c r="K122">
        <v>0.53610000000000002</v>
      </c>
      <c r="L122" t="b">
        <v>0</v>
      </c>
      <c r="M122" s="6">
        <v>4</v>
      </c>
      <c r="N122" t="s">
        <v>964</v>
      </c>
      <c r="O122" t="s">
        <v>349</v>
      </c>
      <c r="P122" t="s">
        <v>965</v>
      </c>
      <c r="Q122" t="s">
        <v>966</v>
      </c>
      <c r="R122" t="s">
        <v>967</v>
      </c>
    </row>
    <row r="123" spans="1:18" x14ac:dyDescent="0.45">
      <c r="A123" t="s">
        <v>998</v>
      </c>
      <c r="B123" t="s">
        <v>999</v>
      </c>
      <c r="C123" t="s">
        <v>1000</v>
      </c>
      <c r="D123">
        <v>2021</v>
      </c>
      <c r="E123" s="1">
        <v>44256</v>
      </c>
      <c r="F123" t="s">
        <v>1001</v>
      </c>
      <c r="G123" t="s">
        <v>22</v>
      </c>
      <c r="H123" t="s">
        <v>34</v>
      </c>
      <c r="I123">
        <v>2</v>
      </c>
      <c r="J123">
        <v>2</v>
      </c>
      <c r="K123">
        <v>0.3342</v>
      </c>
      <c r="L123" t="b">
        <v>1</v>
      </c>
      <c r="M123" s="6">
        <v>4</v>
      </c>
      <c r="N123" t="s">
        <v>1002</v>
      </c>
      <c r="O123" t="s">
        <v>279</v>
      </c>
      <c r="P123" t="s">
        <v>1003</v>
      </c>
      <c r="Q123" t="s">
        <v>594</v>
      </c>
      <c r="R123" t="s">
        <v>1004</v>
      </c>
    </row>
    <row r="124" spans="1:18" x14ac:dyDescent="0.45">
      <c r="A124" t="s">
        <v>1153</v>
      </c>
      <c r="B124" t="s">
        <v>1154</v>
      </c>
      <c r="C124" t="s">
        <v>1155</v>
      </c>
      <c r="D124">
        <v>2022</v>
      </c>
      <c r="E124" s="1">
        <v>44866</v>
      </c>
      <c r="F124" t="s">
        <v>1156</v>
      </c>
      <c r="G124" t="s">
        <v>22</v>
      </c>
      <c r="H124" t="s">
        <v>34</v>
      </c>
      <c r="I124">
        <v>6</v>
      </c>
      <c r="J124">
        <v>31</v>
      </c>
      <c r="K124">
        <v>0.497</v>
      </c>
      <c r="L124" t="b">
        <v>0</v>
      </c>
      <c r="M124" s="6">
        <v>4</v>
      </c>
      <c r="N124" t="s">
        <v>1157</v>
      </c>
      <c r="O124" t="s">
        <v>1150</v>
      </c>
      <c r="P124" t="s">
        <v>1158</v>
      </c>
      <c r="Q124" t="s">
        <v>577</v>
      </c>
      <c r="R124" t="s">
        <v>1159</v>
      </c>
    </row>
    <row r="125" spans="1:18" x14ac:dyDescent="0.45">
      <c r="A125" t="s">
        <v>1192</v>
      </c>
      <c r="B125" t="s">
        <v>1193</v>
      </c>
      <c r="C125" t="s">
        <v>1194</v>
      </c>
      <c r="D125">
        <v>2024</v>
      </c>
      <c r="E125" s="1">
        <v>45539</v>
      </c>
      <c r="F125" t="s">
        <v>1195</v>
      </c>
      <c r="G125" t="s">
        <v>22</v>
      </c>
      <c r="H125" t="s">
        <v>34</v>
      </c>
      <c r="I125">
        <v>5</v>
      </c>
      <c r="J125">
        <v>6</v>
      </c>
      <c r="K125">
        <v>0.92269999999999996</v>
      </c>
      <c r="L125" t="b">
        <v>0</v>
      </c>
      <c r="M125" s="6">
        <v>4</v>
      </c>
      <c r="N125" t="s">
        <v>1196</v>
      </c>
      <c r="O125" t="s">
        <v>1150</v>
      </c>
      <c r="P125" t="s">
        <v>1197</v>
      </c>
      <c r="Q125" t="s">
        <v>24</v>
      </c>
      <c r="R125" t="s">
        <v>1198</v>
      </c>
    </row>
    <row r="126" spans="1:18" x14ac:dyDescent="0.45">
      <c r="A126" t="s">
        <v>313</v>
      </c>
      <c r="B126" t="s">
        <v>314</v>
      </c>
      <c r="C126" t="s">
        <v>315</v>
      </c>
      <c r="D126">
        <v>2024</v>
      </c>
      <c r="E126" s="1">
        <v>45484</v>
      </c>
      <c r="F126" t="s">
        <v>316</v>
      </c>
      <c r="G126" t="s">
        <v>22</v>
      </c>
      <c r="H126" t="s">
        <v>34</v>
      </c>
      <c r="I126">
        <v>2</v>
      </c>
      <c r="J126">
        <v>5</v>
      </c>
      <c r="K126">
        <v>0.35720000000000002</v>
      </c>
      <c r="L126" t="b">
        <v>0</v>
      </c>
      <c r="M126" s="6">
        <v>3</v>
      </c>
      <c r="N126" t="s">
        <v>317</v>
      </c>
      <c r="O126" t="s">
        <v>318</v>
      </c>
      <c r="P126" t="s">
        <v>319</v>
      </c>
      <c r="Q126" t="s">
        <v>320</v>
      </c>
      <c r="R126" t="s">
        <v>321</v>
      </c>
    </row>
    <row r="127" spans="1:18" x14ac:dyDescent="0.45">
      <c r="A127" t="s">
        <v>337</v>
      </c>
      <c r="B127" t="s">
        <v>338</v>
      </c>
      <c r="C127" t="s">
        <v>339</v>
      </c>
      <c r="D127">
        <v>2024</v>
      </c>
      <c r="E127" s="1">
        <v>45486</v>
      </c>
      <c r="F127" t="s">
        <v>340</v>
      </c>
      <c r="G127" t="s">
        <v>22</v>
      </c>
      <c r="H127" t="s">
        <v>34</v>
      </c>
      <c r="I127">
        <v>1</v>
      </c>
      <c r="J127">
        <v>3</v>
      </c>
      <c r="K127">
        <v>0.70989999999999998</v>
      </c>
      <c r="L127" t="b">
        <v>0</v>
      </c>
      <c r="M127" s="6">
        <v>3</v>
      </c>
      <c r="N127" t="s">
        <v>341</v>
      </c>
      <c r="O127" t="s">
        <v>334</v>
      </c>
      <c r="P127" t="s">
        <v>342</v>
      </c>
      <c r="Q127" t="s">
        <v>24</v>
      </c>
      <c r="R127" t="s">
        <v>343</v>
      </c>
    </row>
    <row r="128" spans="1:18" x14ac:dyDescent="0.45">
      <c r="A128" t="s">
        <v>353</v>
      </c>
      <c r="B128" t="s">
        <v>354</v>
      </c>
      <c r="C128" t="s">
        <v>355</v>
      </c>
      <c r="D128">
        <v>2024</v>
      </c>
      <c r="E128" s="1">
        <v>45429</v>
      </c>
      <c r="F128" t="s">
        <v>356</v>
      </c>
      <c r="G128" t="s">
        <v>22</v>
      </c>
      <c r="H128" t="s">
        <v>34</v>
      </c>
      <c r="I128">
        <v>2</v>
      </c>
      <c r="J128">
        <v>8</v>
      </c>
      <c r="K128">
        <v>0.66039999999999999</v>
      </c>
      <c r="L128" t="b">
        <v>0</v>
      </c>
      <c r="M128" s="6">
        <v>3</v>
      </c>
      <c r="N128" t="s">
        <v>357</v>
      </c>
      <c r="O128" t="s">
        <v>318</v>
      </c>
      <c r="P128" t="s">
        <v>358</v>
      </c>
      <c r="Q128" t="s">
        <v>359</v>
      </c>
      <c r="R128" t="s">
        <v>321</v>
      </c>
    </row>
    <row r="129" spans="1:18" x14ac:dyDescent="0.45">
      <c r="A129" t="s">
        <v>547</v>
      </c>
      <c r="B129" t="s">
        <v>548</v>
      </c>
      <c r="C129" t="s">
        <v>549</v>
      </c>
      <c r="D129">
        <v>2021</v>
      </c>
      <c r="E129" s="1">
        <v>44317</v>
      </c>
      <c r="F129" t="s">
        <v>550</v>
      </c>
      <c r="G129" t="s">
        <v>22</v>
      </c>
      <c r="H129" t="s">
        <v>34</v>
      </c>
      <c r="I129">
        <v>1</v>
      </c>
      <c r="J129">
        <v>3</v>
      </c>
      <c r="K129">
        <v>0.30080000000000001</v>
      </c>
      <c r="L129" t="b">
        <v>0</v>
      </c>
      <c r="M129" s="6">
        <v>3</v>
      </c>
      <c r="N129" t="s">
        <v>551</v>
      </c>
      <c r="O129" t="s">
        <v>184</v>
      </c>
      <c r="P129" t="s">
        <v>552</v>
      </c>
      <c r="Q129" t="s">
        <v>553</v>
      </c>
      <c r="R129" t="s">
        <v>554</v>
      </c>
    </row>
    <row r="130" spans="1:18" x14ac:dyDescent="0.45">
      <c r="A130" t="s">
        <v>1012</v>
      </c>
      <c r="B130" t="s">
        <v>1013</v>
      </c>
      <c r="C130" t="s">
        <v>1014</v>
      </c>
      <c r="D130">
        <v>2024</v>
      </c>
      <c r="E130" s="1">
        <v>45460</v>
      </c>
      <c r="F130" t="s">
        <v>1015</v>
      </c>
      <c r="G130" t="s">
        <v>22</v>
      </c>
      <c r="H130" t="s">
        <v>34</v>
      </c>
      <c r="I130">
        <v>2</v>
      </c>
      <c r="J130">
        <v>6</v>
      </c>
      <c r="K130">
        <v>1.0831999999999999</v>
      </c>
      <c r="L130" t="b">
        <v>0</v>
      </c>
      <c r="M130" s="6">
        <v>3</v>
      </c>
      <c r="N130" t="s">
        <v>1016</v>
      </c>
      <c r="O130" t="s">
        <v>318</v>
      </c>
      <c r="P130" t="s">
        <v>1017</v>
      </c>
      <c r="Q130" t="s">
        <v>454</v>
      </c>
      <c r="R130" t="s">
        <v>1018</v>
      </c>
    </row>
    <row r="131" spans="1:18" x14ac:dyDescent="0.45">
      <c r="A131" t="s">
        <v>1035</v>
      </c>
      <c r="B131" t="s">
        <v>1036</v>
      </c>
      <c r="C131" t="s">
        <v>1037</v>
      </c>
      <c r="D131">
        <v>2024</v>
      </c>
      <c r="E131" s="1">
        <v>45340</v>
      </c>
      <c r="F131" t="s">
        <v>1038</v>
      </c>
      <c r="G131" t="s">
        <v>22</v>
      </c>
      <c r="H131" t="s">
        <v>34</v>
      </c>
      <c r="I131">
        <v>2</v>
      </c>
      <c r="J131">
        <v>10</v>
      </c>
      <c r="K131">
        <v>0.36990000000000001</v>
      </c>
      <c r="L131" t="b">
        <v>0</v>
      </c>
      <c r="M131" s="6">
        <v>3</v>
      </c>
      <c r="N131" t="s">
        <v>1039</v>
      </c>
      <c r="O131" t="s">
        <v>318</v>
      </c>
      <c r="P131" t="s">
        <v>1040</v>
      </c>
      <c r="Q131" t="s">
        <v>24</v>
      </c>
      <c r="R131" t="s">
        <v>321</v>
      </c>
    </row>
    <row r="132" spans="1:18" x14ac:dyDescent="0.45">
      <c r="A132" t="s">
        <v>1100</v>
      </c>
      <c r="B132" t="s">
        <v>1101</v>
      </c>
      <c r="C132" t="s">
        <v>1102</v>
      </c>
      <c r="D132">
        <v>2022</v>
      </c>
      <c r="E132" s="1">
        <v>44719</v>
      </c>
      <c r="F132" t="s">
        <v>1103</v>
      </c>
      <c r="G132" t="s">
        <v>22</v>
      </c>
      <c r="H132" t="s">
        <v>34</v>
      </c>
      <c r="I132">
        <v>3</v>
      </c>
      <c r="J132">
        <v>3</v>
      </c>
      <c r="K132">
        <v>0.53769999999999996</v>
      </c>
      <c r="L132" t="b">
        <v>0</v>
      </c>
      <c r="M132" s="6">
        <v>3</v>
      </c>
      <c r="N132" t="s">
        <v>1104</v>
      </c>
      <c r="O132" t="s">
        <v>1061</v>
      </c>
      <c r="P132" t="s">
        <v>1105</v>
      </c>
      <c r="Q132" t="s">
        <v>1106</v>
      </c>
      <c r="R132" t="s">
        <v>1107</v>
      </c>
    </row>
    <row r="133" spans="1:18" x14ac:dyDescent="0.45">
      <c r="A133" t="s">
        <v>1205</v>
      </c>
      <c r="B133" t="s">
        <v>1206</v>
      </c>
      <c r="C133" t="s">
        <v>1207</v>
      </c>
      <c r="D133">
        <v>2020</v>
      </c>
      <c r="E133" s="1">
        <v>43901</v>
      </c>
      <c r="F133" t="s">
        <v>1208</v>
      </c>
      <c r="G133" t="s">
        <v>22</v>
      </c>
      <c r="H133" t="s">
        <v>34</v>
      </c>
      <c r="I133">
        <v>3</v>
      </c>
      <c r="J133">
        <v>3</v>
      </c>
      <c r="K133">
        <v>0.50849999999999995</v>
      </c>
      <c r="L133" t="b">
        <v>0</v>
      </c>
      <c r="M133" s="6">
        <v>3</v>
      </c>
      <c r="N133" t="s">
        <v>1209</v>
      </c>
      <c r="O133" t="s">
        <v>1024</v>
      </c>
      <c r="P133" t="s">
        <v>1210</v>
      </c>
      <c r="Q133" t="s">
        <v>1211</v>
      </c>
      <c r="R133" t="s">
        <v>1212</v>
      </c>
    </row>
    <row r="134" spans="1:18" x14ac:dyDescent="0.45">
      <c r="A134" t="s">
        <v>1230</v>
      </c>
      <c r="B134" t="s">
        <v>1231</v>
      </c>
      <c r="C134" t="s">
        <v>1030</v>
      </c>
      <c r="D134">
        <v>2024</v>
      </c>
      <c r="E134" s="1">
        <v>45449</v>
      </c>
      <c r="F134" t="s">
        <v>1232</v>
      </c>
      <c r="G134" t="s">
        <v>22</v>
      </c>
      <c r="H134" t="s">
        <v>245</v>
      </c>
      <c r="I134">
        <v>1</v>
      </c>
      <c r="J134">
        <v>4</v>
      </c>
      <c r="L134" t="b">
        <v>0</v>
      </c>
      <c r="M134" s="6">
        <v>3</v>
      </c>
      <c r="P134" t="s">
        <v>303</v>
      </c>
      <c r="Q134" t="s">
        <v>24</v>
      </c>
      <c r="R134" t="s">
        <v>1233</v>
      </c>
    </row>
    <row r="135" spans="1:18" x14ac:dyDescent="0.45">
      <c r="A135" t="s">
        <v>1442</v>
      </c>
      <c r="B135" t="s">
        <v>1443</v>
      </c>
      <c r="C135" t="s">
        <v>1444</v>
      </c>
      <c r="D135">
        <v>2024</v>
      </c>
      <c r="E135" s="1">
        <v>45373</v>
      </c>
      <c r="F135" t="s">
        <v>1445</v>
      </c>
      <c r="G135" t="s">
        <v>22</v>
      </c>
      <c r="H135" t="s">
        <v>364</v>
      </c>
      <c r="I135">
        <v>2</v>
      </c>
      <c r="J135">
        <v>2</v>
      </c>
      <c r="K135">
        <v>11.94096102</v>
      </c>
      <c r="L135" t="b">
        <v>0</v>
      </c>
      <c r="M135" s="6">
        <v>3</v>
      </c>
      <c r="N135" t="s">
        <v>1446</v>
      </c>
      <c r="O135" t="s">
        <v>318</v>
      </c>
      <c r="P135" t="s">
        <v>1447</v>
      </c>
      <c r="Q135" t="s">
        <v>1448</v>
      </c>
    </row>
    <row r="136" spans="1:18" x14ac:dyDescent="0.45">
      <c r="A136" t="s">
        <v>289</v>
      </c>
      <c r="B136" t="s">
        <v>290</v>
      </c>
      <c r="C136" t="s">
        <v>291</v>
      </c>
      <c r="D136">
        <v>2023</v>
      </c>
      <c r="E136" s="1">
        <v>45116</v>
      </c>
      <c r="F136" t="s">
        <v>292</v>
      </c>
      <c r="G136" t="s">
        <v>22</v>
      </c>
      <c r="H136" t="s">
        <v>34</v>
      </c>
      <c r="I136">
        <v>1</v>
      </c>
      <c r="J136">
        <v>4</v>
      </c>
      <c r="K136">
        <v>0.2253</v>
      </c>
      <c r="L136" t="b">
        <v>0</v>
      </c>
      <c r="M136" s="6">
        <v>2</v>
      </c>
      <c r="N136" t="s">
        <v>293</v>
      </c>
      <c r="O136" t="s">
        <v>294</v>
      </c>
      <c r="P136" t="s">
        <v>295</v>
      </c>
      <c r="Q136" t="s">
        <v>24</v>
      </c>
      <c r="R136" t="s">
        <v>296</v>
      </c>
    </row>
    <row r="137" spans="1:18" x14ac:dyDescent="0.45">
      <c r="A137" t="s">
        <v>297</v>
      </c>
      <c r="B137" t="s">
        <v>298</v>
      </c>
      <c r="C137" t="s">
        <v>299</v>
      </c>
      <c r="D137">
        <v>2024</v>
      </c>
      <c r="E137" s="1">
        <v>45529</v>
      </c>
      <c r="F137" t="s">
        <v>300</v>
      </c>
      <c r="G137" t="s">
        <v>22</v>
      </c>
      <c r="H137" t="s">
        <v>34</v>
      </c>
      <c r="I137">
        <v>1</v>
      </c>
      <c r="J137">
        <v>4</v>
      </c>
      <c r="K137">
        <v>0.4733</v>
      </c>
      <c r="L137" t="b">
        <v>0</v>
      </c>
      <c r="M137" s="6">
        <v>2</v>
      </c>
      <c r="N137" t="s">
        <v>301</v>
      </c>
      <c r="O137" t="s">
        <v>302</v>
      </c>
      <c r="P137" t="s">
        <v>303</v>
      </c>
      <c r="Q137" t="s">
        <v>304</v>
      </c>
      <c r="R137" t="s">
        <v>305</v>
      </c>
    </row>
    <row r="138" spans="1:18" x14ac:dyDescent="0.45">
      <c r="A138" t="s">
        <v>360</v>
      </c>
      <c r="B138" t="s">
        <v>361</v>
      </c>
      <c r="C138" t="s">
        <v>362</v>
      </c>
      <c r="D138">
        <v>2023</v>
      </c>
      <c r="E138" s="1">
        <v>45216</v>
      </c>
      <c r="F138" t="s">
        <v>363</v>
      </c>
      <c r="G138" t="s">
        <v>22</v>
      </c>
      <c r="H138" t="s">
        <v>364</v>
      </c>
      <c r="I138">
        <v>4</v>
      </c>
      <c r="J138">
        <v>6</v>
      </c>
      <c r="K138">
        <v>0.29970634000000002</v>
      </c>
      <c r="L138" t="b">
        <v>0</v>
      </c>
      <c r="M138" s="6">
        <v>2</v>
      </c>
      <c r="N138" t="s">
        <v>365</v>
      </c>
      <c r="O138" t="s">
        <v>294</v>
      </c>
      <c r="P138" t="s">
        <v>366</v>
      </c>
      <c r="Q138" t="s">
        <v>367</v>
      </c>
      <c r="R138" t="s">
        <v>296</v>
      </c>
    </row>
    <row r="139" spans="1:18" x14ac:dyDescent="0.45">
      <c r="A139" t="s">
        <v>375</v>
      </c>
      <c r="B139" t="s">
        <v>376</v>
      </c>
      <c r="C139" t="s">
        <v>377</v>
      </c>
      <c r="D139">
        <v>2023</v>
      </c>
      <c r="E139" s="1">
        <v>45259</v>
      </c>
      <c r="F139" t="s">
        <v>378</v>
      </c>
      <c r="G139" t="s">
        <v>22</v>
      </c>
      <c r="H139" t="s">
        <v>34</v>
      </c>
      <c r="I139">
        <v>2</v>
      </c>
      <c r="J139">
        <v>3</v>
      </c>
      <c r="K139">
        <v>1.3505</v>
      </c>
      <c r="L139" t="b">
        <v>0</v>
      </c>
      <c r="M139" s="6">
        <v>2</v>
      </c>
      <c r="N139" t="s">
        <v>379</v>
      </c>
      <c r="O139" t="s">
        <v>294</v>
      </c>
      <c r="P139" t="s">
        <v>380</v>
      </c>
      <c r="Q139" t="s">
        <v>24</v>
      </c>
      <c r="R139" t="s">
        <v>296</v>
      </c>
    </row>
    <row r="140" spans="1:18" x14ac:dyDescent="0.45">
      <c r="A140" t="s">
        <v>952</v>
      </c>
      <c r="B140" t="s">
        <v>953</v>
      </c>
      <c r="C140" t="s">
        <v>954</v>
      </c>
      <c r="D140">
        <v>2024</v>
      </c>
      <c r="E140" s="1">
        <v>45525</v>
      </c>
      <c r="F140" t="s">
        <v>955</v>
      </c>
      <c r="G140" t="s">
        <v>22</v>
      </c>
      <c r="H140" t="s">
        <v>34</v>
      </c>
      <c r="I140">
        <v>3</v>
      </c>
      <c r="J140">
        <v>10</v>
      </c>
      <c r="K140">
        <v>0.73599999999999999</v>
      </c>
      <c r="L140" t="b">
        <v>0</v>
      </c>
      <c r="M140" s="6">
        <v>2</v>
      </c>
      <c r="N140" t="s">
        <v>956</v>
      </c>
      <c r="O140" t="s">
        <v>957</v>
      </c>
      <c r="P140" t="s">
        <v>958</v>
      </c>
      <c r="Q140" t="s">
        <v>24</v>
      </c>
      <c r="R140" t="s">
        <v>959</v>
      </c>
    </row>
    <row r="141" spans="1:18" x14ac:dyDescent="0.45">
      <c r="A141" t="s">
        <v>1056</v>
      </c>
      <c r="B141" t="s">
        <v>1057</v>
      </c>
      <c r="C141" t="s">
        <v>1058</v>
      </c>
      <c r="D141">
        <v>2023</v>
      </c>
      <c r="E141" s="1">
        <v>44927</v>
      </c>
      <c r="F141" t="s">
        <v>1059</v>
      </c>
      <c r="G141" t="s">
        <v>22</v>
      </c>
      <c r="H141" t="s">
        <v>34</v>
      </c>
      <c r="I141">
        <v>2</v>
      </c>
      <c r="J141">
        <v>4</v>
      </c>
      <c r="K141">
        <v>0.26779999999999998</v>
      </c>
      <c r="L141" t="b">
        <v>0</v>
      </c>
      <c r="M141" s="6">
        <v>2</v>
      </c>
      <c r="N141" t="s">
        <v>1060</v>
      </c>
      <c r="O141" t="s">
        <v>1061</v>
      </c>
      <c r="P141" t="s">
        <v>1062</v>
      </c>
      <c r="Q141" t="s">
        <v>425</v>
      </c>
      <c r="R141" t="s">
        <v>1063</v>
      </c>
    </row>
    <row r="142" spans="1:18" x14ac:dyDescent="0.45">
      <c r="A142" t="s">
        <v>1071</v>
      </c>
      <c r="B142" t="s">
        <v>1072</v>
      </c>
      <c r="C142" t="s">
        <v>1073</v>
      </c>
      <c r="D142">
        <v>2023</v>
      </c>
      <c r="E142" s="1">
        <v>44990</v>
      </c>
      <c r="F142" t="s">
        <v>1074</v>
      </c>
      <c r="G142" t="s">
        <v>22</v>
      </c>
      <c r="H142" t="s">
        <v>34</v>
      </c>
      <c r="I142">
        <v>1</v>
      </c>
      <c r="J142">
        <v>2</v>
      </c>
      <c r="K142">
        <v>0.22500000000000001</v>
      </c>
      <c r="L142" t="b">
        <v>0</v>
      </c>
      <c r="M142" s="6">
        <v>2</v>
      </c>
      <c r="N142" t="s">
        <v>1075</v>
      </c>
      <c r="O142" t="s">
        <v>1061</v>
      </c>
      <c r="P142" t="s">
        <v>1076</v>
      </c>
      <c r="Q142" t="s">
        <v>24</v>
      </c>
      <c r="R142" t="s">
        <v>1063</v>
      </c>
    </row>
    <row r="143" spans="1:18" x14ac:dyDescent="0.45">
      <c r="A143" t="s">
        <v>1092</v>
      </c>
      <c r="B143" t="s">
        <v>1093</v>
      </c>
      <c r="C143" t="s">
        <v>1094</v>
      </c>
      <c r="D143">
        <v>2023</v>
      </c>
      <c r="E143" s="1">
        <v>44941</v>
      </c>
      <c r="F143" t="s">
        <v>1095</v>
      </c>
      <c r="G143" t="s">
        <v>22</v>
      </c>
      <c r="H143" t="s">
        <v>34</v>
      </c>
      <c r="I143">
        <v>1</v>
      </c>
      <c r="J143">
        <v>2</v>
      </c>
      <c r="K143">
        <v>0.28360000000000002</v>
      </c>
      <c r="L143" t="b">
        <v>0</v>
      </c>
      <c r="M143" s="6">
        <v>2</v>
      </c>
      <c r="N143" t="s">
        <v>1096</v>
      </c>
      <c r="O143" t="s">
        <v>1024</v>
      </c>
      <c r="P143" t="s">
        <v>1097</v>
      </c>
      <c r="Q143" t="s">
        <v>1098</v>
      </c>
      <c r="R143" t="s">
        <v>1099</v>
      </c>
    </row>
    <row r="144" spans="1:18" x14ac:dyDescent="0.45">
      <c r="A144" t="s">
        <v>1108</v>
      </c>
      <c r="B144" t="s">
        <v>1109</v>
      </c>
      <c r="C144" t="s">
        <v>1110</v>
      </c>
      <c r="D144">
        <v>2023</v>
      </c>
      <c r="E144" s="1">
        <v>45282</v>
      </c>
      <c r="F144" t="s">
        <v>1111</v>
      </c>
      <c r="G144" t="s">
        <v>22</v>
      </c>
      <c r="H144" t="s">
        <v>34</v>
      </c>
      <c r="I144">
        <v>1</v>
      </c>
      <c r="J144">
        <v>5</v>
      </c>
      <c r="K144">
        <v>0.43309999999999998</v>
      </c>
      <c r="L144" t="b">
        <v>0</v>
      </c>
      <c r="M144" s="6">
        <v>2</v>
      </c>
      <c r="N144" t="s">
        <v>1112</v>
      </c>
      <c r="O144" t="s">
        <v>957</v>
      </c>
      <c r="P144" t="s">
        <v>1113</v>
      </c>
      <c r="Q144" t="s">
        <v>1114</v>
      </c>
      <c r="R144" t="s">
        <v>959</v>
      </c>
    </row>
    <row r="145" spans="1:18" x14ac:dyDescent="0.45">
      <c r="A145" t="s">
        <v>1221</v>
      </c>
      <c r="B145" t="s">
        <v>1222</v>
      </c>
      <c r="C145" t="s">
        <v>1223</v>
      </c>
      <c r="D145">
        <v>2021</v>
      </c>
      <c r="E145" s="1">
        <v>44530</v>
      </c>
      <c r="F145" t="s">
        <v>1224</v>
      </c>
      <c r="G145" t="s">
        <v>22</v>
      </c>
      <c r="H145" t="s">
        <v>34</v>
      </c>
      <c r="I145">
        <v>3</v>
      </c>
      <c r="J145">
        <v>8</v>
      </c>
      <c r="K145">
        <v>0.20050000000000001</v>
      </c>
      <c r="L145" t="b">
        <v>0</v>
      </c>
      <c r="M145" s="6">
        <v>2</v>
      </c>
      <c r="N145" t="s">
        <v>1225</v>
      </c>
      <c r="O145" t="s">
        <v>1226</v>
      </c>
      <c r="P145" t="s">
        <v>1227</v>
      </c>
      <c r="Q145" t="s">
        <v>1228</v>
      </c>
      <c r="R145" t="s">
        <v>1229</v>
      </c>
    </row>
    <row r="146" spans="1:18" x14ac:dyDescent="0.45">
      <c r="A146" t="s">
        <v>218</v>
      </c>
      <c r="B146" t="s">
        <v>219</v>
      </c>
      <c r="C146" t="s">
        <v>220</v>
      </c>
      <c r="D146">
        <v>2024</v>
      </c>
      <c r="E146" s="1">
        <v>45373</v>
      </c>
      <c r="F146" t="s">
        <v>221</v>
      </c>
      <c r="G146" t="s">
        <v>22</v>
      </c>
      <c r="H146" t="s">
        <v>34</v>
      </c>
      <c r="I146">
        <v>2</v>
      </c>
      <c r="J146">
        <v>2</v>
      </c>
      <c r="K146">
        <v>0.1231</v>
      </c>
      <c r="L146" t="b">
        <v>0</v>
      </c>
      <c r="M146" s="6">
        <v>1</v>
      </c>
      <c r="N146" t="s">
        <v>222</v>
      </c>
      <c r="O146" t="s">
        <v>223</v>
      </c>
      <c r="P146" t="s">
        <v>224</v>
      </c>
      <c r="Q146" t="s">
        <v>24</v>
      </c>
      <c r="R146" t="s">
        <v>225</v>
      </c>
    </row>
    <row r="147" spans="1:18" x14ac:dyDescent="0.45">
      <c r="A147" t="s">
        <v>804</v>
      </c>
      <c r="B147" t="s">
        <v>805</v>
      </c>
      <c r="C147" t="s">
        <v>806</v>
      </c>
      <c r="D147">
        <v>2023</v>
      </c>
      <c r="E147" s="1">
        <v>45022</v>
      </c>
      <c r="F147" t="s">
        <v>807</v>
      </c>
      <c r="G147" t="s">
        <v>22</v>
      </c>
      <c r="H147" t="s">
        <v>34</v>
      </c>
      <c r="I147">
        <v>1</v>
      </c>
      <c r="J147">
        <v>2</v>
      </c>
      <c r="K147">
        <v>0.11260000000000001</v>
      </c>
      <c r="L147" t="b">
        <v>0</v>
      </c>
      <c r="M147" s="6">
        <v>1</v>
      </c>
      <c r="N147" t="s">
        <v>808</v>
      </c>
      <c r="O147" t="s">
        <v>809</v>
      </c>
      <c r="P147" t="s">
        <v>810</v>
      </c>
      <c r="Q147" t="s">
        <v>24</v>
      </c>
      <c r="R147" t="s">
        <v>811</v>
      </c>
    </row>
    <row r="148" spans="1:18" x14ac:dyDescent="0.45">
      <c r="A148" t="s">
        <v>867</v>
      </c>
      <c r="B148" t="s">
        <v>868</v>
      </c>
      <c r="C148" t="s">
        <v>869</v>
      </c>
      <c r="D148">
        <v>2023</v>
      </c>
      <c r="E148" s="1">
        <v>45111</v>
      </c>
      <c r="F148" t="s">
        <v>870</v>
      </c>
      <c r="G148" t="s">
        <v>22</v>
      </c>
      <c r="H148" t="s">
        <v>23</v>
      </c>
      <c r="I148">
        <v>2</v>
      </c>
      <c r="J148">
        <v>2</v>
      </c>
      <c r="K148">
        <v>0.15920000000000001</v>
      </c>
      <c r="L148" t="b">
        <v>1</v>
      </c>
      <c r="M148" s="6">
        <v>1</v>
      </c>
      <c r="N148" t="s">
        <v>871</v>
      </c>
      <c r="O148" t="s">
        <v>167</v>
      </c>
      <c r="P148" t="s">
        <v>872</v>
      </c>
      <c r="Q148" t="s">
        <v>873</v>
      </c>
      <c r="R148" t="s">
        <v>874</v>
      </c>
    </row>
    <row r="149" spans="1:18" x14ac:dyDescent="0.45">
      <c r="A149" t="s">
        <v>1019</v>
      </c>
      <c r="B149" t="s">
        <v>1020</v>
      </c>
      <c r="C149" t="s">
        <v>1021</v>
      </c>
      <c r="D149">
        <v>2022</v>
      </c>
      <c r="E149" s="1">
        <v>44626</v>
      </c>
      <c r="F149" t="s">
        <v>1022</v>
      </c>
      <c r="G149" t="s">
        <v>22</v>
      </c>
      <c r="H149" t="s">
        <v>34</v>
      </c>
      <c r="I149">
        <v>2</v>
      </c>
      <c r="J149">
        <v>2</v>
      </c>
      <c r="K149">
        <v>0.32219999999999999</v>
      </c>
      <c r="L149" t="b">
        <v>0</v>
      </c>
      <c r="M149" s="6">
        <v>1</v>
      </c>
      <c r="N149" t="s">
        <v>1023</v>
      </c>
      <c r="O149" t="s">
        <v>1024</v>
      </c>
      <c r="P149" t="s">
        <v>1025</v>
      </c>
      <c r="Q149" t="s">
        <v>1026</v>
      </c>
      <c r="R149" t="s">
        <v>1027</v>
      </c>
    </row>
    <row r="150" spans="1:18" x14ac:dyDescent="0.45">
      <c r="A150" t="s">
        <v>1139</v>
      </c>
      <c r="B150" t="s">
        <v>1140</v>
      </c>
      <c r="C150" t="s">
        <v>1141</v>
      </c>
      <c r="D150">
        <v>2024</v>
      </c>
      <c r="E150" s="1">
        <v>45292</v>
      </c>
      <c r="F150" t="s">
        <v>1142</v>
      </c>
      <c r="G150" t="s">
        <v>22</v>
      </c>
      <c r="H150" t="s">
        <v>34</v>
      </c>
      <c r="I150">
        <v>1</v>
      </c>
      <c r="J150">
        <v>4</v>
      </c>
      <c r="K150">
        <v>0.23069999999999999</v>
      </c>
      <c r="L150" t="b">
        <v>0</v>
      </c>
      <c r="M150" s="6">
        <v>1</v>
      </c>
      <c r="N150" t="s">
        <v>1143</v>
      </c>
      <c r="O150" t="s">
        <v>809</v>
      </c>
      <c r="P150" t="s">
        <v>295</v>
      </c>
      <c r="Q150" t="s">
        <v>1144</v>
      </c>
      <c r="R150" t="s">
        <v>811</v>
      </c>
    </row>
    <row r="151" spans="1:18" x14ac:dyDescent="0.45">
      <c r="A151" t="s">
        <v>1160</v>
      </c>
      <c r="B151" t="s">
        <v>1161</v>
      </c>
      <c r="C151" t="s">
        <v>1162</v>
      </c>
      <c r="D151">
        <v>2024</v>
      </c>
      <c r="E151" s="1">
        <v>45446</v>
      </c>
      <c r="F151" t="s">
        <v>1163</v>
      </c>
      <c r="G151" t="s">
        <v>22</v>
      </c>
      <c r="H151" t="s">
        <v>34</v>
      </c>
      <c r="I151">
        <v>1</v>
      </c>
      <c r="J151">
        <v>5</v>
      </c>
      <c r="K151">
        <v>0.27679999999999999</v>
      </c>
      <c r="L151" t="b">
        <v>0</v>
      </c>
      <c r="M151" s="6">
        <v>1</v>
      </c>
      <c r="N151" t="s">
        <v>1164</v>
      </c>
      <c r="O151" t="s">
        <v>809</v>
      </c>
      <c r="P151" t="s">
        <v>1165</v>
      </c>
      <c r="Q151" t="s">
        <v>1166</v>
      </c>
      <c r="R151" t="s">
        <v>811</v>
      </c>
    </row>
    <row r="152" spans="1:18" x14ac:dyDescent="0.45">
      <c r="A152" t="s">
        <v>1175</v>
      </c>
      <c r="B152" t="s">
        <v>1176</v>
      </c>
      <c r="C152" t="s">
        <v>1177</v>
      </c>
      <c r="D152">
        <v>2024</v>
      </c>
      <c r="E152" s="1">
        <v>45505</v>
      </c>
      <c r="F152" t="s">
        <v>1178</v>
      </c>
      <c r="G152" t="s">
        <v>1052</v>
      </c>
      <c r="H152" t="s">
        <v>34</v>
      </c>
      <c r="I152">
        <v>1</v>
      </c>
      <c r="J152">
        <v>11</v>
      </c>
      <c r="K152">
        <v>0.36109999999999998</v>
      </c>
      <c r="L152" t="b">
        <v>0</v>
      </c>
      <c r="M152" s="6">
        <v>1</v>
      </c>
      <c r="N152" t="s">
        <v>1179</v>
      </c>
      <c r="O152" t="s">
        <v>167</v>
      </c>
      <c r="P152" t="s">
        <v>1180</v>
      </c>
      <c r="Q152" t="s">
        <v>24</v>
      </c>
      <c r="R152" t="s">
        <v>874</v>
      </c>
    </row>
    <row r="153" spans="1:18" x14ac:dyDescent="0.45">
      <c r="A153" t="s">
        <v>1181</v>
      </c>
      <c r="B153" t="s">
        <v>1182</v>
      </c>
      <c r="C153" t="s">
        <v>1183</v>
      </c>
      <c r="D153">
        <v>2021</v>
      </c>
      <c r="E153" s="1">
        <v>44295</v>
      </c>
      <c r="F153" t="s">
        <v>1184</v>
      </c>
      <c r="G153" t="s">
        <v>22</v>
      </c>
      <c r="H153" t="s">
        <v>34</v>
      </c>
      <c r="I153">
        <v>1</v>
      </c>
      <c r="J153">
        <v>2</v>
      </c>
      <c r="K153">
        <v>0</v>
      </c>
      <c r="L153" t="b">
        <v>0</v>
      </c>
      <c r="M153" s="6">
        <v>1</v>
      </c>
      <c r="N153" t="s">
        <v>1185</v>
      </c>
      <c r="O153" t="s">
        <v>809</v>
      </c>
      <c r="P153" t="s">
        <v>1186</v>
      </c>
      <c r="Q153" t="s">
        <v>24</v>
      </c>
      <c r="R153" t="s">
        <v>811</v>
      </c>
    </row>
    <row r="154" spans="1:18" x14ac:dyDescent="0.45">
      <c r="A154" t="s">
        <v>1187</v>
      </c>
      <c r="B154" t="s">
        <v>1188</v>
      </c>
      <c r="C154" t="s">
        <v>1189</v>
      </c>
      <c r="D154">
        <v>2021</v>
      </c>
      <c r="E154" s="1">
        <v>44452</v>
      </c>
      <c r="F154" t="s">
        <v>1190</v>
      </c>
      <c r="G154" t="s">
        <v>22</v>
      </c>
      <c r="H154" t="s">
        <v>245</v>
      </c>
      <c r="I154">
        <v>1</v>
      </c>
      <c r="J154">
        <v>3</v>
      </c>
      <c r="K154">
        <v>0</v>
      </c>
      <c r="L154" t="b">
        <v>1</v>
      </c>
      <c r="M154" s="6">
        <v>1</v>
      </c>
      <c r="N154" t="s">
        <v>1191</v>
      </c>
      <c r="O154" t="s">
        <v>809</v>
      </c>
      <c r="P154" t="s">
        <v>303</v>
      </c>
      <c r="Q154" t="s">
        <v>24</v>
      </c>
      <c r="R154" t="s">
        <v>811</v>
      </c>
    </row>
    <row r="155" spans="1:18" x14ac:dyDescent="0.45">
      <c r="A155" t="s">
        <v>1199</v>
      </c>
      <c r="B155" t="s">
        <v>1200</v>
      </c>
      <c r="C155" t="s">
        <v>1201</v>
      </c>
      <c r="D155">
        <v>2024</v>
      </c>
      <c r="E155" s="1">
        <v>45585</v>
      </c>
      <c r="F155" t="s">
        <v>1202</v>
      </c>
      <c r="G155" t="s">
        <v>22</v>
      </c>
      <c r="H155" t="s">
        <v>34</v>
      </c>
      <c r="I155">
        <v>1</v>
      </c>
      <c r="J155">
        <v>5</v>
      </c>
      <c r="K155">
        <v>0.36630000000000001</v>
      </c>
      <c r="L155" t="b">
        <v>0</v>
      </c>
      <c r="M155" s="6">
        <v>1</v>
      </c>
      <c r="N155" t="s">
        <v>1203</v>
      </c>
      <c r="O155" t="s">
        <v>809</v>
      </c>
      <c r="P155" t="s">
        <v>295</v>
      </c>
      <c r="Q155" t="s">
        <v>1204</v>
      </c>
      <c r="R155" t="s">
        <v>811</v>
      </c>
    </row>
    <row r="156" spans="1:18" x14ac:dyDescent="0.45">
      <c r="A156" t="s">
        <v>1213</v>
      </c>
      <c r="B156" t="s">
        <v>1214</v>
      </c>
      <c r="C156" t="s">
        <v>1215</v>
      </c>
      <c r="D156">
        <v>2020</v>
      </c>
      <c r="E156" s="1">
        <v>43964</v>
      </c>
      <c r="F156" t="s">
        <v>1216</v>
      </c>
      <c r="G156" t="s">
        <v>22</v>
      </c>
      <c r="H156" t="s">
        <v>245</v>
      </c>
      <c r="I156">
        <v>1</v>
      </c>
      <c r="J156">
        <v>6</v>
      </c>
      <c r="K156">
        <v>7.1153350000000004E-2</v>
      </c>
      <c r="L156" t="b">
        <v>1</v>
      </c>
      <c r="M156" s="6">
        <v>1</v>
      </c>
      <c r="N156" t="s">
        <v>1217</v>
      </c>
      <c r="O156" t="s">
        <v>1218</v>
      </c>
      <c r="P156" t="s">
        <v>1219</v>
      </c>
      <c r="Q156" t="s">
        <v>24</v>
      </c>
      <c r="R156" t="s">
        <v>1220</v>
      </c>
    </row>
    <row r="157" spans="1:18" x14ac:dyDescent="0.45">
      <c r="A157" t="s">
        <v>1234</v>
      </c>
      <c r="B157" t="s">
        <v>1235</v>
      </c>
      <c r="C157" t="s">
        <v>1236</v>
      </c>
      <c r="D157">
        <v>2024</v>
      </c>
      <c r="E157" s="1">
        <v>45363</v>
      </c>
      <c r="F157" t="s">
        <v>1237</v>
      </c>
      <c r="G157" t="s">
        <v>22</v>
      </c>
      <c r="H157" t="s">
        <v>34</v>
      </c>
      <c r="I157">
        <v>1</v>
      </c>
      <c r="J157">
        <v>3</v>
      </c>
      <c r="K157">
        <v>0.43070000000000003</v>
      </c>
      <c r="L157" t="b">
        <v>0</v>
      </c>
      <c r="M157" s="6">
        <v>1</v>
      </c>
      <c r="N157" t="s">
        <v>1238</v>
      </c>
      <c r="O157" t="s">
        <v>809</v>
      </c>
      <c r="P157" t="s">
        <v>1239</v>
      </c>
      <c r="Q157" t="s">
        <v>1240</v>
      </c>
      <c r="R157" t="s">
        <v>811</v>
      </c>
    </row>
    <row r="158" spans="1:18" x14ac:dyDescent="0.45">
      <c r="A158" t="s">
        <v>1246</v>
      </c>
      <c r="B158" t="s">
        <v>1247</v>
      </c>
      <c r="C158" t="s">
        <v>501</v>
      </c>
      <c r="D158">
        <v>2020</v>
      </c>
      <c r="E158" s="1">
        <v>43952</v>
      </c>
      <c r="F158" t="s">
        <v>1248</v>
      </c>
      <c r="G158" t="s">
        <v>22</v>
      </c>
      <c r="H158" t="s">
        <v>34</v>
      </c>
      <c r="I158">
        <v>2</v>
      </c>
      <c r="J158">
        <v>5</v>
      </c>
      <c r="K158">
        <v>0</v>
      </c>
      <c r="L158" t="b">
        <v>0</v>
      </c>
      <c r="M158" s="6">
        <v>1</v>
      </c>
      <c r="N158" t="s">
        <v>1249</v>
      </c>
      <c r="O158" t="s">
        <v>223</v>
      </c>
      <c r="P158" t="s">
        <v>1250</v>
      </c>
      <c r="Q158" t="s">
        <v>1251</v>
      </c>
      <c r="R158" t="s">
        <v>225</v>
      </c>
    </row>
    <row r="159" spans="1:18" x14ac:dyDescent="0.45">
      <c r="A159" t="s">
        <v>1257</v>
      </c>
      <c r="B159" t="s">
        <v>1258</v>
      </c>
      <c r="C159" t="s">
        <v>1259</v>
      </c>
      <c r="D159">
        <v>2023</v>
      </c>
      <c r="E159" s="1">
        <v>44952</v>
      </c>
      <c r="F159" t="s">
        <v>1260</v>
      </c>
      <c r="G159" t="s">
        <v>22</v>
      </c>
      <c r="H159" t="s">
        <v>1261</v>
      </c>
      <c r="I159">
        <v>2</v>
      </c>
      <c r="J159">
        <v>9</v>
      </c>
      <c r="K159">
        <v>0.1542557</v>
      </c>
      <c r="L159" t="b">
        <v>0</v>
      </c>
      <c r="M159" s="6">
        <v>1</v>
      </c>
      <c r="N159" t="s">
        <v>1262</v>
      </c>
      <c r="O159" t="s">
        <v>223</v>
      </c>
      <c r="P159" t="s">
        <v>1263</v>
      </c>
      <c r="Q159" t="s">
        <v>1264</v>
      </c>
      <c r="R159" t="s">
        <v>225</v>
      </c>
    </row>
    <row r="160" spans="1:18" x14ac:dyDescent="0.45">
      <c r="A160" t="s">
        <v>1280</v>
      </c>
      <c r="B160" t="s">
        <v>1281</v>
      </c>
      <c r="C160" t="s">
        <v>1282</v>
      </c>
      <c r="D160">
        <v>2022</v>
      </c>
      <c r="E160" s="1">
        <v>44749</v>
      </c>
      <c r="F160" t="s">
        <v>1283</v>
      </c>
      <c r="G160" t="s">
        <v>22</v>
      </c>
      <c r="H160" t="s">
        <v>34</v>
      </c>
      <c r="I160">
        <v>1</v>
      </c>
      <c r="J160">
        <v>3</v>
      </c>
      <c r="K160">
        <v>9.1499999999999998E-2</v>
      </c>
      <c r="L160" t="b">
        <v>0</v>
      </c>
      <c r="M160" s="6">
        <v>1</v>
      </c>
      <c r="N160" t="s">
        <v>1284</v>
      </c>
      <c r="O160" t="s">
        <v>223</v>
      </c>
      <c r="P160" t="s">
        <v>1285</v>
      </c>
      <c r="Q160" t="s">
        <v>1286</v>
      </c>
      <c r="R160" t="s">
        <v>225</v>
      </c>
    </row>
    <row r="161" spans="1:18" x14ac:dyDescent="0.45">
      <c r="A161" t="s">
        <v>443</v>
      </c>
      <c r="B161" t="s">
        <v>444</v>
      </c>
      <c r="C161" t="s">
        <v>445</v>
      </c>
      <c r="D161">
        <v>2023</v>
      </c>
      <c r="E161" s="1">
        <v>45116</v>
      </c>
      <c r="F161" t="s">
        <v>446</v>
      </c>
      <c r="G161" t="s">
        <v>22</v>
      </c>
      <c r="H161" t="s">
        <v>34</v>
      </c>
      <c r="I161">
        <v>1</v>
      </c>
      <c r="J161">
        <v>3</v>
      </c>
      <c r="K161">
        <v>0</v>
      </c>
      <c r="L161" t="b">
        <v>0</v>
      </c>
      <c r="M161" s="6">
        <v>0</v>
      </c>
      <c r="N161" t="s">
        <v>447</v>
      </c>
      <c r="P161" t="s">
        <v>295</v>
      </c>
      <c r="Q161" t="s">
        <v>24</v>
      </c>
      <c r="R161" t="s">
        <v>24</v>
      </c>
    </row>
    <row r="162" spans="1:18" x14ac:dyDescent="0.45">
      <c r="A162" t="s">
        <v>456</v>
      </c>
      <c r="B162" t="s">
        <v>457</v>
      </c>
      <c r="C162" t="s">
        <v>458</v>
      </c>
      <c r="D162">
        <v>2024</v>
      </c>
      <c r="E162" s="1">
        <v>45619</v>
      </c>
      <c r="F162" t="s">
        <v>459</v>
      </c>
      <c r="G162" t="s">
        <v>22</v>
      </c>
      <c r="H162" t="s">
        <v>460</v>
      </c>
      <c r="I162">
        <v>1</v>
      </c>
      <c r="J162">
        <v>4</v>
      </c>
      <c r="K162">
        <v>0</v>
      </c>
      <c r="L162" t="b">
        <v>0</v>
      </c>
      <c r="M162" s="6">
        <v>0</v>
      </c>
      <c r="N162" t="s">
        <v>461</v>
      </c>
      <c r="P162" t="s">
        <v>462</v>
      </c>
      <c r="Q162" t="s">
        <v>463</v>
      </c>
      <c r="R162" t="s">
        <v>24</v>
      </c>
    </row>
    <row r="163" spans="1:18" x14ac:dyDescent="0.45">
      <c r="A163" t="s">
        <v>494</v>
      </c>
      <c r="B163" t="s">
        <v>495</v>
      </c>
      <c r="C163" t="s">
        <v>496</v>
      </c>
      <c r="D163">
        <v>2024</v>
      </c>
      <c r="E163" s="1">
        <v>45292</v>
      </c>
      <c r="F163" t="s">
        <v>497</v>
      </c>
      <c r="G163" t="s">
        <v>22</v>
      </c>
      <c r="H163" t="s">
        <v>245</v>
      </c>
      <c r="I163">
        <v>1</v>
      </c>
      <c r="J163">
        <v>3</v>
      </c>
      <c r="L163" t="b">
        <v>0</v>
      </c>
      <c r="M163" s="6">
        <v>0</v>
      </c>
      <c r="P163" t="s">
        <v>303</v>
      </c>
      <c r="Q163" t="s">
        <v>498</v>
      </c>
      <c r="R163" t="s">
        <v>24</v>
      </c>
    </row>
    <row r="164" spans="1:18" x14ac:dyDescent="0.45">
      <c r="A164" t="s">
        <v>611</v>
      </c>
      <c r="B164" t="s">
        <v>612</v>
      </c>
      <c r="C164" t="s">
        <v>613</v>
      </c>
      <c r="D164">
        <v>2020</v>
      </c>
      <c r="E164" s="1">
        <v>43952</v>
      </c>
      <c r="F164" t="s">
        <v>614</v>
      </c>
      <c r="G164" t="s">
        <v>22</v>
      </c>
      <c r="H164" t="s">
        <v>34</v>
      </c>
      <c r="I164">
        <v>1</v>
      </c>
      <c r="J164">
        <v>2</v>
      </c>
      <c r="K164">
        <v>0</v>
      </c>
      <c r="L164" t="b">
        <v>0</v>
      </c>
      <c r="M164" s="6">
        <v>0</v>
      </c>
      <c r="N164" t="s">
        <v>615</v>
      </c>
      <c r="P164" t="s">
        <v>616</v>
      </c>
      <c r="Q164" t="s">
        <v>24</v>
      </c>
      <c r="R164" t="s">
        <v>24</v>
      </c>
    </row>
    <row r="165" spans="1:18" x14ac:dyDescent="0.45">
      <c r="A165" t="s">
        <v>671</v>
      </c>
      <c r="B165" t="s">
        <v>672</v>
      </c>
      <c r="C165" t="s">
        <v>308</v>
      </c>
      <c r="D165">
        <v>2022</v>
      </c>
      <c r="E165" s="1">
        <v>44787</v>
      </c>
      <c r="F165" t="s">
        <v>673</v>
      </c>
      <c r="G165" t="s">
        <v>22</v>
      </c>
      <c r="H165" t="s">
        <v>34</v>
      </c>
      <c r="I165">
        <v>1</v>
      </c>
      <c r="J165">
        <v>3</v>
      </c>
      <c r="K165">
        <v>0</v>
      </c>
      <c r="L165" t="b">
        <v>0</v>
      </c>
      <c r="M165" s="6">
        <v>0</v>
      </c>
      <c r="N165" t="s">
        <v>674</v>
      </c>
      <c r="P165" t="s">
        <v>303</v>
      </c>
      <c r="Q165" t="s">
        <v>24</v>
      </c>
      <c r="R165" t="s">
        <v>24</v>
      </c>
    </row>
    <row r="166" spans="1:18" x14ac:dyDescent="0.45">
      <c r="A166" t="s">
        <v>697</v>
      </c>
      <c r="B166" t="s">
        <v>698</v>
      </c>
      <c r="C166" t="s">
        <v>699</v>
      </c>
      <c r="D166">
        <v>2022</v>
      </c>
      <c r="E166" s="1">
        <v>44897</v>
      </c>
      <c r="F166" t="s">
        <v>700</v>
      </c>
      <c r="G166" t="s">
        <v>22</v>
      </c>
      <c r="H166" t="s">
        <v>245</v>
      </c>
      <c r="I166">
        <v>1</v>
      </c>
      <c r="J166">
        <v>14</v>
      </c>
      <c r="L166" t="b">
        <v>0</v>
      </c>
      <c r="M166" s="6">
        <v>0</v>
      </c>
      <c r="P166" t="s">
        <v>303</v>
      </c>
      <c r="Q166" t="s">
        <v>24</v>
      </c>
      <c r="R166" t="s">
        <v>24</v>
      </c>
    </row>
    <row r="167" spans="1:18" x14ac:dyDescent="0.45">
      <c r="A167" t="s">
        <v>709</v>
      </c>
      <c r="B167" t="s">
        <v>710</v>
      </c>
      <c r="C167" t="s">
        <v>711</v>
      </c>
      <c r="D167">
        <v>2024</v>
      </c>
      <c r="E167" s="1">
        <v>45548</v>
      </c>
      <c r="F167" t="s">
        <v>712</v>
      </c>
      <c r="G167" t="s">
        <v>22</v>
      </c>
      <c r="H167" t="s">
        <v>34</v>
      </c>
      <c r="I167">
        <v>1</v>
      </c>
      <c r="J167">
        <v>5</v>
      </c>
      <c r="K167">
        <v>0</v>
      </c>
      <c r="L167" t="b">
        <v>0</v>
      </c>
      <c r="M167" s="6">
        <v>0</v>
      </c>
      <c r="N167" t="s">
        <v>713</v>
      </c>
      <c r="P167" t="s">
        <v>714</v>
      </c>
      <c r="Q167" t="s">
        <v>715</v>
      </c>
      <c r="R167" t="s">
        <v>24</v>
      </c>
    </row>
    <row r="168" spans="1:18" x14ac:dyDescent="0.45">
      <c r="A168" t="s">
        <v>1252</v>
      </c>
      <c r="B168" t="s">
        <v>1253</v>
      </c>
      <c r="C168" t="s">
        <v>1254</v>
      </c>
      <c r="D168">
        <v>2023</v>
      </c>
      <c r="E168" s="1">
        <v>45278</v>
      </c>
      <c r="F168" t="s">
        <v>1255</v>
      </c>
      <c r="G168" t="s">
        <v>22</v>
      </c>
      <c r="H168" t="s">
        <v>34</v>
      </c>
      <c r="I168">
        <v>1</v>
      </c>
      <c r="J168">
        <v>1</v>
      </c>
      <c r="K168">
        <v>0</v>
      </c>
      <c r="L168" t="b">
        <v>0</v>
      </c>
      <c r="M168" s="6">
        <v>0</v>
      </c>
      <c r="N168" t="s">
        <v>1256</v>
      </c>
      <c r="P168" t="s">
        <v>303</v>
      </c>
      <c r="Q168" t="s">
        <v>24</v>
      </c>
      <c r="R168" t="s">
        <v>24</v>
      </c>
    </row>
    <row r="169" spans="1:18" x14ac:dyDescent="0.45">
      <c r="A169" t="s">
        <v>1265</v>
      </c>
      <c r="B169" t="s">
        <v>1266</v>
      </c>
      <c r="C169" t="s">
        <v>1267</v>
      </c>
      <c r="D169">
        <v>2023</v>
      </c>
      <c r="E169" s="1">
        <v>45278</v>
      </c>
      <c r="F169" t="s">
        <v>1268</v>
      </c>
      <c r="G169" t="s">
        <v>22</v>
      </c>
      <c r="H169" t="s">
        <v>34</v>
      </c>
      <c r="I169">
        <v>1</v>
      </c>
      <c r="J169">
        <v>1</v>
      </c>
      <c r="K169">
        <v>0</v>
      </c>
      <c r="L169" t="b">
        <v>0</v>
      </c>
      <c r="M169" s="6">
        <v>0</v>
      </c>
      <c r="N169" t="s">
        <v>1269</v>
      </c>
      <c r="P169" t="s">
        <v>303</v>
      </c>
      <c r="Q169" t="s">
        <v>24</v>
      </c>
      <c r="R169" t="s">
        <v>24</v>
      </c>
    </row>
    <row r="170" spans="1:18" x14ac:dyDescent="0.45">
      <c r="A170" t="s">
        <v>1273</v>
      </c>
      <c r="B170" t="s">
        <v>1274</v>
      </c>
      <c r="C170" t="s">
        <v>1275</v>
      </c>
      <c r="D170">
        <v>2024</v>
      </c>
      <c r="E170" s="1">
        <v>45506</v>
      </c>
      <c r="F170" t="s">
        <v>1276</v>
      </c>
      <c r="G170" t="s">
        <v>22</v>
      </c>
      <c r="H170" t="s">
        <v>34</v>
      </c>
      <c r="I170">
        <v>1</v>
      </c>
      <c r="J170">
        <v>3</v>
      </c>
      <c r="K170">
        <v>0</v>
      </c>
      <c r="L170" t="b">
        <v>0</v>
      </c>
      <c r="M170" s="6">
        <v>0</v>
      </c>
      <c r="N170" t="s">
        <v>1277</v>
      </c>
      <c r="P170" t="s">
        <v>1278</v>
      </c>
      <c r="Q170" t="s">
        <v>1279</v>
      </c>
      <c r="R170" t="s">
        <v>24</v>
      </c>
    </row>
    <row r="171" spans="1:18" x14ac:dyDescent="0.45">
      <c r="A171" t="s">
        <v>1287</v>
      </c>
      <c r="B171" t="s">
        <v>1288</v>
      </c>
      <c r="C171" t="s">
        <v>1289</v>
      </c>
      <c r="D171">
        <v>2020</v>
      </c>
      <c r="E171" s="1">
        <v>44158</v>
      </c>
      <c r="F171" t="s">
        <v>1290</v>
      </c>
      <c r="G171" t="s">
        <v>22</v>
      </c>
      <c r="H171" t="s">
        <v>34</v>
      </c>
      <c r="I171">
        <v>1</v>
      </c>
      <c r="J171">
        <v>4</v>
      </c>
      <c r="K171">
        <v>0</v>
      </c>
      <c r="L171" t="b">
        <v>0</v>
      </c>
      <c r="M171" s="6">
        <v>0</v>
      </c>
      <c r="N171" t="s">
        <v>1291</v>
      </c>
      <c r="P171" t="s">
        <v>1292</v>
      </c>
      <c r="Q171" t="s">
        <v>1293</v>
      </c>
      <c r="R171" t="s">
        <v>24</v>
      </c>
    </row>
    <row r="172" spans="1:18" x14ac:dyDescent="0.45">
      <c r="A172" t="s">
        <v>1294</v>
      </c>
      <c r="B172" t="s">
        <v>1295</v>
      </c>
      <c r="C172" t="s">
        <v>1296</v>
      </c>
      <c r="D172">
        <v>2022</v>
      </c>
      <c r="E172" s="1">
        <v>44794</v>
      </c>
      <c r="F172" t="s">
        <v>1297</v>
      </c>
      <c r="G172" t="s">
        <v>22</v>
      </c>
      <c r="H172" t="s">
        <v>34</v>
      </c>
      <c r="I172">
        <v>5</v>
      </c>
      <c r="J172">
        <v>15</v>
      </c>
      <c r="L172" t="b">
        <v>0</v>
      </c>
      <c r="M172" s="6">
        <v>0</v>
      </c>
      <c r="P172" t="s">
        <v>1298</v>
      </c>
      <c r="Q172" t="s">
        <v>24</v>
      </c>
      <c r="R172" t="s">
        <v>24</v>
      </c>
    </row>
    <row r="173" spans="1:18" x14ac:dyDescent="0.45">
      <c r="A173" t="s">
        <v>1299</v>
      </c>
      <c r="B173" t="s">
        <v>1300</v>
      </c>
      <c r="C173" t="s">
        <v>1301</v>
      </c>
      <c r="D173">
        <v>2021</v>
      </c>
      <c r="E173" s="1">
        <v>44542</v>
      </c>
      <c r="F173" t="s">
        <v>1302</v>
      </c>
      <c r="G173" t="s">
        <v>22</v>
      </c>
      <c r="H173" t="s">
        <v>34</v>
      </c>
      <c r="I173">
        <v>1</v>
      </c>
      <c r="J173">
        <v>6</v>
      </c>
      <c r="K173">
        <v>0</v>
      </c>
      <c r="L173" t="b">
        <v>0</v>
      </c>
      <c r="M173" s="6">
        <v>0</v>
      </c>
      <c r="N173" t="s">
        <v>1303</v>
      </c>
      <c r="P173" t="s">
        <v>1304</v>
      </c>
      <c r="Q173" t="s">
        <v>1305</v>
      </c>
      <c r="R173" t="s">
        <v>24</v>
      </c>
    </row>
    <row r="174" spans="1:18" x14ac:dyDescent="0.45">
      <c r="A174" t="s">
        <v>1306</v>
      </c>
      <c r="B174" t="s">
        <v>1307</v>
      </c>
      <c r="C174" t="s">
        <v>1308</v>
      </c>
      <c r="D174">
        <v>2024</v>
      </c>
      <c r="E174" s="1">
        <v>45497</v>
      </c>
      <c r="F174" t="s">
        <v>1309</v>
      </c>
      <c r="G174" t="s">
        <v>22</v>
      </c>
      <c r="H174" t="s">
        <v>245</v>
      </c>
      <c r="I174">
        <v>3</v>
      </c>
      <c r="J174">
        <v>14</v>
      </c>
      <c r="L174" t="b">
        <v>0</v>
      </c>
      <c r="M174" s="6">
        <v>0</v>
      </c>
      <c r="P174" t="s">
        <v>303</v>
      </c>
      <c r="Q174" t="s">
        <v>24</v>
      </c>
      <c r="R174" t="s">
        <v>24</v>
      </c>
    </row>
    <row r="175" spans="1:18" x14ac:dyDescent="0.45">
      <c r="A175" t="s">
        <v>1310</v>
      </c>
      <c r="B175" t="s">
        <v>1311</v>
      </c>
      <c r="C175" t="s">
        <v>1308</v>
      </c>
      <c r="D175">
        <v>2024</v>
      </c>
      <c r="E175" s="1">
        <v>45559</v>
      </c>
      <c r="F175" t="s">
        <v>1312</v>
      </c>
      <c r="G175" t="s">
        <v>22</v>
      </c>
      <c r="H175" t="s">
        <v>34</v>
      </c>
      <c r="I175">
        <v>3</v>
      </c>
      <c r="J175">
        <v>14</v>
      </c>
      <c r="K175">
        <v>0</v>
      </c>
      <c r="L175" t="b">
        <v>0</v>
      </c>
      <c r="M175" s="6">
        <v>0</v>
      </c>
      <c r="N175" t="s">
        <v>1313</v>
      </c>
      <c r="P175" t="s">
        <v>1314</v>
      </c>
      <c r="Q175" t="s">
        <v>24</v>
      </c>
      <c r="R175" t="s">
        <v>24</v>
      </c>
    </row>
    <row r="176" spans="1:18" x14ac:dyDescent="0.45">
      <c r="A176" t="s">
        <v>1315</v>
      </c>
      <c r="B176" t="s">
        <v>1316</v>
      </c>
      <c r="C176" t="s">
        <v>1189</v>
      </c>
      <c r="D176">
        <v>2021</v>
      </c>
      <c r="E176" s="1">
        <v>44452</v>
      </c>
      <c r="F176" t="s">
        <v>1317</v>
      </c>
      <c r="G176" t="s">
        <v>22</v>
      </c>
      <c r="H176" t="s">
        <v>245</v>
      </c>
      <c r="I176">
        <v>1</v>
      </c>
      <c r="J176">
        <v>3</v>
      </c>
      <c r="K176">
        <v>0</v>
      </c>
      <c r="L176" t="b">
        <v>0</v>
      </c>
      <c r="M176" s="6">
        <v>0</v>
      </c>
      <c r="N176" t="s">
        <v>1318</v>
      </c>
      <c r="P176" t="s">
        <v>303</v>
      </c>
      <c r="Q176" t="s">
        <v>24</v>
      </c>
      <c r="R176" t="s">
        <v>24</v>
      </c>
    </row>
    <row r="177" spans="1:18" x14ac:dyDescent="0.45">
      <c r="A177" t="s">
        <v>1319</v>
      </c>
      <c r="B177" t="s">
        <v>1320</v>
      </c>
      <c r="C177" t="s">
        <v>1321</v>
      </c>
      <c r="D177">
        <v>2022</v>
      </c>
      <c r="E177" s="1">
        <v>44843</v>
      </c>
      <c r="F177" t="s">
        <v>1322</v>
      </c>
      <c r="G177" t="s">
        <v>22</v>
      </c>
      <c r="H177" t="s">
        <v>34</v>
      </c>
      <c r="I177">
        <v>1</v>
      </c>
      <c r="J177">
        <v>3</v>
      </c>
      <c r="K177">
        <v>0</v>
      </c>
      <c r="L177" t="b">
        <v>0</v>
      </c>
      <c r="M177" s="6">
        <v>0</v>
      </c>
      <c r="N177" t="s">
        <v>1323</v>
      </c>
      <c r="P177" t="s">
        <v>1324</v>
      </c>
      <c r="Q177" t="s">
        <v>24</v>
      </c>
      <c r="R177" t="s">
        <v>24</v>
      </c>
    </row>
    <row r="178" spans="1:18" x14ac:dyDescent="0.45">
      <c r="A178" t="s">
        <v>1325</v>
      </c>
      <c r="B178" t="s">
        <v>1326</v>
      </c>
      <c r="C178" t="s">
        <v>1327</v>
      </c>
      <c r="D178">
        <v>2022</v>
      </c>
      <c r="E178" s="1">
        <v>44749</v>
      </c>
      <c r="F178" t="s">
        <v>1328</v>
      </c>
      <c r="G178" t="s">
        <v>22</v>
      </c>
      <c r="H178" t="s">
        <v>34</v>
      </c>
      <c r="I178">
        <v>1</v>
      </c>
      <c r="J178">
        <v>5</v>
      </c>
      <c r="K178">
        <v>0</v>
      </c>
      <c r="L178" t="b">
        <v>0</v>
      </c>
      <c r="M178" s="6">
        <v>0</v>
      </c>
      <c r="N178" t="s">
        <v>1329</v>
      </c>
      <c r="P178" t="s">
        <v>1330</v>
      </c>
      <c r="Q178" t="s">
        <v>417</v>
      </c>
      <c r="R178" t="s">
        <v>24</v>
      </c>
    </row>
    <row r="179" spans="1:18" x14ac:dyDescent="0.45">
      <c r="A179" t="s">
        <v>1331</v>
      </c>
      <c r="B179" t="s">
        <v>1332</v>
      </c>
      <c r="C179" t="s">
        <v>1333</v>
      </c>
      <c r="D179">
        <v>2022</v>
      </c>
      <c r="E179" s="1">
        <v>44843</v>
      </c>
      <c r="F179" t="s">
        <v>1334</v>
      </c>
      <c r="G179" t="s">
        <v>22</v>
      </c>
      <c r="H179" t="s">
        <v>34</v>
      </c>
      <c r="I179">
        <v>2</v>
      </c>
      <c r="J179">
        <v>8</v>
      </c>
      <c r="K179">
        <v>0</v>
      </c>
      <c r="L179" t="b">
        <v>0</v>
      </c>
      <c r="M179" s="6">
        <v>0</v>
      </c>
      <c r="N179" t="s">
        <v>1335</v>
      </c>
      <c r="P179" t="s">
        <v>1336</v>
      </c>
      <c r="Q179" t="s">
        <v>1337</v>
      </c>
      <c r="R179" t="s">
        <v>24</v>
      </c>
    </row>
    <row r="180" spans="1:18" x14ac:dyDescent="0.45">
      <c r="A180" t="s">
        <v>1338</v>
      </c>
      <c r="B180" t="s">
        <v>1339</v>
      </c>
      <c r="C180" t="s">
        <v>1340</v>
      </c>
      <c r="D180">
        <v>2022</v>
      </c>
      <c r="E180" s="1">
        <v>44749</v>
      </c>
      <c r="F180" t="s">
        <v>1341</v>
      </c>
      <c r="G180" t="s">
        <v>22</v>
      </c>
      <c r="H180" t="s">
        <v>34</v>
      </c>
      <c r="I180">
        <v>1</v>
      </c>
      <c r="J180">
        <v>3</v>
      </c>
      <c r="K180">
        <v>0</v>
      </c>
      <c r="L180" t="b">
        <v>0</v>
      </c>
      <c r="M180" s="6">
        <v>0</v>
      </c>
      <c r="N180" t="s">
        <v>1342</v>
      </c>
      <c r="P180" t="s">
        <v>1343</v>
      </c>
      <c r="Q180" t="s">
        <v>1344</v>
      </c>
      <c r="R180" t="s">
        <v>24</v>
      </c>
    </row>
    <row r="181" spans="1:18" x14ac:dyDescent="0.45">
      <c r="A181" t="s">
        <v>1345</v>
      </c>
      <c r="B181" t="s">
        <v>1346</v>
      </c>
      <c r="C181" t="s">
        <v>1347</v>
      </c>
      <c r="D181">
        <v>2021</v>
      </c>
      <c r="E181" s="1">
        <v>44519</v>
      </c>
      <c r="F181" t="s">
        <v>1348</v>
      </c>
      <c r="G181" t="s">
        <v>22</v>
      </c>
      <c r="H181" t="s">
        <v>460</v>
      </c>
      <c r="I181">
        <v>2</v>
      </c>
      <c r="J181">
        <v>2</v>
      </c>
      <c r="K181">
        <v>0</v>
      </c>
      <c r="L181" t="b">
        <v>0</v>
      </c>
      <c r="M181" s="6">
        <v>0</v>
      </c>
      <c r="N181" t="s">
        <v>1349</v>
      </c>
      <c r="P181" t="s">
        <v>1350</v>
      </c>
      <c r="Q181" t="s">
        <v>1351</v>
      </c>
      <c r="R181" t="s">
        <v>24</v>
      </c>
    </row>
    <row r="182" spans="1:18" x14ac:dyDescent="0.45">
      <c r="A182" t="s">
        <v>1352</v>
      </c>
      <c r="B182" t="s">
        <v>1353</v>
      </c>
      <c r="C182" t="s">
        <v>1354</v>
      </c>
      <c r="D182">
        <v>2024</v>
      </c>
      <c r="E182" s="1">
        <v>45317</v>
      </c>
      <c r="F182" t="s">
        <v>1355</v>
      </c>
      <c r="G182" t="s">
        <v>22</v>
      </c>
      <c r="H182" t="s">
        <v>34</v>
      </c>
      <c r="I182">
        <v>1</v>
      </c>
      <c r="J182">
        <v>6</v>
      </c>
      <c r="K182">
        <v>0</v>
      </c>
      <c r="L182" t="b">
        <v>0</v>
      </c>
      <c r="M182" s="6">
        <v>0</v>
      </c>
      <c r="N182" t="s">
        <v>1356</v>
      </c>
      <c r="P182" t="s">
        <v>1357</v>
      </c>
      <c r="Q182" t="s">
        <v>24</v>
      </c>
      <c r="R182" t="s">
        <v>24</v>
      </c>
    </row>
    <row r="183" spans="1:18" x14ac:dyDescent="0.45">
      <c r="A183" t="s">
        <v>1358</v>
      </c>
      <c r="B183" t="s">
        <v>1359</v>
      </c>
      <c r="C183" t="s">
        <v>1360</v>
      </c>
      <c r="D183">
        <v>2024</v>
      </c>
      <c r="E183" s="1">
        <v>45292</v>
      </c>
      <c r="F183" t="s">
        <v>1361</v>
      </c>
      <c r="G183" t="s">
        <v>22</v>
      </c>
      <c r="H183" t="s">
        <v>245</v>
      </c>
      <c r="I183">
        <v>1</v>
      </c>
      <c r="J183">
        <v>5</v>
      </c>
      <c r="L183" t="b">
        <v>0</v>
      </c>
      <c r="M183" s="6">
        <v>0</v>
      </c>
      <c r="P183" t="s">
        <v>303</v>
      </c>
      <c r="Q183" t="s">
        <v>1362</v>
      </c>
      <c r="R183" t="s">
        <v>24</v>
      </c>
    </row>
    <row r="184" spans="1:18" x14ac:dyDescent="0.45">
      <c r="A184" t="s">
        <v>1363</v>
      </c>
      <c r="B184" t="s">
        <v>1364</v>
      </c>
      <c r="C184" t="s">
        <v>1365</v>
      </c>
      <c r="D184">
        <v>2024</v>
      </c>
      <c r="E184" s="1">
        <v>45486</v>
      </c>
      <c r="F184" t="s">
        <v>1366</v>
      </c>
      <c r="G184" t="s">
        <v>22</v>
      </c>
      <c r="H184" t="s">
        <v>245</v>
      </c>
      <c r="I184">
        <v>1</v>
      </c>
      <c r="J184">
        <v>5</v>
      </c>
      <c r="L184" t="b">
        <v>0</v>
      </c>
      <c r="M184" s="6">
        <v>0</v>
      </c>
      <c r="P184" t="s">
        <v>303</v>
      </c>
      <c r="Q184" t="s">
        <v>24</v>
      </c>
      <c r="R184" t="s">
        <v>24</v>
      </c>
    </row>
    <row r="185" spans="1:18" x14ac:dyDescent="0.45">
      <c r="A185" t="s">
        <v>1367</v>
      </c>
      <c r="B185" t="s">
        <v>1368</v>
      </c>
      <c r="C185" t="s">
        <v>1369</v>
      </c>
      <c r="D185">
        <v>2024</v>
      </c>
      <c r="E185" s="1">
        <v>45582</v>
      </c>
      <c r="F185" t="s">
        <v>1370</v>
      </c>
      <c r="G185" t="s">
        <v>22</v>
      </c>
      <c r="H185" t="s">
        <v>34</v>
      </c>
      <c r="I185">
        <v>3</v>
      </c>
      <c r="J185">
        <v>4</v>
      </c>
      <c r="K185">
        <v>0</v>
      </c>
      <c r="L185" t="b">
        <v>0</v>
      </c>
      <c r="M185" s="6">
        <v>0</v>
      </c>
      <c r="N185" t="s">
        <v>1371</v>
      </c>
      <c r="P185" t="s">
        <v>1372</v>
      </c>
      <c r="Q185" t="s">
        <v>1373</v>
      </c>
      <c r="R185" t="s">
        <v>24</v>
      </c>
    </row>
    <row r="186" spans="1:18" x14ac:dyDescent="0.45">
      <c r="A186" t="s">
        <v>1374</v>
      </c>
      <c r="B186" t="s">
        <v>1375</v>
      </c>
      <c r="C186" t="s">
        <v>1369</v>
      </c>
      <c r="D186">
        <v>2024</v>
      </c>
      <c r="E186" s="1">
        <v>45467</v>
      </c>
      <c r="F186" t="s">
        <v>1376</v>
      </c>
      <c r="G186" t="s">
        <v>22</v>
      </c>
      <c r="H186" t="s">
        <v>34</v>
      </c>
      <c r="I186">
        <v>3</v>
      </c>
      <c r="J186">
        <v>4</v>
      </c>
      <c r="K186">
        <v>0</v>
      </c>
      <c r="L186" t="b">
        <v>0</v>
      </c>
      <c r="M186" s="6">
        <v>0</v>
      </c>
      <c r="N186" t="s">
        <v>1377</v>
      </c>
      <c r="P186" t="s">
        <v>303</v>
      </c>
      <c r="Q186" t="s">
        <v>1373</v>
      </c>
      <c r="R186" t="s">
        <v>24</v>
      </c>
    </row>
    <row r="187" spans="1:18" x14ac:dyDescent="0.45">
      <c r="A187" t="s">
        <v>1378</v>
      </c>
      <c r="B187" t="s">
        <v>1379</v>
      </c>
      <c r="C187" t="s">
        <v>1380</v>
      </c>
      <c r="D187">
        <v>2024</v>
      </c>
      <c r="E187" s="1">
        <v>45322</v>
      </c>
      <c r="F187" t="s">
        <v>1381</v>
      </c>
      <c r="G187" t="s">
        <v>22</v>
      </c>
      <c r="H187" t="s">
        <v>245</v>
      </c>
      <c r="I187">
        <v>3</v>
      </c>
      <c r="J187">
        <v>12</v>
      </c>
      <c r="K187">
        <v>0</v>
      </c>
      <c r="L187" t="b">
        <v>0</v>
      </c>
      <c r="M187" s="6">
        <v>0</v>
      </c>
      <c r="N187" t="s">
        <v>1382</v>
      </c>
      <c r="P187" t="s">
        <v>303</v>
      </c>
      <c r="Q187" t="s">
        <v>24</v>
      </c>
      <c r="R187" t="s">
        <v>24</v>
      </c>
    </row>
    <row r="188" spans="1:18" x14ac:dyDescent="0.45">
      <c r="A188" t="s">
        <v>1383</v>
      </c>
      <c r="B188" t="s">
        <v>1384</v>
      </c>
      <c r="C188" t="s">
        <v>1385</v>
      </c>
      <c r="D188">
        <v>2022</v>
      </c>
      <c r="E188" s="1">
        <v>44749</v>
      </c>
      <c r="F188" t="s">
        <v>1386</v>
      </c>
      <c r="G188" t="s">
        <v>22</v>
      </c>
      <c r="H188" t="s">
        <v>34</v>
      </c>
      <c r="I188">
        <v>1</v>
      </c>
      <c r="J188">
        <v>6</v>
      </c>
      <c r="K188">
        <v>0</v>
      </c>
      <c r="L188" t="b">
        <v>0</v>
      </c>
      <c r="M188" s="6">
        <v>0</v>
      </c>
      <c r="N188" t="s">
        <v>1387</v>
      </c>
      <c r="P188" t="s">
        <v>1388</v>
      </c>
      <c r="Q188" t="s">
        <v>1389</v>
      </c>
      <c r="R188" t="s">
        <v>24</v>
      </c>
    </row>
    <row r="189" spans="1:18" x14ac:dyDescent="0.45">
      <c r="A189" t="s">
        <v>1390</v>
      </c>
      <c r="B189" t="s">
        <v>1391</v>
      </c>
      <c r="C189" t="s">
        <v>1392</v>
      </c>
      <c r="D189">
        <v>2022</v>
      </c>
      <c r="E189" s="1">
        <v>44749</v>
      </c>
      <c r="F189" t="s">
        <v>1393</v>
      </c>
      <c r="G189" t="s">
        <v>22</v>
      </c>
      <c r="H189" t="s">
        <v>34</v>
      </c>
      <c r="I189">
        <v>1</v>
      </c>
      <c r="J189">
        <v>1</v>
      </c>
      <c r="K189">
        <v>0</v>
      </c>
      <c r="L189" t="b">
        <v>0</v>
      </c>
      <c r="M189" s="6">
        <v>0</v>
      </c>
      <c r="N189" t="s">
        <v>1394</v>
      </c>
      <c r="P189" t="s">
        <v>1395</v>
      </c>
      <c r="Q189" t="s">
        <v>24</v>
      </c>
      <c r="R189" t="s">
        <v>24</v>
      </c>
    </row>
    <row r="190" spans="1:18" x14ac:dyDescent="0.45">
      <c r="A190" t="s">
        <v>1396</v>
      </c>
      <c r="B190" t="s">
        <v>1397</v>
      </c>
      <c r="C190" t="s">
        <v>1398</v>
      </c>
      <c r="D190">
        <v>2020</v>
      </c>
      <c r="E190" s="1">
        <v>44158</v>
      </c>
      <c r="F190" t="s">
        <v>1399</v>
      </c>
      <c r="G190" t="s">
        <v>22</v>
      </c>
      <c r="H190" t="s">
        <v>34</v>
      </c>
      <c r="I190">
        <v>2</v>
      </c>
      <c r="J190">
        <v>3</v>
      </c>
      <c r="K190">
        <v>0</v>
      </c>
      <c r="L190" t="b">
        <v>0</v>
      </c>
      <c r="M190" s="6">
        <v>0</v>
      </c>
      <c r="N190" t="s">
        <v>1400</v>
      </c>
      <c r="P190" t="s">
        <v>1401</v>
      </c>
      <c r="Q190" t="s">
        <v>1402</v>
      </c>
      <c r="R190" t="s">
        <v>24</v>
      </c>
    </row>
    <row r="191" spans="1:18" x14ac:dyDescent="0.45">
      <c r="A191" t="s">
        <v>1403</v>
      </c>
      <c r="B191" t="s">
        <v>1404</v>
      </c>
      <c r="C191" t="s">
        <v>1405</v>
      </c>
      <c r="D191">
        <v>2024</v>
      </c>
      <c r="E191" s="1">
        <v>45383</v>
      </c>
      <c r="F191" t="s">
        <v>1406</v>
      </c>
      <c r="G191" t="s">
        <v>22</v>
      </c>
      <c r="H191" t="s">
        <v>364</v>
      </c>
      <c r="I191">
        <v>3</v>
      </c>
      <c r="J191">
        <v>4</v>
      </c>
      <c r="K191">
        <v>0</v>
      </c>
      <c r="L191" t="b">
        <v>0</v>
      </c>
      <c r="M191" s="6">
        <v>0</v>
      </c>
      <c r="N191" t="s">
        <v>1407</v>
      </c>
      <c r="P191" t="s">
        <v>1408</v>
      </c>
      <c r="Q191" t="s">
        <v>1409</v>
      </c>
      <c r="R191" t="s">
        <v>24</v>
      </c>
    </row>
    <row r="192" spans="1:18" x14ac:dyDescent="0.45">
      <c r="A192" t="s">
        <v>1410</v>
      </c>
      <c r="B192" t="s">
        <v>1411</v>
      </c>
      <c r="C192" t="s">
        <v>1412</v>
      </c>
      <c r="D192">
        <v>2023</v>
      </c>
      <c r="E192" s="1">
        <v>45282</v>
      </c>
      <c r="F192" t="s">
        <v>1413</v>
      </c>
      <c r="G192" t="s">
        <v>22</v>
      </c>
      <c r="H192" t="s">
        <v>34</v>
      </c>
      <c r="I192">
        <v>1</v>
      </c>
      <c r="J192">
        <v>3</v>
      </c>
      <c r="K192">
        <v>0</v>
      </c>
      <c r="L192" t="b">
        <v>0</v>
      </c>
      <c r="M192" s="6">
        <v>0</v>
      </c>
      <c r="N192" t="s">
        <v>1414</v>
      </c>
      <c r="P192" t="s">
        <v>1415</v>
      </c>
      <c r="Q192" t="s">
        <v>304</v>
      </c>
      <c r="R192" t="s">
        <v>24</v>
      </c>
    </row>
    <row r="193" spans="1:18" x14ac:dyDescent="0.45">
      <c r="A193" t="s">
        <v>1416</v>
      </c>
      <c r="B193" t="s">
        <v>1417</v>
      </c>
      <c r="C193" t="s">
        <v>1418</v>
      </c>
      <c r="D193">
        <v>2022</v>
      </c>
      <c r="E193" s="1">
        <v>44843</v>
      </c>
      <c r="F193" t="s">
        <v>1419</v>
      </c>
      <c r="G193" t="s">
        <v>22</v>
      </c>
      <c r="H193" t="s">
        <v>34</v>
      </c>
      <c r="I193">
        <v>2</v>
      </c>
      <c r="J193">
        <v>12</v>
      </c>
      <c r="K193">
        <v>0</v>
      </c>
      <c r="L193" t="b">
        <v>0</v>
      </c>
      <c r="M193" s="6">
        <v>0</v>
      </c>
      <c r="N193" t="s">
        <v>1420</v>
      </c>
      <c r="P193" t="s">
        <v>1421</v>
      </c>
      <c r="Q193" t="s">
        <v>1422</v>
      </c>
      <c r="R193" t="s">
        <v>24</v>
      </c>
    </row>
    <row r="194" spans="1:18" x14ac:dyDescent="0.45">
      <c r="A194" t="s">
        <v>1423</v>
      </c>
      <c r="B194" t="s">
        <v>1424</v>
      </c>
      <c r="C194" t="s">
        <v>1425</v>
      </c>
      <c r="D194">
        <v>2023</v>
      </c>
      <c r="E194" s="1">
        <v>45282</v>
      </c>
      <c r="F194" t="s">
        <v>1426</v>
      </c>
      <c r="G194" t="s">
        <v>22</v>
      </c>
      <c r="H194" t="s">
        <v>34</v>
      </c>
      <c r="I194">
        <v>1</v>
      </c>
      <c r="J194">
        <v>8</v>
      </c>
      <c r="K194">
        <v>0</v>
      </c>
      <c r="L194" t="b">
        <v>0</v>
      </c>
      <c r="M194" s="6">
        <v>0</v>
      </c>
      <c r="N194" t="s">
        <v>1427</v>
      </c>
      <c r="P194" t="s">
        <v>1428</v>
      </c>
      <c r="Q194" t="s">
        <v>1429</v>
      </c>
      <c r="R194" t="s">
        <v>24</v>
      </c>
    </row>
    <row r="195" spans="1:18" x14ac:dyDescent="0.45">
      <c r="A195" t="s">
        <v>1430</v>
      </c>
      <c r="B195" t="s">
        <v>1431</v>
      </c>
      <c r="C195" t="s">
        <v>1432</v>
      </c>
      <c r="D195">
        <v>2020</v>
      </c>
      <c r="E195" s="1">
        <v>44158</v>
      </c>
      <c r="F195" t="s">
        <v>1433</v>
      </c>
      <c r="G195" t="s">
        <v>22</v>
      </c>
      <c r="H195" t="s">
        <v>34</v>
      </c>
      <c r="I195">
        <v>3</v>
      </c>
      <c r="J195">
        <v>14</v>
      </c>
      <c r="K195">
        <v>0</v>
      </c>
      <c r="L195" t="b">
        <v>0</v>
      </c>
      <c r="M195" s="6">
        <v>0</v>
      </c>
      <c r="N195" t="s">
        <v>1434</v>
      </c>
      <c r="P195" t="s">
        <v>1435</v>
      </c>
      <c r="Q195" t="s">
        <v>24</v>
      </c>
      <c r="R195" t="s">
        <v>24</v>
      </c>
    </row>
    <row r="196" spans="1:18" x14ac:dyDescent="0.45">
      <c r="A196" t="s">
        <v>1436</v>
      </c>
      <c r="B196" t="s">
        <v>1437</v>
      </c>
      <c r="C196" t="s">
        <v>1438</v>
      </c>
      <c r="D196">
        <v>2022</v>
      </c>
      <c r="E196" s="1">
        <v>44749</v>
      </c>
      <c r="F196" t="s">
        <v>1439</v>
      </c>
      <c r="G196" t="s">
        <v>22</v>
      </c>
      <c r="H196" t="s">
        <v>34</v>
      </c>
      <c r="I196">
        <v>3</v>
      </c>
      <c r="J196">
        <v>15</v>
      </c>
      <c r="K196">
        <v>0</v>
      </c>
      <c r="L196" t="b">
        <v>0</v>
      </c>
      <c r="M196" s="6">
        <v>0</v>
      </c>
      <c r="N196" t="s">
        <v>1440</v>
      </c>
      <c r="P196" t="s">
        <v>1441</v>
      </c>
      <c r="Q196" t="s">
        <v>24</v>
      </c>
      <c r="R196" t="s">
        <v>24</v>
      </c>
    </row>
    <row r="197" spans="1:18" x14ac:dyDescent="0.45">
      <c r="A197" t="s">
        <v>1449</v>
      </c>
      <c r="B197" t="s">
        <v>1450</v>
      </c>
      <c r="C197" t="s">
        <v>1451</v>
      </c>
      <c r="D197">
        <v>2023</v>
      </c>
      <c r="E197" s="1">
        <v>45282</v>
      </c>
      <c r="F197" t="s">
        <v>1452</v>
      </c>
      <c r="G197" t="s">
        <v>22</v>
      </c>
      <c r="H197" t="s">
        <v>34</v>
      </c>
      <c r="I197">
        <v>1</v>
      </c>
      <c r="J197">
        <v>4</v>
      </c>
      <c r="K197">
        <v>0</v>
      </c>
      <c r="L197" t="b">
        <v>0</v>
      </c>
      <c r="M197" s="6">
        <v>0</v>
      </c>
      <c r="N197" t="s">
        <v>1453</v>
      </c>
      <c r="P197" t="s">
        <v>1454</v>
      </c>
      <c r="Q197" t="s">
        <v>24</v>
      </c>
      <c r="R197" t="s">
        <v>24</v>
      </c>
    </row>
    <row r="198" spans="1:18" x14ac:dyDescent="0.45">
      <c r="A198" t="s">
        <v>1455</v>
      </c>
      <c r="B198" t="s">
        <v>1456</v>
      </c>
      <c r="C198" t="s">
        <v>1457</v>
      </c>
      <c r="D198">
        <v>2020</v>
      </c>
      <c r="E198" s="1">
        <v>44158</v>
      </c>
      <c r="F198" t="s">
        <v>1458</v>
      </c>
      <c r="G198" t="s">
        <v>22</v>
      </c>
      <c r="H198" t="s">
        <v>34</v>
      </c>
      <c r="I198">
        <v>1</v>
      </c>
      <c r="J198">
        <v>8</v>
      </c>
      <c r="K198">
        <v>0</v>
      </c>
      <c r="L198" t="b">
        <v>0</v>
      </c>
      <c r="M198" s="6">
        <v>0</v>
      </c>
      <c r="N198" t="s">
        <v>1459</v>
      </c>
      <c r="P198" t="s">
        <v>1460</v>
      </c>
      <c r="Q198" t="s">
        <v>24</v>
      </c>
      <c r="R198" t="s">
        <v>24</v>
      </c>
    </row>
    <row r="199" spans="1:18" x14ac:dyDescent="0.45">
      <c r="A199" t="s">
        <v>1461</v>
      </c>
      <c r="B199" t="s">
        <v>1462</v>
      </c>
      <c r="C199" t="s">
        <v>1463</v>
      </c>
      <c r="D199">
        <v>2022</v>
      </c>
      <c r="E199" s="1">
        <v>44843</v>
      </c>
      <c r="F199" t="s">
        <v>1464</v>
      </c>
      <c r="G199" t="s">
        <v>22</v>
      </c>
      <c r="H199" t="s">
        <v>34</v>
      </c>
      <c r="I199">
        <v>1</v>
      </c>
      <c r="J199">
        <v>6</v>
      </c>
      <c r="K199">
        <v>0</v>
      </c>
      <c r="L199" t="b">
        <v>0</v>
      </c>
      <c r="M199" s="6">
        <v>0</v>
      </c>
      <c r="N199" t="s">
        <v>1465</v>
      </c>
      <c r="P199" t="s">
        <v>1466</v>
      </c>
      <c r="Q199" t="s">
        <v>24</v>
      </c>
      <c r="R199" t="s">
        <v>24</v>
      </c>
    </row>
    <row r="200" spans="1:18" x14ac:dyDescent="0.45">
      <c r="A200" t="s">
        <v>1270</v>
      </c>
      <c r="B200" t="s">
        <v>1271</v>
      </c>
      <c r="C200" t="s">
        <v>792</v>
      </c>
      <c r="D200">
        <v>2024</v>
      </c>
      <c r="E200" s="1">
        <v>45327</v>
      </c>
      <c r="F200" t="s">
        <v>1272</v>
      </c>
      <c r="G200" t="s">
        <v>22</v>
      </c>
      <c r="H200" t="s">
        <v>245</v>
      </c>
    </row>
  </sheetData>
  <autoFilter ref="A1:LX1" xr:uid="{46FAAA09-0342-4EA9-84C1-E2EEE74A3369}"/>
  <sortState xmlns:xlrd2="http://schemas.microsoft.com/office/spreadsheetml/2017/richdata2" ref="A2:R200">
    <sortCondition descending="1" ref="M2:M200"/>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8ED81-03FF-446F-A2B7-A993C50DB877}">
  <dimension ref="A1:AD330"/>
  <sheetViews>
    <sheetView workbookViewId="0">
      <selection activeCell="L2" activeCellId="1" sqref="D2:D330 L2:L330"/>
    </sheetView>
  </sheetViews>
  <sheetFormatPr defaultRowHeight="14.25" x14ac:dyDescent="0.45"/>
  <sheetData>
    <row r="1" spans="1:30" s="5" customFormat="1" x14ac:dyDescent="0.45">
      <c r="A1" s="9" t="s">
        <v>1467</v>
      </c>
      <c r="B1" s="9" t="s">
        <v>1468</v>
      </c>
      <c r="C1" s="9" t="s">
        <v>1469</v>
      </c>
      <c r="D1" s="9" t="s">
        <v>1470</v>
      </c>
      <c r="E1" s="9" t="s">
        <v>1471</v>
      </c>
      <c r="F1" s="9" t="s">
        <v>1472</v>
      </c>
      <c r="G1" s="9" t="s">
        <v>1473</v>
      </c>
      <c r="H1" s="9" t="s">
        <v>1474</v>
      </c>
      <c r="I1" s="9" t="s">
        <v>1475</v>
      </c>
      <c r="J1" s="9" t="s">
        <v>1476</v>
      </c>
      <c r="K1" s="9" t="s">
        <v>1477</v>
      </c>
      <c r="L1" s="9" t="s">
        <v>1478</v>
      </c>
      <c r="M1" s="9" t="s">
        <v>1479</v>
      </c>
      <c r="N1" s="9" t="s">
        <v>1480</v>
      </c>
      <c r="O1" s="9" t="s">
        <v>1481</v>
      </c>
      <c r="P1" s="9" t="s">
        <v>1482</v>
      </c>
      <c r="Q1" s="9" t="s">
        <v>1483</v>
      </c>
      <c r="R1" s="9" t="s">
        <v>1484</v>
      </c>
      <c r="S1" s="9" t="s">
        <v>1485</v>
      </c>
      <c r="T1" s="9" t="s">
        <v>1486</v>
      </c>
      <c r="U1" s="9" t="s">
        <v>1487</v>
      </c>
      <c r="V1" s="9" t="s">
        <v>1488</v>
      </c>
      <c r="W1" s="9" t="s">
        <v>1489</v>
      </c>
      <c r="X1" s="9" t="s">
        <v>1490</v>
      </c>
      <c r="Y1" s="9" t="s">
        <v>1491</v>
      </c>
      <c r="Z1" s="9" t="s">
        <v>1492</v>
      </c>
      <c r="AA1" s="9" t="s">
        <v>1493</v>
      </c>
      <c r="AB1" s="9" t="s">
        <v>1494</v>
      </c>
      <c r="AC1" s="9" t="s">
        <v>1495</v>
      </c>
      <c r="AD1" s="9" t="s">
        <v>1496</v>
      </c>
    </row>
    <row r="2" spans="1:30" x14ac:dyDescent="0.45">
      <c r="A2" s="2" t="s">
        <v>3823</v>
      </c>
      <c r="B2" s="2" t="s">
        <v>3824</v>
      </c>
      <c r="C2" s="2" t="s">
        <v>3825</v>
      </c>
      <c r="D2" s="2" t="s">
        <v>391</v>
      </c>
      <c r="E2" s="2">
        <v>2021</v>
      </c>
      <c r="F2" s="2" t="s">
        <v>1583</v>
      </c>
      <c r="G2" s="2">
        <v>12</v>
      </c>
      <c r="H2" s="2">
        <v>1</v>
      </c>
      <c r="I2" s="2">
        <v>982</v>
      </c>
      <c r="J2" s="2"/>
      <c r="K2" s="2"/>
      <c r="L2" s="2">
        <v>279</v>
      </c>
      <c r="M2" s="2" t="s">
        <v>3826</v>
      </c>
      <c r="N2" s="2" t="s">
        <v>3827</v>
      </c>
      <c r="O2" s="2" t="s">
        <v>1735</v>
      </c>
      <c r="P2" s="2" t="s">
        <v>3828</v>
      </c>
      <c r="Q2" s="2" t="s">
        <v>3829</v>
      </c>
      <c r="R2" s="2"/>
      <c r="S2" s="2" t="s">
        <v>1589</v>
      </c>
      <c r="T2" s="2"/>
      <c r="U2" s="2"/>
      <c r="V2" s="2"/>
      <c r="W2" s="2">
        <v>33579959</v>
      </c>
      <c r="X2" s="2" t="s">
        <v>1508</v>
      </c>
      <c r="Y2" s="2" t="s">
        <v>1590</v>
      </c>
      <c r="Z2" s="2" t="s">
        <v>1510</v>
      </c>
      <c r="AA2" s="2" t="s">
        <v>1511</v>
      </c>
      <c r="AB2" s="2" t="s">
        <v>1591</v>
      </c>
      <c r="AC2" s="2" t="s">
        <v>1513</v>
      </c>
      <c r="AD2" s="2" t="s">
        <v>3830</v>
      </c>
    </row>
    <row r="3" spans="1:30" x14ac:dyDescent="0.45">
      <c r="A3" s="2" t="s">
        <v>4936</v>
      </c>
      <c r="B3" s="2" t="s">
        <v>4937</v>
      </c>
      <c r="C3" s="2" t="s">
        <v>4938</v>
      </c>
      <c r="D3" s="2" t="s">
        <v>4939</v>
      </c>
      <c r="E3" s="2">
        <v>2020</v>
      </c>
      <c r="F3" s="2" t="s">
        <v>4940</v>
      </c>
      <c r="G3" s="2">
        <v>368</v>
      </c>
      <c r="H3" s="2"/>
      <c r="I3" s="2" t="s">
        <v>4941</v>
      </c>
      <c r="J3" s="2"/>
      <c r="K3" s="2"/>
      <c r="L3" s="2">
        <v>170</v>
      </c>
      <c r="M3" s="2" t="s">
        <v>4942</v>
      </c>
      <c r="N3" s="2" t="s">
        <v>4943</v>
      </c>
      <c r="O3" s="2" t="s">
        <v>4944</v>
      </c>
      <c r="P3" s="2" t="s">
        <v>4945</v>
      </c>
      <c r="Q3" s="2" t="s">
        <v>4946</v>
      </c>
      <c r="R3" s="2"/>
      <c r="S3" s="2" t="s">
        <v>4947</v>
      </c>
      <c r="T3" s="2" t="s">
        <v>4948</v>
      </c>
      <c r="U3" s="2"/>
      <c r="V3" s="2" t="s">
        <v>4949</v>
      </c>
      <c r="W3" s="2">
        <v>32234712</v>
      </c>
      <c r="X3" s="2" t="s">
        <v>1508</v>
      </c>
      <c r="Y3" s="2" t="s">
        <v>4950</v>
      </c>
      <c r="Z3" s="2" t="s">
        <v>1510</v>
      </c>
      <c r="AA3" s="2" t="s">
        <v>1511</v>
      </c>
      <c r="AB3" s="2" t="s">
        <v>1512</v>
      </c>
      <c r="AC3" s="2" t="s">
        <v>1513</v>
      </c>
      <c r="AD3" s="2" t="s">
        <v>4951</v>
      </c>
    </row>
    <row r="4" spans="1:30" x14ac:dyDescent="0.45">
      <c r="A4" s="2" t="s">
        <v>3402</v>
      </c>
      <c r="B4" s="2" t="s">
        <v>3403</v>
      </c>
      <c r="C4" s="2" t="s">
        <v>3404</v>
      </c>
      <c r="D4" s="2" t="s">
        <v>3405</v>
      </c>
      <c r="E4" s="2">
        <v>2022</v>
      </c>
      <c r="F4" s="2" t="s">
        <v>3406</v>
      </c>
      <c r="G4" s="2">
        <v>607</v>
      </c>
      <c r="H4" s="2">
        <v>7918</v>
      </c>
      <c r="I4" s="2"/>
      <c r="J4" s="2">
        <v>266</v>
      </c>
      <c r="K4" s="2">
        <v>270</v>
      </c>
      <c r="L4" s="2">
        <v>142</v>
      </c>
      <c r="M4" s="2" t="s">
        <v>3407</v>
      </c>
      <c r="N4" s="2" t="s">
        <v>3408</v>
      </c>
      <c r="O4" s="2" t="s">
        <v>3409</v>
      </c>
      <c r="P4" s="2" t="s">
        <v>3410</v>
      </c>
      <c r="Q4" s="2" t="s">
        <v>3411</v>
      </c>
      <c r="R4" s="2"/>
      <c r="S4" s="2" t="s">
        <v>1589</v>
      </c>
      <c r="T4" s="2">
        <v>280836</v>
      </c>
      <c r="U4" s="2" t="s">
        <v>3412</v>
      </c>
      <c r="V4" s="2" t="s">
        <v>3413</v>
      </c>
      <c r="W4" s="2">
        <v>35831600</v>
      </c>
      <c r="X4" s="2" t="s">
        <v>1508</v>
      </c>
      <c r="Y4" s="2" t="s">
        <v>3406</v>
      </c>
      <c r="Z4" s="2" t="s">
        <v>1510</v>
      </c>
      <c r="AA4" s="2" t="s">
        <v>1511</v>
      </c>
      <c r="AB4" s="2"/>
      <c r="AC4" s="2" t="s">
        <v>1513</v>
      </c>
      <c r="AD4" s="2" t="s">
        <v>3414</v>
      </c>
    </row>
    <row r="5" spans="1:30" x14ac:dyDescent="0.45">
      <c r="A5" s="2" t="s">
        <v>2204</v>
      </c>
      <c r="B5" s="2" t="s">
        <v>2205</v>
      </c>
      <c r="C5" s="2" t="s">
        <v>2206</v>
      </c>
      <c r="D5" s="2" t="s">
        <v>2207</v>
      </c>
      <c r="E5" s="2">
        <v>2024</v>
      </c>
      <c r="F5" s="2" t="s">
        <v>2208</v>
      </c>
      <c r="G5" s="2">
        <v>12</v>
      </c>
      <c r="H5" s="2">
        <v>8</v>
      </c>
      <c r="I5" s="2"/>
      <c r="J5" s="2">
        <v>4421</v>
      </c>
      <c r="K5" s="2">
        <v>4440</v>
      </c>
      <c r="L5" s="2">
        <v>122</v>
      </c>
      <c r="M5" s="2" t="s">
        <v>2209</v>
      </c>
      <c r="N5" s="2" t="s">
        <v>2210</v>
      </c>
      <c r="O5" s="2" t="s">
        <v>2211</v>
      </c>
      <c r="P5" s="2" t="s">
        <v>2212</v>
      </c>
      <c r="Q5" s="2" t="s">
        <v>2213</v>
      </c>
      <c r="R5" s="2"/>
      <c r="S5" s="2" t="s">
        <v>1884</v>
      </c>
      <c r="T5" s="2">
        <v>20507488</v>
      </c>
      <c r="U5" s="2"/>
      <c r="V5" s="2" t="s">
        <v>2214</v>
      </c>
      <c r="W5" s="2"/>
      <c r="X5" s="2" t="s">
        <v>1508</v>
      </c>
      <c r="Y5" s="2" t="s">
        <v>2215</v>
      </c>
      <c r="Z5" s="2" t="s">
        <v>1641</v>
      </c>
      <c r="AA5" s="2" t="s">
        <v>1511</v>
      </c>
      <c r="AB5" s="2" t="s">
        <v>2216</v>
      </c>
      <c r="AC5" s="2" t="s">
        <v>1513</v>
      </c>
      <c r="AD5" s="2" t="s">
        <v>2217</v>
      </c>
    </row>
    <row r="6" spans="1:30" x14ac:dyDescent="0.45">
      <c r="A6" s="2" t="s">
        <v>3934</v>
      </c>
      <c r="B6" s="2" t="s">
        <v>3935</v>
      </c>
      <c r="C6" s="2" t="s">
        <v>3936</v>
      </c>
      <c r="D6" s="2" t="s">
        <v>20</v>
      </c>
      <c r="E6" s="2">
        <v>2021</v>
      </c>
      <c r="F6" s="2" t="s">
        <v>3937</v>
      </c>
      <c r="G6" s="2">
        <v>3</v>
      </c>
      <c r="H6" s="2">
        <v>3</v>
      </c>
      <c r="I6" s="2">
        <v>32001</v>
      </c>
      <c r="J6" s="2"/>
      <c r="K6" s="2"/>
      <c r="L6" s="2">
        <v>121</v>
      </c>
      <c r="M6" s="2" t="s">
        <v>3938</v>
      </c>
      <c r="N6" s="2" t="s">
        <v>3939</v>
      </c>
      <c r="O6" s="2" t="s">
        <v>3940</v>
      </c>
      <c r="P6" s="2" t="s">
        <v>3941</v>
      </c>
      <c r="Q6" s="2" t="s">
        <v>3942</v>
      </c>
      <c r="R6" s="2"/>
      <c r="S6" s="2" t="s">
        <v>3807</v>
      </c>
      <c r="T6" s="2"/>
      <c r="U6" s="2"/>
      <c r="V6" s="2"/>
      <c r="W6" s="2"/>
      <c r="X6" s="2" t="s">
        <v>1508</v>
      </c>
      <c r="Y6" s="2" t="s">
        <v>3943</v>
      </c>
      <c r="Z6" s="2" t="s">
        <v>1641</v>
      </c>
      <c r="AA6" s="2" t="s">
        <v>1511</v>
      </c>
      <c r="AB6" s="2" t="s">
        <v>2216</v>
      </c>
      <c r="AC6" s="2" t="s">
        <v>1513</v>
      </c>
      <c r="AD6" s="2" t="s">
        <v>3944</v>
      </c>
    </row>
    <row r="7" spans="1:30" x14ac:dyDescent="0.45">
      <c r="A7" s="2" t="s">
        <v>2551</v>
      </c>
      <c r="B7" s="2" t="s">
        <v>2552</v>
      </c>
      <c r="C7" s="2" t="s">
        <v>2553</v>
      </c>
      <c r="D7" s="2" t="s">
        <v>2554</v>
      </c>
      <c r="E7" s="2">
        <v>2023</v>
      </c>
      <c r="F7" s="2" t="s">
        <v>2555</v>
      </c>
      <c r="G7" s="2">
        <v>6</v>
      </c>
      <c r="H7" s="2">
        <v>4</v>
      </c>
      <c r="I7" s="2">
        <v>42501</v>
      </c>
      <c r="J7" s="2"/>
      <c r="K7" s="2"/>
      <c r="L7" s="2">
        <v>111</v>
      </c>
      <c r="M7" s="2" t="s">
        <v>2556</v>
      </c>
      <c r="N7" s="2" t="s">
        <v>2557</v>
      </c>
      <c r="O7" s="2" t="s">
        <v>2558</v>
      </c>
      <c r="P7" s="2" t="s">
        <v>2559</v>
      </c>
      <c r="Q7" s="2" t="s">
        <v>2560</v>
      </c>
      <c r="R7" s="2"/>
      <c r="S7" s="2" t="s">
        <v>1551</v>
      </c>
      <c r="T7" s="2"/>
      <c r="U7" s="2"/>
      <c r="V7" s="2"/>
      <c r="W7" s="2"/>
      <c r="X7" s="2" t="s">
        <v>1508</v>
      </c>
      <c r="Y7" s="2" t="s">
        <v>2561</v>
      </c>
      <c r="Z7" s="2" t="s">
        <v>1510</v>
      </c>
      <c r="AA7" s="2" t="s">
        <v>1511</v>
      </c>
      <c r="AB7" s="2" t="s">
        <v>1591</v>
      </c>
      <c r="AC7" s="2" t="s">
        <v>1513</v>
      </c>
      <c r="AD7" s="2" t="s">
        <v>2562</v>
      </c>
    </row>
    <row r="8" spans="1:30" x14ac:dyDescent="0.45">
      <c r="A8" s="2" t="s">
        <v>3856</v>
      </c>
      <c r="B8" s="2" t="s">
        <v>3857</v>
      </c>
      <c r="C8" s="2" t="s">
        <v>3858</v>
      </c>
      <c r="D8" s="2" t="s">
        <v>3859</v>
      </c>
      <c r="E8" s="2">
        <v>2021</v>
      </c>
      <c r="F8" s="2" t="s">
        <v>3860</v>
      </c>
      <c r="G8" s="2">
        <v>62</v>
      </c>
      <c r="H8" s="2">
        <v>11</v>
      </c>
      <c r="I8" s="2"/>
      <c r="J8" s="2">
        <v>1495</v>
      </c>
      <c r="K8" s="2">
        <v>1503</v>
      </c>
      <c r="L8" s="2">
        <v>104</v>
      </c>
      <c r="M8" s="2" t="s">
        <v>3861</v>
      </c>
      <c r="N8" s="2" t="s">
        <v>3862</v>
      </c>
      <c r="O8" s="2" t="s">
        <v>3863</v>
      </c>
      <c r="P8" s="2" t="s">
        <v>3864</v>
      </c>
      <c r="Q8" s="2" t="s">
        <v>3865</v>
      </c>
      <c r="R8" s="2"/>
      <c r="S8" s="2" t="s">
        <v>3866</v>
      </c>
      <c r="T8" s="2">
        <v>1615505</v>
      </c>
      <c r="U8" s="2"/>
      <c r="V8" s="2" t="s">
        <v>3867</v>
      </c>
      <c r="W8" s="2">
        <v>34301779</v>
      </c>
      <c r="X8" s="2" t="s">
        <v>1508</v>
      </c>
      <c r="Y8" s="2" t="s">
        <v>3868</v>
      </c>
      <c r="Z8" s="2" t="s">
        <v>1641</v>
      </c>
      <c r="AA8" s="2" t="s">
        <v>1511</v>
      </c>
      <c r="AB8" s="2" t="s">
        <v>3843</v>
      </c>
      <c r="AC8" s="2" t="s">
        <v>1513</v>
      </c>
      <c r="AD8" s="2" t="s">
        <v>3869</v>
      </c>
    </row>
    <row r="9" spans="1:30" x14ac:dyDescent="0.45">
      <c r="A9" s="2" t="s">
        <v>3166</v>
      </c>
      <c r="B9" s="2" t="s">
        <v>3167</v>
      </c>
      <c r="C9" s="2" t="s">
        <v>3168</v>
      </c>
      <c r="D9" s="2" t="s">
        <v>3169</v>
      </c>
      <c r="E9" s="2">
        <v>2022</v>
      </c>
      <c r="F9" s="2" t="s">
        <v>3170</v>
      </c>
      <c r="G9" s="2">
        <v>2</v>
      </c>
      <c r="H9" s="2">
        <v>1</v>
      </c>
      <c r="I9" s="2">
        <v>4</v>
      </c>
      <c r="J9" s="2"/>
      <c r="K9" s="2"/>
      <c r="L9" s="2">
        <v>90</v>
      </c>
      <c r="M9" s="2" t="s">
        <v>3171</v>
      </c>
      <c r="N9" s="2" t="s">
        <v>3172</v>
      </c>
      <c r="O9" s="2" t="s">
        <v>3173</v>
      </c>
      <c r="P9" s="2" t="s">
        <v>3174</v>
      </c>
      <c r="Q9" s="2" t="s">
        <v>3175</v>
      </c>
      <c r="R9" s="2"/>
      <c r="S9" s="2" t="s">
        <v>2366</v>
      </c>
      <c r="T9" s="2"/>
      <c r="U9" s="2"/>
      <c r="V9" s="2"/>
      <c r="W9" s="2"/>
      <c r="X9" s="2" t="s">
        <v>1508</v>
      </c>
      <c r="Y9" s="2" t="s">
        <v>3176</v>
      </c>
      <c r="Z9" s="2" t="s">
        <v>1641</v>
      </c>
      <c r="AA9" s="2" t="s">
        <v>1511</v>
      </c>
      <c r="AB9" s="2"/>
      <c r="AC9" s="2" t="s">
        <v>1513</v>
      </c>
      <c r="AD9" s="2" t="s">
        <v>3177</v>
      </c>
    </row>
    <row r="10" spans="1:30" x14ac:dyDescent="0.45">
      <c r="A10" s="2" t="s">
        <v>4752</v>
      </c>
      <c r="B10" s="2" t="s">
        <v>4753</v>
      </c>
      <c r="C10" s="2" t="s">
        <v>4754</v>
      </c>
      <c r="D10" s="2" t="s">
        <v>4755</v>
      </c>
      <c r="E10" s="2">
        <v>2020</v>
      </c>
      <c r="F10" s="2" t="s">
        <v>4756</v>
      </c>
      <c r="G10" s="2">
        <v>6</v>
      </c>
      <c r="H10" s="2">
        <v>34</v>
      </c>
      <c r="I10" s="2" t="s">
        <v>4757</v>
      </c>
      <c r="J10" s="2"/>
      <c r="K10" s="2"/>
      <c r="L10" s="2">
        <v>89</v>
      </c>
      <c r="M10" s="2" t="s">
        <v>4758</v>
      </c>
      <c r="N10" s="2" t="s">
        <v>4759</v>
      </c>
      <c r="O10" s="2" t="s">
        <v>4760</v>
      </c>
      <c r="P10" s="2" t="s">
        <v>4761</v>
      </c>
      <c r="Q10" s="2" t="s">
        <v>4762</v>
      </c>
      <c r="R10" s="2"/>
      <c r="S10" s="2" t="s">
        <v>4763</v>
      </c>
      <c r="T10" s="2"/>
      <c r="U10" s="2"/>
      <c r="V10" s="2"/>
      <c r="W10" s="2">
        <v>32937363</v>
      </c>
      <c r="X10" s="2" t="s">
        <v>1508</v>
      </c>
      <c r="Y10" s="2" t="s">
        <v>4764</v>
      </c>
      <c r="Z10" s="2" t="s">
        <v>1510</v>
      </c>
      <c r="AA10" s="2" t="s">
        <v>1511</v>
      </c>
      <c r="AB10" s="2" t="s">
        <v>1591</v>
      </c>
      <c r="AC10" s="2" t="s">
        <v>1513</v>
      </c>
      <c r="AD10" s="2" t="s">
        <v>4765</v>
      </c>
    </row>
    <row r="11" spans="1:30" x14ac:dyDescent="0.45">
      <c r="A11" s="2" t="s">
        <v>3998</v>
      </c>
      <c r="B11" s="2" t="s">
        <v>3999</v>
      </c>
      <c r="C11" s="2" t="s">
        <v>4000</v>
      </c>
      <c r="D11" s="2" t="s">
        <v>4001</v>
      </c>
      <c r="E11" s="2">
        <v>2021</v>
      </c>
      <c r="F11" s="2" t="s">
        <v>4002</v>
      </c>
      <c r="G11" s="2">
        <v>36</v>
      </c>
      <c r="H11" s="2">
        <v>2</v>
      </c>
      <c r="I11" s="2"/>
      <c r="J11" s="2">
        <v>164</v>
      </c>
      <c r="K11" s="2">
        <v>196</v>
      </c>
      <c r="L11" s="2">
        <v>82</v>
      </c>
      <c r="M11" s="2" t="s">
        <v>4003</v>
      </c>
      <c r="N11" s="2" t="s">
        <v>4004</v>
      </c>
      <c r="O11" s="2" t="s">
        <v>4005</v>
      </c>
      <c r="P11" s="2" t="s">
        <v>4006</v>
      </c>
      <c r="Q11" s="2"/>
      <c r="R11" s="2"/>
      <c r="S11" s="2" t="s">
        <v>4007</v>
      </c>
      <c r="T11" s="2">
        <v>2573032</v>
      </c>
      <c r="U11" s="2"/>
      <c r="V11" s="2"/>
      <c r="W11" s="2"/>
      <c r="X11" s="2" t="s">
        <v>1508</v>
      </c>
      <c r="Y11" s="2" t="s">
        <v>4008</v>
      </c>
      <c r="Z11" s="2" t="s">
        <v>1510</v>
      </c>
      <c r="AA11" s="2" t="s">
        <v>1511</v>
      </c>
      <c r="AB11" s="2" t="s">
        <v>2216</v>
      </c>
      <c r="AC11" s="2" t="s">
        <v>1513</v>
      </c>
      <c r="AD11" s="2" t="s">
        <v>4009</v>
      </c>
    </row>
    <row r="12" spans="1:30" x14ac:dyDescent="0.45">
      <c r="A12" s="2" t="s">
        <v>3811</v>
      </c>
      <c r="B12" s="2" t="s">
        <v>3812</v>
      </c>
      <c r="C12" s="2" t="s">
        <v>3813</v>
      </c>
      <c r="D12" s="2" t="s">
        <v>3814</v>
      </c>
      <c r="E12" s="2">
        <v>2021</v>
      </c>
      <c r="F12" s="2" t="s">
        <v>3815</v>
      </c>
      <c r="G12" s="2">
        <v>6</v>
      </c>
      <c r="H12" s="2">
        <v>1</v>
      </c>
      <c r="I12" s="2">
        <v>6</v>
      </c>
      <c r="J12" s="2"/>
      <c r="K12" s="2"/>
      <c r="L12" s="2">
        <v>79</v>
      </c>
      <c r="M12" s="2" t="s">
        <v>3816</v>
      </c>
      <c r="N12" s="2" t="s">
        <v>3817</v>
      </c>
      <c r="O12" s="2" t="s">
        <v>3818</v>
      </c>
      <c r="P12" s="2" t="s">
        <v>3819</v>
      </c>
      <c r="Q12" s="2" t="s">
        <v>3820</v>
      </c>
      <c r="R12" s="2"/>
      <c r="S12" s="2" t="s">
        <v>1577</v>
      </c>
      <c r="T12" s="2"/>
      <c r="U12" s="2"/>
      <c r="V12" s="2"/>
      <c r="W12" s="2"/>
      <c r="X12" s="2" t="s">
        <v>1508</v>
      </c>
      <c r="Y12" s="2" t="s">
        <v>3821</v>
      </c>
      <c r="Z12" s="2" t="s">
        <v>1510</v>
      </c>
      <c r="AA12" s="2" t="s">
        <v>1511</v>
      </c>
      <c r="AB12" s="2" t="s">
        <v>1591</v>
      </c>
      <c r="AC12" s="2" t="s">
        <v>1513</v>
      </c>
      <c r="AD12" s="2" t="s">
        <v>3822</v>
      </c>
    </row>
    <row r="13" spans="1:30" x14ac:dyDescent="0.45">
      <c r="A13" s="2" t="s">
        <v>2871</v>
      </c>
      <c r="B13" s="2" t="s">
        <v>2872</v>
      </c>
      <c r="C13" s="2" t="s">
        <v>2873</v>
      </c>
      <c r="D13" s="2" t="s">
        <v>42</v>
      </c>
      <c r="E13" s="2">
        <v>2023</v>
      </c>
      <c r="F13" s="2" t="s">
        <v>2874</v>
      </c>
      <c r="G13" s="2">
        <v>61</v>
      </c>
      <c r="H13" s="2"/>
      <c r="I13" s="2">
        <v>103357</v>
      </c>
      <c r="J13" s="2"/>
      <c r="K13" s="2"/>
      <c r="L13" s="2">
        <v>77</v>
      </c>
      <c r="M13" s="2" t="s">
        <v>2875</v>
      </c>
      <c r="N13" s="2" t="s">
        <v>2876</v>
      </c>
      <c r="O13" s="2" t="s">
        <v>1930</v>
      </c>
      <c r="P13" s="2" t="s">
        <v>2877</v>
      </c>
      <c r="Q13" s="2" t="s">
        <v>2355</v>
      </c>
      <c r="R13" s="2"/>
      <c r="S13" s="2" t="s">
        <v>1506</v>
      </c>
      <c r="T13" s="2"/>
      <c r="U13" s="2"/>
      <c r="V13" s="2"/>
      <c r="W13" s="2"/>
      <c r="X13" s="2" t="s">
        <v>1508</v>
      </c>
      <c r="Y13" s="2" t="s">
        <v>2878</v>
      </c>
      <c r="Z13" s="2" t="s">
        <v>1641</v>
      </c>
      <c r="AA13" s="2" t="s">
        <v>1511</v>
      </c>
      <c r="AB13" s="2"/>
      <c r="AC13" s="2" t="s">
        <v>1513</v>
      </c>
      <c r="AD13" s="2" t="s">
        <v>2879</v>
      </c>
    </row>
    <row r="14" spans="1:30" x14ac:dyDescent="0.45">
      <c r="A14" s="2" t="s">
        <v>3244</v>
      </c>
      <c r="B14" s="2" t="s">
        <v>3245</v>
      </c>
      <c r="C14" s="2" t="s">
        <v>3246</v>
      </c>
      <c r="D14" s="2" t="s">
        <v>481</v>
      </c>
      <c r="E14" s="2">
        <v>2022</v>
      </c>
      <c r="F14" s="2" t="s">
        <v>3247</v>
      </c>
      <c r="G14" s="2">
        <v>26</v>
      </c>
      <c r="H14" s="2">
        <v>5</v>
      </c>
      <c r="I14" s="2">
        <v>101016</v>
      </c>
      <c r="J14" s="2"/>
      <c r="K14" s="2"/>
      <c r="L14" s="2">
        <v>73</v>
      </c>
      <c r="M14" s="2" t="s">
        <v>3248</v>
      </c>
      <c r="N14" s="2" t="s">
        <v>3249</v>
      </c>
      <c r="O14" s="2" t="s">
        <v>3250</v>
      </c>
      <c r="P14" s="2" t="s">
        <v>3251</v>
      </c>
      <c r="Q14" s="2" t="s">
        <v>3252</v>
      </c>
      <c r="R14" s="2"/>
      <c r="S14" s="2" t="s">
        <v>1524</v>
      </c>
      <c r="T14" s="2">
        <v>13590286</v>
      </c>
      <c r="U14" s="2"/>
      <c r="V14" s="2"/>
      <c r="W14" s="2"/>
      <c r="X14" s="2" t="s">
        <v>1508</v>
      </c>
      <c r="Y14" s="2" t="s">
        <v>3253</v>
      </c>
      <c r="Z14" s="2" t="s">
        <v>1641</v>
      </c>
      <c r="AA14" s="2" t="s">
        <v>1511</v>
      </c>
      <c r="AB14" s="2"/>
      <c r="AC14" s="2" t="s">
        <v>1513</v>
      </c>
      <c r="AD14" s="2" t="s">
        <v>3254</v>
      </c>
    </row>
    <row r="15" spans="1:30" x14ac:dyDescent="0.45">
      <c r="A15" s="2" t="s">
        <v>4351</v>
      </c>
      <c r="B15" s="2" t="s">
        <v>4352</v>
      </c>
      <c r="C15" s="2" t="s">
        <v>4353</v>
      </c>
      <c r="D15" s="2" t="s">
        <v>4354</v>
      </c>
      <c r="E15" s="2">
        <v>2021</v>
      </c>
      <c r="F15" s="2" t="s">
        <v>4355</v>
      </c>
      <c r="G15" s="2">
        <v>14</v>
      </c>
      <c r="H15" s="2">
        <v>6</v>
      </c>
      <c r="I15" s="2"/>
      <c r="J15" s="2">
        <v>957</v>
      </c>
      <c r="K15" s="2">
        <v>969</v>
      </c>
      <c r="L15" s="2">
        <v>71</v>
      </c>
      <c r="M15" s="2" t="s">
        <v>4356</v>
      </c>
      <c r="N15" s="2" t="s">
        <v>4357</v>
      </c>
      <c r="O15" s="2" t="s">
        <v>4358</v>
      </c>
      <c r="P15" s="2" t="s">
        <v>4359</v>
      </c>
      <c r="Q15" s="2"/>
      <c r="R15" s="2"/>
      <c r="S15" s="2" t="s">
        <v>4360</v>
      </c>
      <c r="T15" s="2"/>
      <c r="U15" s="2"/>
      <c r="V15" s="2"/>
      <c r="W15" s="2"/>
      <c r="X15" s="2" t="s">
        <v>1508</v>
      </c>
      <c r="Y15" s="2" t="s">
        <v>4361</v>
      </c>
      <c r="Z15" s="2" t="s">
        <v>1510</v>
      </c>
      <c r="AA15" s="2" t="s">
        <v>1511</v>
      </c>
      <c r="AB15" s="2"/>
      <c r="AC15" s="2" t="s">
        <v>1513</v>
      </c>
      <c r="AD15" s="2" t="s">
        <v>4362</v>
      </c>
    </row>
    <row r="16" spans="1:30" x14ac:dyDescent="0.45">
      <c r="A16" s="2" t="s">
        <v>4475</v>
      </c>
      <c r="B16" s="2" t="s">
        <v>4476</v>
      </c>
      <c r="C16" s="2" t="s">
        <v>4477</v>
      </c>
      <c r="D16" s="2" t="s">
        <v>32</v>
      </c>
      <c r="E16" s="2">
        <v>2020</v>
      </c>
      <c r="F16" s="2" t="s">
        <v>2421</v>
      </c>
      <c r="G16" s="2">
        <v>10</v>
      </c>
      <c r="H16" s="2">
        <v>1</v>
      </c>
      <c r="I16" s="2">
        <v>18672</v>
      </c>
      <c r="J16" s="2"/>
      <c r="K16" s="2"/>
      <c r="L16" s="2">
        <v>70</v>
      </c>
      <c r="M16" s="2" t="s">
        <v>4478</v>
      </c>
      <c r="N16" s="2" t="s">
        <v>4479</v>
      </c>
      <c r="O16" s="2" t="s">
        <v>4480</v>
      </c>
      <c r="P16" s="2" t="s">
        <v>4481</v>
      </c>
      <c r="Q16" s="2" t="s">
        <v>4482</v>
      </c>
      <c r="R16" s="2"/>
      <c r="S16" s="2" t="s">
        <v>4483</v>
      </c>
      <c r="T16" s="2"/>
      <c r="U16" s="2"/>
      <c r="V16" s="2"/>
      <c r="W16" s="2">
        <v>33122759</v>
      </c>
      <c r="X16" s="2" t="s">
        <v>1508</v>
      </c>
      <c r="Y16" s="2" t="s">
        <v>2427</v>
      </c>
      <c r="Z16" s="2" t="s">
        <v>1510</v>
      </c>
      <c r="AA16" s="2" t="s">
        <v>1511</v>
      </c>
      <c r="AB16" s="2" t="s">
        <v>1591</v>
      </c>
      <c r="AC16" s="2" t="s">
        <v>1513</v>
      </c>
      <c r="AD16" s="2" t="s">
        <v>4484</v>
      </c>
    </row>
    <row r="17" spans="1:30" x14ac:dyDescent="0.45">
      <c r="A17" s="2" t="s">
        <v>5050</v>
      </c>
      <c r="B17" s="2" t="s">
        <v>5051</v>
      </c>
      <c r="C17" s="2" t="s">
        <v>5052</v>
      </c>
      <c r="D17" s="2" t="s">
        <v>5053</v>
      </c>
      <c r="E17" s="2">
        <v>2020</v>
      </c>
      <c r="F17" s="2" t="s">
        <v>5054</v>
      </c>
      <c r="G17" s="2">
        <v>10</v>
      </c>
      <c r="H17" s="2">
        <v>1</v>
      </c>
      <c r="I17" s="2"/>
      <c r="J17" s="2">
        <v>806</v>
      </c>
      <c r="K17" s="2">
        <v>817</v>
      </c>
      <c r="L17" s="2">
        <v>70</v>
      </c>
      <c r="M17" s="2" t="s">
        <v>5055</v>
      </c>
      <c r="N17" s="2" t="s">
        <v>5056</v>
      </c>
      <c r="O17" s="2" t="s">
        <v>4833</v>
      </c>
      <c r="P17" s="2" t="s">
        <v>5057</v>
      </c>
      <c r="Q17" s="2" t="s">
        <v>5058</v>
      </c>
      <c r="R17" s="2"/>
      <c r="S17" s="2" t="s">
        <v>4825</v>
      </c>
      <c r="T17" s="2">
        <v>21555435</v>
      </c>
      <c r="U17" s="2"/>
      <c r="V17" s="2" t="s">
        <v>5059</v>
      </c>
      <c r="W17" s="2"/>
      <c r="X17" s="2" t="s">
        <v>1508</v>
      </c>
      <c r="Y17" s="2" t="s">
        <v>5060</v>
      </c>
      <c r="Z17" s="2" t="s">
        <v>1510</v>
      </c>
      <c r="AA17" s="2" t="s">
        <v>1511</v>
      </c>
      <c r="AB17" s="2"/>
      <c r="AC17" s="2" t="s">
        <v>1513</v>
      </c>
      <c r="AD17" s="2" t="s">
        <v>5061</v>
      </c>
    </row>
    <row r="18" spans="1:30" x14ac:dyDescent="0.45">
      <c r="A18" s="2" t="s">
        <v>4766</v>
      </c>
      <c r="B18" s="2" t="s">
        <v>4767</v>
      </c>
      <c r="C18" s="2" t="s">
        <v>4768</v>
      </c>
      <c r="D18" s="2" t="s">
        <v>4769</v>
      </c>
      <c r="E18" s="2">
        <v>2020</v>
      </c>
      <c r="F18" s="2" t="s">
        <v>4770</v>
      </c>
      <c r="G18" s="2">
        <v>67</v>
      </c>
      <c r="H18" s="2">
        <v>3</v>
      </c>
      <c r="I18" s="2">
        <v>8643412</v>
      </c>
      <c r="J18" s="2">
        <v>783</v>
      </c>
      <c r="K18" s="2">
        <v>793</v>
      </c>
      <c r="L18" s="2">
        <v>68</v>
      </c>
      <c r="M18" s="2" t="s">
        <v>4771</v>
      </c>
      <c r="N18" s="2" t="s">
        <v>4772</v>
      </c>
      <c r="O18" s="2" t="s">
        <v>4773</v>
      </c>
      <c r="P18" s="2" t="s">
        <v>4774</v>
      </c>
      <c r="Q18" s="2" t="s">
        <v>4775</v>
      </c>
      <c r="R18" s="2"/>
      <c r="S18" s="2" t="s">
        <v>2226</v>
      </c>
      <c r="T18" s="2">
        <v>189391</v>
      </c>
      <c r="U18" s="2"/>
      <c r="V18" s="2" t="s">
        <v>4776</v>
      </c>
      <c r="W18" s="2"/>
      <c r="X18" s="2" t="s">
        <v>1508</v>
      </c>
      <c r="Y18" s="2" t="s">
        <v>4777</v>
      </c>
      <c r="Z18" s="2" t="s">
        <v>1510</v>
      </c>
      <c r="AA18" s="2" t="s">
        <v>1511</v>
      </c>
      <c r="AB18" s="2"/>
      <c r="AC18" s="2" t="s">
        <v>1513</v>
      </c>
      <c r="AD18" s="2" t="s">
        <v>4778</v>
      </c>
    </row>
    <row r="19" spans="1:30" x14ac:dyDescent="0.45">
      <c r="A19" s="2" t="s">
        <v>4569</v>
      </c>
      <c r="B19" s="2" t="s">
        <v>4570</v>
      </c>
      <c r="C19" s="2" t="s">
        <v>4571</v>
      </c>
      <c r="D19" s="2" t="s">
        <v>642</v>
      </c>
      <c r="E19" s="2">
        <v>2020</v>
      </c>
      <c r="F19" s="2" t="s">
        <v>4572</v>
      </c>
      <c r="G19" s="2">
        <v>10</v>
      </c>
      <c r="H19" s="2">
        <v>11</v>
      </c>
      <c r="I19" s="2"/>
      <c r="J19" s="2">
        <v>3999</v>
      </c>
      <c r="K19" s="2">
        <v>4011</v>
      </c>
      <c r="L19" s="2">
        <v>65</v>
      </c>
      <c r="M19" s="2" t="s">
        <v>4573</v>
      </c>
      <c r="N19" s="2" t="s">
        <v>4574</v>
      </c>
      <c r="O19" s="2" t="s">
        <v>4575</v>
      </c>
      <c r="P19" s="2" t="s">
        <v>4576</v>
      </c>
      <c r="Q19" s="2" t="s">
        <v>4075</v>
      </c>
      <c r="R19" s="2"/>
      <c r="S19" s="2" t="s">
        <v>1577</v>
      </c>
      <c r="T19" s="2">
        <v>21905509</v>
      </c>
      <c r="U19" s="2"/>
      <c r="V19" s="2"/>
      <c r="W19" s="2"/>
      <c r="X19" s="2" t="s">
        <v>1508</v>
      </c>
      <c r="Y19" s="2" t="s">
        <v>4577</v>
      </c>
      <c r="Z19" s="2" t="s">
        <v>1510</v>
      </c>
      <c r="AA19" s="2" t="s">
        <v>1511</v>
      </c>
      <c r="AB19" s="2"/>
      <c r="AC19" s="2" t="s">
        <v>1513</v>
      </c>
      <c r="AD19" s="2" t="s">
        <v>4578</v>
      </c>
    </row>
    <row r="20" spans="1:30" x14ac:dyDescent="0.45">
      <c r="A20" s="2" t="s">
        <v>2052</v>
      </c>
      <c r="B20" s="2" t="s">
        <v>2053</v>
      </c>
      <c r="C20" s="2" t="s">
        <v>2054</v>
      </c>
      <c r="D20" s="2" t="s">
        <v>466</v>
      </c>
      <c r="E20" s="2">
        <v>2024</v>
      </c>
      <c r="F20" s="2" t="s">
        <v>2055</v>
      </c>
      <c r="G20" s="2">
        <v>45</v>
      </c>
      <c r="H20" s="2">
        <v>5</v>
      </c>
      <c r="I20" s="2"/>
      <c r="J20" s="2">
        <v>406</v>
      </c>
      <c r="K20" s="2">
        <v>418</v>
      </c>
      <c r="L20" s="2">
        <v>64</v>
      </c>
      <c r="M20" s="2" t="s">
        <v>2056</v>
      </c>
      <c r="N20" s="2" t="s">
        <v>2057</v>
      </c>
      <c r="O20" s="2" t="s">
        <v>2058</v>
      </c>
      <c r="P20" s="2" t="s">
        <v>2059</v>
      </c>
      <c r="Q20" s="2"/>
      <c r="R20" s="2"/>
      <c r="S20" s="2" t="s">
        <v>1524</v>
      </c>
      <c r="T20" s="2">
        <v>1656147</v>
      </c>
      <c r="U20" s="2"/>
      <c r="V20" s="2" t="s">
        <v>2060</v>
      </c>
      <c r="W20" s="2">
        <v>38614815</v>
      </c>
      <c r="X20" s="2" t="s">
        <v>1508</v>
      </c>
      <c r="Y20" s="2" t="s">
        <v>2061</v>
      </c>
      <c r="Z20" s="2" t="s">
        <v>1641</v>
      </c>
      <c r="AA20" s="2" t="s">
        <v>1511</v>
      </c>
      <c r="AB20" s="2" t="s">
        <v>1539</v>
      </c>
      <c r="AC20" s="2" t="s">
        <v>1513</v>
      </c>
      <c r="AD20" s="2" t="s">
        <v>2062</v>
      </c>
    </row>
    <row r="21" spans="1:30" x14ac:dyDescent="0.45">
      <c r="A21" s="2" t="s">
        <v>3299</v>
      </c>
      <c r="B21" s="2" t="s">
        <v>3300</v>
      </c>
      <c r="C21" s="2" t="s">
        <v>3301</v>
      </c>
      <c r="D21" s="2" t="s">
        <v>3302</v>
      </c>
      <c r="E21" s="2">
        <v>2022</v>
      </c>
      <c r="F21" s="2" t="s">
        <v>1891</v>
      </c>
      <c r="G21" s="2">
        <v>32</v>
      </c>
      <c r="H21" s="2">
        <v>36</v>
      </c>
      <c r="I21" s="2">
        <v>2203300</v>
      </c>
      <c r="J21" s="2"/>
      <c r="K21" s="2"/>
      <c r="L21" s="2">
        <v>64</v>
      </c>
      <c r="M21" s="2" t="s">
        <v>3303</v>
      </c>
      <c r="N21" s="2" t="s">
        <v>3304</v>
      </c>
      <c r="O21" s="2" t="s">
        <v>3305</v>
      </c>
      <c r="P21" s="2" t="s">
        <v>3306</v>
      </c>
      <c r="Q21" s="2" t="s">
        <v>3307</v>
      </c>
      <c r="R21" s="2"/>
      <c r="S21" s="2" t="s">
        <v>1715</v>
      </c>
      <c r="T21" s="2" t="s">
        <v>1897</v>
      </c>
      <c r="U21" s="2"/>
      <c r="V21" s="2" t="s">
        <v>1898</v>
      </c>
      <c r="W21" s="2"/>
      <c r="X21" s="2" t="s">
        <v>1508</v>
      </c>
      <c r="Y21" s="2" t="s">
        <v>1899</v>
      </c>
      <c r="Z21" s="2" t="s">
        <v>1641</v>
      </c>
      <c r="AA21" s="2" t="s">
        <v>1511</v>
      </c>
      <c r="AB21" s="2" t="s">
        <v>1539</v>
      </c>
      <c r="AC21" s="2" t="s">
        <v>1513</v>
      </c>
      <c r="AD21" s="2" t="s">
        <v>3308</v>
      </c>
    </row>
    <row r="22" spans="1:30" x14ac:dyDescent="0.45">
      <c r="A22" s="2" t="s">
        <v>5018</v>
      </c>
      <c r="B22" s="2" t="s">
        <v>5019</v>
      </c>
      <c r="C22" s="2" t="s">
        <v>5020</v>
      </c>
      <c r="D22" s="2" t="s">
        <v>5021</v>
      </c>
      <c r="E22" s="2">
        <v>2020</v>
      </c>
      <c r="F22" s="2" t="s">
        <v>2840</v>
      </c>
      <c r="G22" s="2">
        <v>334</v>
      </c>
      <c r="H22" s="2"/>
      <c r="I22" s="2">
        <v>135575</v>
      </c>
      <c r="J22" s="2"/>
      <c r="K22" s="2"/>
      <c r="L22" s="2">
        <v>64</v>
      </c>
      <c r="M22" s="2" t="s">
        <v>5022</v>
      </c>
      <c r="N22" s="2" t="s">
        <v>5023</v>
      </c>
      <c r="O22" s="2" t="s">
        <v>5024</v>
      </c>
      <c r="P22" s="2" t="s">
        <v>5025</v>
      </c>
      <c r="Q22" s="2" t="s">
        <v>2709</v>
      </c>
      <c r="R22" s="2"/>
      <c r="S22" s="2" t="s">
        <v>1524</v>
      </c>
      <c r="T22" s="2">
        <v>134686</v>
      </c>
      <c r="U22" s="2"/>
      <c r="V22" s="2" t="s">
        <v>2845</v>
      </c>
      <c r="W22" s="2"/>
      <c r="X22" s="2" t="s">
        <v>1508</v>
      </c>
      <c r="Y22" s="2" t="s">
        <v>2846</v>
      </c>
      <c r="Z22" s="2" t="s">
        <v>1510</v>
      </c>
      <c r="AA22" s="2" t="s">
        <v>1511</v>
      </c>
      <c r="AB22" s="2"/>
      <c r="AC22" s="2" t="s">
        <v>1513</v>
      </c>
      <c r="AD22" s="2" t="s">
        <v>5026</v>
      </c>
    </row>
    <row r="23" spans="1:30" x14ac:dyDescent="0.45">
      <c r="A23" s="2" t="s">
        <v>3765</v>
      </c>
      <c r="B23" s="2" t="s">
        <v>3766</v>
      </c>
      <c r="C23" s="2" t="s">
        <v>3767</v>
      </c>
      <c r="D23" s="2" t="s">
        <v>3768</v>
      </c>
      <c r="E23" s="2">
        <v>2022</v>
      </c>
      <c r="F23" s="2" t="s">
        <v>3769</v>
      </c>
      <c r="G23" s="2">
        <v>5</v>
      </c>
      <c r="H23" s="2">
        <v>1</v>
      </c>
      <c r="I23" s="2"/>
      <c r="J23" s="2">
        <v>64</v>
      </c>
      <c r="K23" s="2">
        <v>84</v>
      </c>
      <c r="L23" s="2">
        <v>63</v>
      </c>
      <c r="M23" s="2" t="s">
        <v>3770</v>
      </c>
      <c r="N23" s="2" t="s">
        <v>3771</v>
      </c>
      <c r="O23" s="2" t="s">
        <v>3772</v>
      </c>
      <c r="P23" s="2" t="s">
        <v>3773</v>
      </c>
      <c r="Q23" s="2" t="s">
        <v>3774</v>
      </c>
      <c r="R23" s="2"/>
      <c r="S23" s="2" t="s">
        <v>1770</v>
      </c>
      <c r="T23" s="2">
        <v>20965524</v>
      </c>
      <c r="U23" s="2"/>
      <c r="V23" s="2"/>
      <c r="W23" s="2"/>
      <c r="X23" s="2" t="s">
        <v>1508</v>
      </c>
      <c r="Y23" s="2" t="s">
        <v>3775</v>
      </c>
      <c r="Z23" s="2" t="s">
        <v>1641</v>
      </c>
      <c r="AA23" s="2" t="s">
        <v>1511</v>
      </c>
      <c r="AB23" s="2"/>
      <c r="AC23" s="2" t="s">
        <v>1513</v>
      </c>
      <c r="AD23" s="2" t="s">
        <v>3776</v>
      </c>
    </row>
    <row r="24" spans="1:30" x14ac:dyDescent="0.45">
      <c r="A24" s="2" t="s">
        <v>3638</v>
      </c>
      <c r="B24" s="2" t="s">
        <v>3639</v>
      </c>
      <c r="C24" s="2" t="s">
        <v>3640</v>
      </c>
      <c r="D24" s="2" t="s">
        <v>3641</v>
      </c>
      <c r="E24" s="2">
        <v>2022</v>
      </c>
      <c r="F24" s="2" t="s">
        <v>3642</v>
      </c>
      <c r="G24" s="2">
        <v>41</v>
      </c>
      <c r="H24" s="2">
        <v>2</v>
      </c>
      <c r="I24" s="2"/>
      <c r="J24" s="2">
        <v>410</v>
      </c>
      <c r="K24" s="2">
        <v>418</v>
      </c>
      <c r="L24" s="2">
        <v>62</v>
      </c>
      <c r="M24" s="2" t="s">
        <v>3643</v>
      </c>
      <c r="N24" s="2" t="s">
        <v>3644</v>
      </c>
      <c r="O24" s="2" t="s">
        <v>3645</v>
      </c>
      <c r="P24" s="2" t="s">
        <v>3646</v>
      </c>
      <c r="Q24" s="2" t="s">
        <v>3647</v>
      </c>
      <c r="R24" s="2"/>
      <c r="S24" s="2" t="s">
        <v>1715</v>
      </c>
      <c r="T24" s="2">
        <v>9595236</v>
      </c>
      <c r="U24" s="2"/>
      <c r="V24" s="2"/>
      <c r="W24" s="2">
        <v>34347332</v>
      </c>
      <c r="X24" s="2" t="s">
        <v>1508</v>
      </c>
      <c r="Y24" s="2" t="s">
        <v>3648</v>
      </c>
      <c r="Z24" s="2" t="s">
        <v>1510</v>
      </c>
      <c r="AA24" s="2" t="s">
        <v>1511</v>
      </c>
      <c r="AB24" s="2" t="s">
        <v>1512</v>
      </c>
      <c r="AC24" s="2" t="s">
        <v>1513</v>
      </c>
      <c r="AD24" s="2" t="s">
        <v>3649</v>
      </c>
    </row>
    <row r="25" spans="1:30" x14ac:dyDescent="0.45">
      <c r="A25" s="2" t="s">
        <v>4795</v>
      </c>
      <c r="B25" s="2" t="s">
        <v>4796</v>
      </c>
      <c r="C25" s="2" t="s">
        <v>4797</v>
      </c>
      <c r="D25" s="2" t="s">
        <v>4798</v>
      </c>
      <c r="E25" s="2">
        <v>2020</v>
      </c>
      <c r="F25" s="2" t="s">
        <v>4799</v>
      </c>
      <c r="G25" s="2"/>
      <c r="H25" s="2"/>
      <c r="I25" s="2"/>
      <c r="J25" s="2">
        <v>379</v>
      </c>
      <c r="K25" s="2">
        <v>393</v>
      </c>
      <c r="L25" s="2">
        <v>61</v>
      </c>
      <c r="M25" s="2" t="s">
        <v>4800</v>
      </c>
      <c r="N25" s="2" t="s">
        <v>4801</v>
      </c>
      <c r="O25" s="2" t="s">
        <v>1758</v>
      </c>
      <c r="P25" s="2" t="s">
        <v>4802</v>
      </c>
      <c r="Q25" s="2"/>
      <c r="R25" s="2"/>
      <c r="S25" s="2" t="s">
        <v>4803</v>
      </c>
      <c r="T25" s="2"/>
      <c r="U25" s="3">
        <v>9781450000000</v>
      </c>
      <c r="V25" s="2"/>
      <c r="W25" s="2"/>
      <c r="X25" s="2" t="s">
        <v>1508</v>
      </c>
      <c r="Y25" s="2" t="s">
        <v>4804</v>
      </c>
      <c r="Z25" s="2" t="s">
        <v>1741</v>
      </c>
      <c r="AA25" s="2" t="s">
        <v>1511</v>
      </c>
      <c r="AB25" s="2"/>
      <c r="AC25" s="2" t="s">
        <v>1513</v>
      </c>
      <c r="AD25" s="2" t="s">
        <v>4805</v>
      </c>
    </row>
    <row r="26" spans="1:30" x14ac:dyDescent="0.45">
      <c r="A26" s="2" t="s">
        <v>2848</v>
      </c>
      <c r="B26" s="2" t="s">
        <v>2849</v>
      </c>
      <c r="C26" s="2" t="s">
        <v>2850</v>
      </c>
      <c r="D26" s="2" t="s">
        <v>489</v>
      </c>
      <c r="E26" s="2">
        <v>2023</v>
      </c>
      <c r="F26" s="2" t="s">
        <v>1518</v>
      </c>
      <c r="G26" s="2">
        <v>48</v>
      </c>
      <c r="H26" s="2">
        <v>5</v>
      </c>
      <c r="I26" s="2"/>
      <c r="J26" s="2">
        <v>1930</v>
      </c>
      <c r="K26" s="2">
        <v>1942</v>
      </c>
      <c r="L26" s="2">
        <v>60</v>
      </c>
      <c r="M26" s="2" t="s">
        <v>2851</v>
      </c>
      <c r="N26" s="2" t="s">
        <v>2852</v>
      </c>
      <c r="O26" s="2" t="s">
        <v>2721</v>
      </c>
      <c r="P26" s="2" t="s">
        <v>2853</v>
      </c>
      <c r="Q26" s="2" t="s">
        <v>2854</v>
      </c>
      <c r="R26" s="2"/>
      <c r="S26" s="2" t="s">
        <v>1524</v>
      </c>
      <c r="T26" s="2">
        <v>3603199</v>
      </c>
      <c r="U26" s="2">
        <v>80311393</v>
      </c>
      <c r="V26" s="2" t="s">
        <v>1525</v>
      </c>
      <c r="W26" s="2"/>
      <c r="X26" s="2" t="s">
        <v>1508</v>
      </c>
      <c r="Y26" s="2" t="s">
        <v>1526</v>
      </c>
      <c r="Z26" s="2" t="s">
        <v>1510</v>
      </c>
      <c r="AA26" s="2" t="s">
        <v>1511</v>
      </c>
      <c r="AB26" s="2"/>
      <c r="AC26" s="2" t="s">
        <v>1513</v>
      </c>
      <c r="AD26" s="2" t="s">
        <v>2855</v>
      </c>
    </row>
    <row r="27" spans="1:30" x14ac:dyDescent="0.45">
      <c r="A27" s="2" t="s">
        <v>4788</v>
      </c>
      <c r="B27" s="2" t="s">
        <v>4789</v>
      </c>
      <c r="C27" s="2" t="s">
        <v>4790</v>
      </c>
      <c r="D27" s="2" t="s">
        <v>429</v>
      </c>
      <c r="E27" s="2">
        <v>2020</v>
      </c>
      <c r="F27" s="2" t="s">
        <v>2532</v>
      </c>
      <c r="G27" s="2">
        <v>193</v>
      </c>
      <c r="H27" s="2"/>
      <c r="I27" s="2">
        <v>108797</v>
      </c>
      <c r="J27" s="2"/>
      <c r="K27" s="2"/>
      <c r="L27" s="2">
        <v>60</v>
      </c>
      <c r="M27" s="2" t="s">
        <v>4791</v>
      </c>
      <c r="N27" s="2" t="s">
        <v>4792</v>
      </c>
      <c r="O27" s="2" t="s">
        <v>2101</v>
      </c>
      <c r="P27" s="2" t="s">
        <v>4793</v>
      </c>
      <c r="Q27" s="2" t="s">
        <v>2536</v>
      </c>
      <c r="R27" s="2"/>
      <c r="S27" s="2" t="s">
        <v>1524</v>
      </c>
      <c r="T27" s="2">
        <v>2641275</v>
      </c>
      <c r="U27" s="3">
        <v>9781860000000</v>
      </c>
      <c r="V27" s="2"/>
      <c r="W27" s="2"/>
      <c r="X27" s="2" t="s">
        <v>1508</v>
      </c>
      <c r="Y27" s="2" t="s">
        <v>2537</v>
      </c>
      <c r="Z27" s="2" t="s">
        <v>1641</v>
      </c>
      <c r="AA27" s="2" t="s">
        <v>1511</v>
      </c>
      <c r="AB27" s="2" t="s">
        <v>1591</v>
      </c>
      <c r="AC27" s="2" t="s">
        <v>1513</v>
      </c>
      <c r="AD27" s="2" t="s">
        <v>4794</v>
      </c>
    </row>
    <row r="28" spans="1:30" x14ac:dyDescent="0.45">
      <c r="A28" s="2" t="s">
        <v>4157</v>
      </c>
      <c r="B28" s="2" t="s">
        <v>4158</v>
      </c>
      <c r="C28" s="2" t="s">
        <v>4159</v>
      </c>
      <c r="D28" s="2" t="s">
        <v>421</v>
      </c>
      <c r="E28" s="2">
        <v>2021</v>
      </c>
      <c r="F28" s="2" t="s">
        <v>1518</v>
      </c>
      <c r="G28" s="2">
        <v>46</v>
      </c>
      <c r="H28" s="2">
        <v>29</v>
      </c>
      <c r="I28" s="2"/>
      <c r="J28" s="2">
        <v>15807</v>
      </c>
      <c r="K28" s="2">
        <v>15819</v>
      </c>
      <c r="L28" s="2">
        <v>57</v>
      </c>
      <c r="M28" s="2" t="s">
        <v>4160</v>
      </c>
      <c r="N28" s="2" t="s">
        <v>4161</v>
      </c>
      <c r="O28" s="2" t="s">
        <v>4162</v>
      </c>
      <c r="P28" s="2" t="s">
        <v>4163</v>
      </c>
      <c r="Q28" s="2" t="s">
        <v>4075</v>
      </c>
      <c r="R28" s="2"/>
      <c r="S28" s="2" t="s">
        <v>1524</v>
      </c>
      <c r="T28" s="2">
        <v>3603199</v>
      </c>
      <c r="U28" s="2">
        <v>80311393</v>
      </c>
      <c r="V28" s="2" t="s">
        <v>1525</v>
      </c>
      <c r="W28" s="2"/>
      <c r="X28" s="2" t="s">
        <v>1508</v>
      </c>
      <c r="Y28" s="2" t="s">
        <v>1526</v>
      </c>
      <c r="Z28" s="2" t="s">
        <v>1510</v>
      </c>
      <c r="AA28" s="2" t="s">
        <v>1511</v>
      </c>
      <c r="AB28" s="2"/>
      <c r="AC28" s="2" t="s">
        <v>1513</v>
      </c>
      <c r="AD28" s="2" t="s">
        <v>4164</v>
      </c>
    </row>
    <row r="29" spans="1:30" x14ac:dyDescent="0.45">
      <c r="A29" s="2" t="s">
        <v>4412</v>
      </c>
      <c r="B29" s="2" t="s">
        <v>4413</v>
      </c>
      <c r="C29" s="2" t="s">
        <v>4414</v>
      </c>
      <c r="D29" s="2" t="s">
        <v>4415</v>
      </c>
      <c r="E29" s="2">
        <v>2020</v>
      </c>
      <c r="F29" s="2" t="s">
        <v>4416</v>
      </c>
      <c r="G29" s="2">
        <v>49</v>
      </c>
      <c r="H29" s="2">
        <v>46</v>
      </c>
      <c r="I29" s="2"/>
      <c r="J29" s="2">
        <v>16715</v>
      </c>
      <c r="K29" s="2">
        <v>16727</v>
      </c>
      <c r="L29" s="2">
        <v>57</v>
      </c>
      <c r="M29" s="2" t="s">
        <v>4417</v>
      </c>
      <c r="N29" s="2" t="s">
        <v>4418</v>
      </c>
      <c r="O29" s="2" t="s">
        <v>4419</v>
      </c>
      <c r="P29" s="2" t="s">
        <v>4420</v>
      </c>
      <c r="Q29" s="2" t="s">
        <v>4421</v>
      </c>
      <c r="R29" s="2"/>
      <c r="S29" s="2" t="s">
        <v>1884</v>
      </c>
      <c r="T29" s="2">
        <v>14779226</v>
      </c>
      <c r="U29" s="2"/>
      <c r="V29" s="2" t="s">
        <v>4422</v>
      </c>
      <c r="W29" s="2">
        <v>33185641</v>
      </c>
      <c r="X29" s="2" t="s">
        <v>1508</v>
      </c>
      <c r="Y29" s="2" t="s">
        <v>4423</v>
      </c>
      <c r="Z29" s="2" t="s">
        <v>1510</v>
      </c>
      <c r="AA29" s="2" t="s">
        <v>1511</v>
      </c>
      <c r="AB29" s="2"/>
      <c r="AC29" s="2" t="s">
        <v>1513</v>
      </c>
      <c r="AD29" s="2" t="s">
        <v>4424</v>
      </c>
    </row>
    <row r="30" spans="1:30" x14ac:dyDescent="0.45">
      <c r="A30" s="2" t="s">
        <v>4021</v>
      </c>
      <c r="B30" s="2" t="s">
        <v>4022</v>
      </c>
      <c r="C30" s="2" t="s">
        <v>4023</v>
      </c>
      <c r="D30" s="2" t="s">
        <v>77</v>
      </c>
      <c r="E30" s="2">
        <v>2021</v>
      </c>
      <c r="F30" s="2" t="s">
        <v>4024</v>
      </c>
      <c r="G30" s="2">
        <v>118</v>
      </c>
      <c r="H30" s="2"/>
      <c r="I30" s="2">
        <v>111258</v>
      </c>
      <c r="J30" s="2"/>
      <c r="K30" s="2"/>
      <c r="L30" s="2">
        <v>56</v>
      </c>
      <c r="M30" s="2" t="s">
        <v>4025</v>
      </c>
      <c r="N30" s="2" t="s">
        <v>4026</v>
      </c>
      <c r="O30" s="2" t="s">
        <v>4027</v>
      </c>
      <c r="P30" s="2" t="s">
        <v>4028</v>
      </c>
      <c r="Q30" s="2" t="s">
        <v>4029</v>
      </c>
      <c r="R30" s="2"/>
      <c r="S30" s="2" t="s">
        <v>1506</v>
      </c>
      <c r="T30" s="2">
        <v>9253467</v>
      </c>
      <c r="U30" s="2"/>
      <c r="V30" s="2" t="s">
        <v>4030</v>
      </c>
      <c r="W30" s="2"/>
      <c r="X30" s="2" t="s">
        <v>1508</v>
      </c>
      <c r="Y30" s="2" t="s">
        <v>4031</v>
      </c>
      <c r="Z30" s="2" t="s">
        <v>1510</v>
      </c>
      <c r="AA30" s="2" t="s">
        <v>1511</v>
      </c>
      <c r="AB30" s="2"/>
      <c r="AC30" s="2" t="s">
        <v>1513</v>
      </c>
      <c r="AD30" s="2" t="s">
        <v>4032</v>
      </c>
    </row>
    <row r="31" spans="1:30" x14ac:dyDescent="0.45">
      <c r="A31" s="2" t="s">
        <v>4067</v>
      </c>
      <c r="B31" s="2" t="s">
        <v>4068</v>
      </c>
      <c r="C31" s="2" t="s">
        <v>4069</v>
      </c>
      <c r="D31" s="2" t="s">
        <v>4070</v>
      </c>
      <c r="E31" s="2">
        <v>2021</v>
      </c>
      <c r="F31" s="2" t="s">
        <v>2840</v>
      </c>
      <c r="G31" s="2">
        <v>384</v>
      </c>
      <c r="H31" s="2"/>
      <c r="I31" s="2">
        <v>138358</v>
      </c>
      <c r="J31" s="2"/>
      <c r="K31" s="2"/>
      <c r="L31" s="2">
        <v>55</v>
      </c>
      <c r="M31" s="2" t="s">
        <v>4071</v>
      </c>
      <c r="N31" s="2" t="s">
        <v>4072</v>
      </c>
      <c r="O31" s="2" t="s">
        <v>4073</v>
      </c>
      <c r="P31" s="2" t="s">
        <v>4074</v>
      </c>
      <c r="Q31" s="2" t="s">
        <v>4075</v>
      </c>
      <c r="R31" s="2"/>
      <c r="S31" s="2" t="s">
        <v>1524</v>
      </c>
      <c r="T31" s="2">
        <v>134686</v>
      </c>
      <c r="U31" s="2"/>
      <c r="V31" s="2" t="s">
        <v>2845</v>
      </c>
      <c r="W31" s="2"/>
      <c r="X31" s="2" t="s">
        <v>1508</v>
      </c>
      <c r="Y31" s="2" t="s">
        <v>2846</v>
      </c>
      <c r="Z31" s="2" t="s">
        <v>1510</v>
      </c>
      <c r="AA31" s="2" t="s">
        <v>1511</v>
      </c>
      <c r="AB31" s="2"/>
      <c r="AC31" s="2" t="s">
        <v>1513</v>
      </c>
      <c r="AD31" s="2" t="s">
        <v>4076</v>
      </c>
    </row>
    <row r="32" spans="1:30" x14ac:dyDescent="0.45">
      <c r="A32" s="2" t="s">
        <v>4138</v>
      </c>
      <c r="B32" s="2" t="s">
        <v>4139</v>
      </c>
      <c r="C32" s="2" t="s">
        <v>4140</v>
      </c>
      <c r="D32" s="2" t="s">
        <v>573</v>
      </c>
      <c r="E32" s="2">
        <v>2021</v>
      </c>
      <c r="F32" s="2" t="s">
        <v>3584</v>
      </c>
      <c r="G32" s="2">
        <v>33</v>
      </c>
      <c r="H32" s="2">
        <v>19</v>
      </c>
      <c r="I32" s="2">
        <v>2002534</v>
      </c>
      <c r="J32" s="2"/>
      <c r="K32" s="2"/>
      <c r="L32" s="2">
        <v>54</v>
      </c>
      <c r="M32" s="2" t="s">
        <v>4141</v>
      </c>
      <c r="N32" s="2" t="s">
        <v>4142</v>
      </c>
      <c r="O32" s="2" t="s">
        <v>1561</v>
      </c>
      <c r="P32" s="2" t="s">
        <v>4143</v>
      </c>
      <c r="Q32" s="2" t="s">
        <v>4144</v>
      </c>
      <c r="R32" s="2"/>
      <c r="S32" s="2" t="s">
        <v>1715</v>
      </c>
      <c r="T32" s="2">
        <v>9359648</v>
      </c>
      <c r="U32" s="2"/>
      <c r="V32" s="2" t="s">
        <v>3590</v>
      </c>
      <c r="W32" s="2">
        <v>33458908</v>
      </c>
      <c r="X32" s="2" t="s">
        <v>1508</v>
      </c>
      <c r="Y32" s="2" t="s">
        <v>3591</v>
      </c>
      <c r="Z32" s="2" t="s">
        <v>1510</v>
      </c>
      <c r="AA32" s="2" t="s">
        <v>1511</v>
      </c>
      <c r="AB32" s="2"/>
      <c r="AC32" s="2" t="s">
        <v>1513</v>
      </c>
      <c r="AD32" s="2" t="s">
        <v>4145</v>
      </c>
    </row>
    <row r="33" spans="1:30" x14ac:dyDescent="0.45">
      <c r="A33" s="2" t="s">
        <v>4375</v>
      </c>
      <c r="B33" s="2" t="s">
        <v>4376</v>
      </c>
      <c r="C33" s="2" t="s">
        <v>4377</v>
      </c>
      <c r="D33" s="2" t="s">
        <v>450</v>
      </c>
      <c r="E33" s="2">
        <v>2021</v>
      </c>
      <c r="F33" s="2" t="s">
        <v>4378</v>
      </c>
      <c r="G33" s="2">
        <v>33</v>
      </c>
      <c r="H33" s="2"/>
      <c r="I33" s="2">
        <v>102020</v>
      </c>
      <c r="J33" s="2"/>
      <c r="K33" s="2"/>
      <c r="L33" s="2">
        <v>52</v>
      </c>
      <c r="M33" s="2" t="s">
        <v>4379</v>
      </c>
      <c r="N33" s="2" t="s">
        <v>4380</v>
      </c>
      <c r="O33" s="2" t="s">
        <v>4381</v>
      </c>
      <c r="P33" s="2" t="s">
        <v>4382</v>
      </c>
      <c r="Q33" s="2" t="s">
        <v>4383</v>
      </c>
      <c r="R33" s="2"/>
      <c r="S33" s="2" t="s">
        <v>1524</v>
      </c>
      <c r="T33" s="2"/>
      <c r="U33" s="2"/>
      <c r="V33" s="2"/>
      <c r="W33" s="2"/>
      <c r="X33" s="2" t="s">
        <v>1508</v>
      </c>
      <c r="Y33" s="2" t="s">
        <v>4384</v>
      </c>
      <c r="Z33" s="2" t="s">
        <v>1510</v>
      </c>
      <c r="AA33" s="2" t="s">
        <v>1511</v>
      </c>
      <c r="AB33" s="2"/>
      <c r="AC33" s="2" t="s">
        <v>1513</v>
      </c>
      <c r="AD33" s="2" t="s">
        <v>4385</v>
      </c>
    </row>
    <row r="34" spans="1:30" x14ac:dyDescent="0.45">
      <c r="A34" s="2" t="s">
        <v>3380</v>
      </c>
      <c r="B34" s="2" t="s">
        <v>3381</v>
      </c>
      <c r="C34" s="2" t="s">
        <v>3382</v>
      </c>
      <c r="D34" s="2" t="s">
        <v>3383</v>
      </c>
      <c r="E34" s="2">
        <v>2022</v>
      </c>
      <c r="F34" s="2" t="s">
        <v>3384</v>
      </c>
      <c r="G34" s="2">
        <v>52</v>
      </c>
      <c r="H34" s="2"/>
      <c r="I34" s="2">
        <v>102196</v>
      </c>
      <c r="J34" s="2"/>
      <c r="K34" s="2"/>
      <c r="L34" s="2">
        <v>51</v>
      </c>
      <c r="M34" s="2" t="s">
        <v>3385</v>
      </c>
      <c r="N34" s="2" t="s">
        <v>3386</v>
      </c>
      <c r="O34" s="2" t="s">
        <v>3387</v>
      </c>
      <c r="P34" s="2" t="s">
        <v>3388</v>
      </c>
      <c r="Q34" s="2" t="s">
        <v>3389</v>
      </c>
      <c r="R34" s="2"/>
      <c r="S34" s="2" t="s">
        <v>1524</v>
      </c>
      <c r="T34" s="2">
        <v>22131388</v>
      </c>
      <c r="U34" s="2"/>
      <c r="V34" s="2"/>
      <c r="W34" s="2"/>
      <c r="X34" s="2" t="s">
        <v>1508</v>
      </c>
      <c r="Y34" s="2" t="s">
        <v>3390</v>
      </c>
      <c r="Z34" s="2" t="s">
        <v>1641</v>
      </c>
      <c r="AA34" s="2" t="s">
        <v>1511</v>
      </c>
      <c r="AB34" s="2"/>
      <c r="AC34" s="2" t="s">
        <v>1513</v>
      </c>
      <c r="AD34" s="2" t="s">
        <v>3391</v>
      </c>
    </row>
    <row r="35" spans="1:30" x14ac:dyDescent="0.45">
      <c r="A35" s="2" t="s">
        <v>1997</v>
      </c>
      <c r="B35" s="2" t="s">
        <v>1998</v>
      </c>
      <c r="C35" s="2" t="s">
        <v>1999</v>
      </c>
      <c r="D35" s="2" t="s">
        <v>2000</v>
      </c>
      <c r="E35" s="2">
        <v>2024</v>
      </c>
      <c r="F35" s="2" t="s">
        <v>2001</v>
      </c>
      <c r="G35" s="2">
        <v>124</v>
      </c>
      <c r="H35" s="2"/>
      <c r="I35" s="2">
        <v>109504</v>
      </c>
      <c r="J35" s="2"/>
      <c r="K35" s="2"/>
      <c r="L35" s="2">
        <v>47</v>
      </c>
      <c r="M35" s="2" t="s">
        <v>2002</v>
      </c>
      <c r="N35" s="2" t="s">
        <v>2003</v>
      </c>
      <c r="O35" s="2" t="s">
        <v>2004</v>
      </c>
      <c r="P35" s="2" t="s">
        <v>2005</v>
      </c>
      <c r="Q35" s="2" t="s">
        <v>2006</v>
      </c>
      <c r="R35" s="2"/>
      <c r="S35" s="2" t="s">
        <v>1524</v>
      </c>
      <c r="T35" s="2">
        <v>22112855</v>
      </c>
      <c r="U35" s="2"/>
      <c r="V35" s="2"/>
      <c r="W35" s="2"/>
      <c r="X35" s="2" t="s">
        <v>1508</v>
      </c>
      <c r="Y35" s="2" t="s">
        <v>2001</v>
      </c>
      <c r="Z35" s="2" t="s">
        <v>1641</v>
      </c>
      <c r="AA35" s="2" t="s">
        <v>1511</v>
      </c>
      <c r="AB35" s="2" t="s">
        <v>2007</v>
      </c>
      <c r="AC35" s="2" t="s">
        <v>1513</v>
      </c>
      <c r="AD35" s="2" t="s">
        <v>2008</v>
      </c>
    </row>
    <row r="36" spans="1:30" x14ac:dyDescent="0.45">
      <c r="A36" s="2" t="s">
        <v>5009</v>
      </c>
      <c r="B36" s="2" t="s">
        <v>5010</v>
      </c>
      <c r="C36" s="2" t="s">
        <v>5011</v>
      </c>
      <c r="D36" s="2" t="s">
        <v>5012</v>
      </c>
      <c r="E36" s="2">
        <v>2020</v>
      </c>
      <c r="F36" s="2" t="s">
        <v>3677</v>
      </c>
      <c r="G36" s="2">
        <v>10</v>
      </c>
      <c r="H36" s="2">
        <v>15</v>
      </c>
      <c r="I36" s="2"/>
      <c r="J36" s="2">
        <v>8645</v>
      </c>
      <c r="K36" s="2">
        <v>8652</v>
      </c>
      <c r="L36" s="2">
        <v>45</v>
      </c>
      <c r="M36" s="2" t="s">
        <v>5013</v>
      </c>
      <c r="N36" s="2" t="s">
        <v>5014</v>
      </c>
      <c r="O36" s="2" t="s">
        <v>5015</v>
      </c>
      <c r="P36" s="2" t="s">
        <v>5016</v>
      </c>
      <c r="Q36" s="2"/>
      <c r="R36" s="2"/>
      <c r="S36" s="2" t="s">
        <v>1884</v>
      </c>
      <c r="T36" s="2"/>
      <c r="U36" s="2"/>
      <c r="V36" s="2" t="s">
        <v>3682</v>
      </c>
      <c r="W36" s="2"/>
      <c r="X36" s="2" t="s">
        <v>1508</v>
      </c>
      <c r="Y36" s="2" t="s">
        <v>3683</v>
      </c>
      <c r="Z36" s="2" t="s">
        <v>1510</v>
      </c>
      <c r="AA36" s="2" t="s">
        <v>1511</v>
      </c>
      <c r="AB36" s="2" t="s">
        <v>3156</v>
      </c>
      <c r="AC36" s="2" t="s">
        <v>1513</v>
      </c>
      <c r="AD36" s="2" t="s">
        <v>5017</v>
      </c>
    </row>
    <row r="37" spans="1:30" x14ac:dyDescent="0.45">
      <c r="A37" s="2" t="s">
        <v>3309</v>
      </c>
      <c r="B37" s="2" t="s">
        <v>3310</v>
      </c>
      <c r="C37" s="2" t="s">
        <v>3311</v>
      </c>
      <c r="D37" s="2" t="s">
        <v>666</v>
      </c>
      <c r="E37" s="2">
        <v>2022</v>
      </c>
      <c r="F37" s="2" t="s">
        <v>3281</v>
      </c>
      <c r="G37" s="2">
        <v>38</v>
      </c>
      <c r="H37" s="2">
        <v>3</v>
      </c>
      <c r="I37" s="2"/>
      <c r="J37" s="2">
        <v>336</v>
      </c>
      <c r="K37" s="2">
        <v>359</v>
      </c>
      <c r="L37" s="2">
        <v>44</v>
      </c>
      <c r="M37" s="2" t="s">
        <v>3312</v>
      </c>
      <c r="N37" s="2" t="s">
        <v>3313</v>
      </c>
      <c r="O37" s="2" t="s">
        <v>3314</v>
      </c>
      <c r="P37" s="2" t="s">
        <v>3315</v>
      </c>
      <c r="Q37" s="2" t="s">
        <v>3316</v>
      </c>
      <c r="R37" s="2"/>
      <c r="S37" s="2" t="s">
        <v>2071</v>
      </c>
      <c r="T37" s="2" t="s">
        <v>3287</v>
      </c>
      <c r="U37" s="2"/>
      <c r="V37" s="2"/>
      <c r="W37" s="2"/>
      <c r="X37" s="2" t="s">
        <v>1508</v>
      </c>
      <c r="Y37" s="2" t="s">
        <v>3288</v>
      </c>
      <c r="Z37" s="2" t="s">
        <v>1510</v>
      </c>
      <c r="AA37" s="2" t="s">
        <v>1511</v>
      </c>
      <c r="AB37" s="2" t="s">
        <v>1539</v>
      </c>
      <c r="AC37" s="2" t="s">
        <v>1513</v>
      </c>
      <c r="AD37" s="2" t="s">
        <v>3317</v>
      </c>
    </row>
    <row r="38" spans="1:30" x14ac:dyDescent="0.45">
      <c r="A38" s="2" t="s">
        <v>3544</v>
      </c>
      <c r="B38" s="2" t="s">
        <v>3545</v>
      </c>
      <c r="C38" s="2" t="s">
        <v>3546</v>
      </c>
      <c r="D38" s="2" t="s">
        <v>3547</v>
      </c>
      <c r="E38" s="2">
        <v>2022</v>
      </c>
      <c r="F38" s="2" t="s">
        <v>3548</v>
      </c>
      <c r="G38" s="2">
        <v>8</v>
      </c>
      <c r="H38" s="2">
        <v>2</v>
      </c>
      <c r="I38" s="2"/>
      <c r="J38" s="2">
        <v>223</v>
      </c>
      <c r="K38" s="2">
        <v>234</v>
      </c>
      <c r="L38" s="2">
        <v>44</v>
      </c>
      <c r="M38" s="2" t="s">
        <v>3549</v>
      </c>
      <c r="N38" s="2" t="s">
        <v>3550</v>
      </c>
      <c r="O38" s="2" t="s">
        <v>3551</v>
      </c>
      <c r="P38" s="2" t="s">
        <v>3552</v>
      </c>
      <c r="Q38" s="2" t="s">
        <v>3553</v>
      </c>
      <c r="R38" s="2"/>
      <c r="S38" s="2" t="s">
        <v>1783</v>
      </c>
      <c r="T38" s="2">
        <v>23747943</v>
      </c>
      <c r="U38" s="2"/>
      <c r="V38" s="2" t="s">
        <v>3554</v>
      </c>
      <c r="W38" s="2"/>
      <c r="X38" s="2" t="s">
        <v>1508</v>
      </c>
      <c r="Y38" s="2" t="s">
        <v>3555</v>
      </c>
      <c r="Z38" s="2" t="s">
        <v>1510</v>
      </c>
      <c r="AA38" s="2" t="s">
        <v>1511</v>
      </c>
      <c r="AB38" s="2" t="s">
        <v>1591</v>
      </c>
      <c r="AC38" s="2" t="s">
        <v>1513</v>
      </c>
      <c r="AD38" s="2" t="s">
        <v>3556</v>
      </c>
    </row>
    <row r="39" spans="1:30" x14ac:dyDescent="0.45">
      <c r="A39" s="2" t="s">
        <v>5091</v>
      </c>
      <c r="B39" s="2" t="s">
        <v>5092</v>
      </c>
      <c r="C39" s="2" t="s">
        <v>5093</v>
      </c>
      <c r="D39" s="2" t="s">
        <v>5094</v>
      </c>
      <c r="E39" s="2">
        <v>2020</v>
      </c>
      <c r="F39" s="2" t="s">
        <v>5095</v>
      </c>
      <c r="G39" s="2" t="s">
        <v>5096</v>
      </c>
      <c r="H39" s="2"/>
      <c r="I39" s="2"/>
      <c r="J39" s="2">
        <v>351</v>
      </c>
      <c r="K39" s="2">
        <v>368</v>
      </c>
      <c r="L39" s="2">
        <v>44</v>
      </c>
      <c r="M39" s="2" t="s">
        <v>5097</v>
      </c>
      <c r="N39" s="2" t="s">
        <v>5098</v>
      </c>
      <c r="O39" s="2" t="s">
        <v>5099</v>
      </c>
      <c r="P39" s="2" t="s">
        <v>5100</v>
      </c>
      <c r="Q39" s="2" t="s">
        <v>5101</v>
      </c>
      <c r="R39" s="2" t="s">
        <v>5102</v>
      </c>
      <c r="S39" s="2" t="s">
        <v>1577</v>
      </c>
      <c r="T39" s="2">
        <v>3029743</v>
      </c>
      <c r="U39" s="2" t="s">
        <v>5103</v>
      </c>
      <c r="V39" s="2"/>
      <c r="W39" s="2"/>
      <c r="X39" s="2" t="s">
        <v>1508</v>
      </c>
      <c r="Y39" s="2" t="s">
        <v>5104</v>
      </c>
      <c r="Z39" s="2" t="s">
        <v>1741</v>
      </c>
      <c r="AA39" s="2" t="s">
        <v>1511</v>
      </c>
      <c r="AB39" s="2"/>
      <c r="AC39" s="2" t="s">
        <v>1513</v>
      </c>
      <c r="AD39" s="2" t="s">
        <v>5105</v>
      </c>
    </row>
    <row r="40" spans="1:30" x14ac:dyDescent="0.45">
      <c r="A40" s="2" t="s">
        <v>1774</v>
      </c>
      <c r="B40" s="2" t="s">
        <v>1775</v>
      </c>
      <c r="C40" s="2" t="s">
        <v>1776</v>
      </c>
      <c r="D40" s="2" t="s">
        <v>598</v>
      </c>
      <c r="E40" s="2">
        <v>2024</v>
      </c>
      <c r="F40" s="2" t="s">
        <v>1777</v>
      </c>
      <c r="G40" s="2">
        <v>9</v>
      </c>
      <c r="H40" s="2">
        <v>9</v>
      </c>
      <c r="I40" s="2"/>
      <c r="J40" s="2">
        <v>4536</v>
      </c>
      <c r="K40" s="2">
        <v>4554</v>
      </c>
      <c r="L40" s="2">
        <v>43</v>
      </c>
      <c r="M40" s="2" t="s">
        <v>1778</v>
      </c>
      <c r="N40" s="2" t="s">
        <v>1779</v>
      </c>
      <c r="O40" s="2" t="s">
        <v>1780</v>
      </c>
      <c r="P40" s="2" t="s">
        <v>1781</v>
      </c>
      <c r="Q40" s="2" t="s">
        <v>1782</v>
      </c>
      <c r="R40" s="2"/>
      <c r="S40" s="2" t="s">
        <v>1783</v>
      </c>
      <c r="T40" s="2"/>
      <c r="U40" s="2"/>
      <c r="V40" s="2"/>
      <c r="W40" s="2">
        <v>39284075</v>
      </c>
      <c r="X40" s="2" t="s">
        <v>1508</v>
      </c>
      <c r="Y40" s="2" t="s">
        <v>1777</v>
      </c>
      <c r="Z40" s="2" t="s">
        <v>1641</v>
      </c>
      <c r="AA40" s="2" t="s">
        <v>1511</v>
      </c>
      <c r="AB40" s="2"/>
      <c r="AC40" s="2" t="s">
        <v>1513</v>
      </c>
      <c r="AD40" s="2" t="s">
        <v>1784</v>
      </c>
    </row>
    <row r="41" spans="1:30" x14ac:dyDescent="0.45">
      <c r="A41" s="2" t="s">
        <v>2815</v>
      </c>
      <c r="B41" s="2" t="s">
        <v>2816</v>
      </c>
      <c r="C41" s="2" t="s">
        <v>2817</v>
      </c>
      <c r="D41" s="2" t="s">
        <v>2818</v>
      </c>
      <c r="E41" s="2">
        <v>2023</v>
      </c>
      <c r="F41" s="2" t="s">
        <v>2819</v>
      </c>
      <c r="G41" s="2">
        <v>18</v>
      </c>
      <c r="H41" s="2">
        <v>2</v>
      </c>
      <c r="I41" s="2"/>
      <c r="J41" s="2">
        <v>131</v>
      </c>
      <c r="K41" s="2">
        <v>136</v>
      </c>
      <c r="L41" s="2">
        <v>41</v>
      </c>
      <c r="M41" s="2" t="s">
        <v>2820</v>
      </c>
      <c r="N41" s="2" t="s">
        <v>2821</v>
      </c>
      <c r="O41" s="2" t="s">
        <v>2822</v>
      </c>
      <c r="P41" s="2" t="s">
        <v>2823</v>
      </c>
      <c r="Q41" s="2" t="s">
        <v>2824</v>
      </c>
      <c r="R41" s="2"/>
      <c r="S41" s="2" t="s">
        <v>1589</v>
      </c>
      <c r="T41" s="2">
        <v>17483387</v>
      </c>
      <c r="U41" s="2"/>
      <c r="V41" s="2"/>
      <c r="W41" s="2">
        <v>36635331</v>
      </c>
      <c r="X41" s="2" t="s">
        <v>1508</v>
      </c>
      <c r="Y41" s="2" t="s">
        <v>2825</v>
      </c>
      <c r="Z41" s="2" t="s">
        <v>1510</v>
      </c>
      <c r="AA41" s="2" t="s">
        <v>1511</v>
      </c>
      <c r="AB41" s="2"/>
      <c r="AC41" s="2" t="s">
        <v>1513</v>
      </c>
      <c r="AD41" s="2" t="s">
        <v>2826</v>
      </c>
    </row>
    <row r="42" spans="1:30" x14ac:dyDescent="0.45">
      <c r="A42" s="2" t="s">
        <v>4188</v>
      </c>
      <c r="B42" s="2" t="s">
        <v>4189</v>
      </c>
      <c r="C42" s="2" t="s">
        <v>4190</v>
      </c>
      <c r="D42" s="2" t="s">
        <v>4191</v>
      </c>
      <c r="E42" s="2">
        <v>2021</v>
      </c>
      <c r="F42" s="2" t="s">
        <v>2680</v>
      </c>
      <c r="G42" s="2">
        <v>6</v>
      </c>
      <c r="H42" s="2">
        <v>3</v>
      </c>
      <c r="I42" s="2">
        <v>2000938</v>
      </c>
      <c r="J42" s="2"/>
      <c r="K42" s="2"/>
      <c r="L42" s="2">
        <v>41</v>
      </c>
      <c r="M42" s="2" t="s">
        <v>4192</v>
      </c>
      <c r="N42" s="2" t="s">
        <v>4193</v>
      </c>
      <c r="O42" s="2" t="s">
        <v>1561</v>
      </c>
      <c r="P42" s="2" t="s">
        <v>4194</v>
      </c>
      <c r="Q42" s="2" t="s">
        <v>1550</v>
      </c>
      <c r="R42" s="2"/>
      <c r="S42" s="2" t="s">
        <v>1715</v>
      </c>
      <c r="T42" s="2"/>
      <c r="U42" s="2"/>
      <c r="V42" s="2"/>
      <c r="W42" s="2"/>
      <c r="X42" s="2" t="s">
        <v>1508</v>
      </c>
      <c r="Y42" s="2" t="s">
        <v>2685</v>
      </c>
      <c r="Z42" s="2" t="s">
        <v>1510</v>
      </c>
      <c r="AA42" s="2" t="s">
        <v>1511</v>
      </c>
      <c r="AB42" s="2"/>
      <c r="AC42" s="2" t="s">
        <v>1513</v>
      </c>
      <c r="AD42" s="2" t="s">
        <v>4195</v>
      </c>
    </row>
    <row r="43" spans="1:30" x14ac:dyDescent="0.45">
      <c r="A43" s="2" t="s">
        <v>3178</v>
      </c>
      <c r="B43" s="2" t="s">
        <v>3179</v>
      </c>
      <c r="C43" s="2" t="s">
        <v>3180</v>
      </c>
      <c r="D43" s="2" t="s">
        <v>60</v>
      </c>
      <c r="E43" s="2">
        <v>2022</v>
      </c>
      <c r="F43" s="2" t="s">
        <v>1596</v>
      </c>
      <c r="G43" s="2">
        <v>6</v>
      </c>
      <c r="H43" s="2">
        <v>1</v>
      </c>
      <c r="I43" s="2">
        <v>5</v>
      </c>
      <c r="J43" s="2"/>
      <c r="K43" s="2"/>
      <c r="L43" s="2">
        <v>39</v>
      </c>
      <c r="M43" s="2" t="s">
        <v>3181</v>
      </c>
      <c r="N43" s="2" t="s">
        <v>3182</v>
      </c>
      <c r="O43" s="2" t="s">
        <v>1561</v>
      </c>
      <c r="P43" s="2" t="s">
        <v>3183</v>
      </c>
      <c r="Q43" s="2" t="s">
        <v>2536</v>
      </c>
      <c r="R43" s="2"/>
      <c r="S43" s="2" t="s">
        <v>1589</v>
      </c>
      <c r="T43" s="2"/>
      <c r="U43" s="2"/>
      <c r="V43" s="2"/>
      <c r="W43" s="2"/>
      <c r="X43" s="2" t="s">
        <v>1508</v>
      </c>
      <c r="Y43" s="2" t="s">
        <v>1602</v>
      </c>
      <c r="Z43" s="2" t="s">
        <v>1510</v>
      </c>
      <c r="AA43" s="2" t="s">
        <v>1511</v>
      </c>
      <c r="AB43" s="2" t="s">
        <v>1591</v>
      </c>
      <c r="AC43" s="2" t="s">
        <v>1513</v>
      </c>
      <c r="AD43" s="2" t="s">
        <v>3184</v>
      </c>
    </row>
    <row r="44" spans="1:30" x14ac:dyDescent="0.45">
      <c r="A44" s="2" t="s">
        <v>4741</v>
      </c>
      <c r="B44" s="2" t="s">
        <v>4742</v>
      </c>
      <c r="C44" s="2" t="s">
        <v>4743</v>
      </c>
      <c r="D44" s="2" t="s">
        <v>406</v>
      </c>
      <c r="E44" s="2">
        <v>2020</v>
      </c>
      <c r="F44" s="2" t="s">
        <v>4744</v>
      </c>
      <c r="G44" s="2">
        <v>163</v>
      </c>
      <c r="H44" s="2"/>
      <c r="I44" s="2"/>
      <c r="J44" s="2">
        <v>425</v>
      </c>
      <c r="K44" s="2">
        <v>440</v>
      </c>
      <c r="L44" s="2">
        <v>38</v>
      </c>
      <c r="M44" s="2" t="s">
        <v>4745</v>
      </c>
      <c r="N44" s="2" t="s">
        <v>4746</v>
      </c>
      <c r="O44" s="2" t="s">
        <v>4747</v>
      </c>
      <c r="P44" s="2" t="s">
        <v>4748</v>
      </c>
      <c r="Q44" s="2" t="s">
        <v>4749</v>
      </c>
      <c r="R44" s="2"/>
      <c r="S44" s="2" t="s">
        <v>1524</v>
      </c>
      <c r="T44" s="2">
        <v>86223</v>
      </c>
      <c r="U44" s="2"/>
      <c r="V44" s="2" t="s">
        <v>4750</v>
      </c>
      <c r="W44" s="2"/>
      <c r="X44" s="2" t="s">
        <v>1508</v>
      </c>
      <c r="Y44" s="2" t="s">
        <v>4744</v>
      </c>
      <c r="Z44" s="2" t="s">
        <v>1510</v>
      </c>
      <c r="AA44" s="2" t="s">
        <v>1511</v>
      </c>
      <c r="AB44" s="2"/>
      <c r="AC44" s="2" t="s">
        <v>1513</v>
      </c>
      <c r="AD44" s="2" t="s">
        <v>4751</v>
      </c>
    </row>
    <row r="45" spans="1:30" x14ac:dyDescent="0.45">
      <c r="A45" s="2" t="s">
        <v>4497</v>
      </c>
      <c r="B45" s="2" t="s">
        <v>4498</v>
      </c>
      <c r="C45" s="2" t="s">
        <v>4499</v>
      </c>
      <c r="D45" s="2" t="s">
        <v>4500</v>
      </c>
      <c r="E45" s="2">
        <v>2020</v>
      </c>
      <c r="F45" s="2" t="s">
        <v>4501</v>
      </c>
      <c r="G45" s="2">
        <v>27</v>
      </c>
      <c r="H45" s="2">
        <v>4</v>
      </c>
      <c r="I45" s="2"/>
      <c r="J45" s="2">
        <v>887</v>
      </c>
      <c r="K45" s="2">
        <v>928</v>
      </c>
      <c r="L45" s="2">
        <v>37</v>
      </c>
      <c r="M45" s="2" t="s">
        <v>4502</v>
      </c>
      <c r="N45" s="2" t="s">
        <v>4503</v>
      </c>
      <c r="O45" s="2" t="s">
        <v>4504</v>
      </c>
      <c r="P45" s="2" t="s">
        <v>4505</v>
      </c>
      <c r="Q45" s="2" t="s">
        <v>4506</v>
      </c>
      <c r="R45" s="2"/>
      <c r="S45" s="2" t="s">
        <v>1770</v>
      </c>
      <c r="T45" s="2">
        <v>10725369</v>
      </c>
      <c r="U45" s="2"/>
      <c r="V45" s="2"/>
      <c r="W45" s="2"/>
      <c r="X45" s="2" t="s">
        <v>1508</v>
      </c>
      <c r="Y45" s="2" t="s">
        <v>4507</v>
      </c>
      <c r="Z45" s="2" t="s">
        <v>1510</v>
      </c>
      <c r="AA45" s="2" t="s">
        <v>1511</v>
      </c>
      <c r="AB45" s="2" t="s">
        <v>1512</v>
      </c>
      <c r="AC45" s="2" t="s">
        <v>1513</v>
      </c>
      <c r="AD45" s="2" t="s">
        <v>4508</v>
      </c>
    </row>
    <row r="46" spans="1:30" x14ac:dyDescent="0.45">
      <c r="A46" s="2" t="s">
        <v>4707</v>
      </c>
      <c r="B46" s="2" t="s">
        <v>4708</v>
      </c>
      <c r="C46" s="2" t="s">
        <v>4709</v>
      </c>
      <c r="D46" s="2" t="s">
        <v>4710</v>
      </c>
      <c r="E46" s="2">
        <v>2020</v>
      </c>
      <c r="F46" s="2" t="s">
        <v>4711</v>
      </c>
      <c r="G46" s="2">
        <v>285</v>
      </c>
      <c r="H46" s="2">
        <v>2</v>
      </c>
      <c r="I46" s="2"/>
      <c r="J46" s="2">
        <v>513</v>
      </c>
      <c r="K46" s="2">
        <v>537</v>
      </c>
      <c r="L46" s="2">
        <v>37</v>
      </c>
      <c r="M46" s="2" t="s">
        <v>4712</v>
      </c>
      <c r="N46" s="2" t="s">
        <v>4713</v>
      </c>
      <c r="O46" s="2" t="s">
        <v>4714</v>
      </c>
      <c r="P46" s="2" t="s">
        <v>4715</v>
      </c>
      <c r="Q46" s="2" t="s">
        <v>4716</v>
      </c>
      <c r="R46" s="2"/>
      <c r="S46" s="2" t="s">
        <v>1506</v>
      </c>
      <c r="T46" s="2">
        <v>3772217</v>
      </c>
      <c r="U46" s="2"/>
      <c r="V46" s="2" t="s">
        <v>4717</v>
      </c>
      <c r="W46" s="2"/>
      <c r="X46" s="2" t="s">
        <v>1508</v>
      </c>
      <c r="Y46" s="2" t="s">
        <v>4718</v>
      </c>
      <c r="Z46" s="2" t="s">
        <v>1510</v>
      </c>
      <c r="AA46" s="2" t="s">
        <v>1511</v>
      </c>
      <c r="AB46" s="2"/>
      <c r="AC46" s="2" t="s">
        <v>1513</v>
      </c>
      <c r="AD46" s="2" t="s">
        <v>4719</v>
      </c>
    </row>
    <row r="47" spans="1:30" x14ac:dyDescent="0.45">
      <c r="A47" s="2" t="s">
        <v>4720</v>
      </c>
      <c r="B47" s="2" t="s">
        <v>4721</v>
      </c>
      <c r="C47" s="2" t="s">
        <v>4722</v>
      </c>
      <c r="D47" s="2" t="s">
        <v>798</v>
      </c>
      <c r="E47" s="2">
        <v>2020</v>
      </c>
      <c r="F47" s="2" t="s">
        <v>4723</v>
      </c>
      <c r="G47" s="2">
        <v>11</v>
      </c>
      <c r="H47" s="2"/>
      <c r="I47" s="2">
        <v>813</v>
      </c>
      <c r="J47" s="2"/>
      <c r="K47" s="2"/>
      <c r="L47" s="2">
        <v>37</v>
      </c>
      <c r="M47" s="2" t="s">
        <v>4724</v>
      </c>
      <c r="N47" s="2" t="s">
        <v>4725</v>
      </c>
      <c r="O47" s="2" t="s">
        <v>4726</v>
      </c>
      <c r="P47" s="2" t="s">
        <v>4727</v>
      </c>
      <c r="Q47" s="2" t="s">
        <v>4728</v>
      </c>
      <c r="R47" s="2"/>
      <c r="S47" s="2" t="s">
        <v>4729</v>
      </c>
      <c r="T47" s="2"/>
      <c r="U47" s="2"/>
      <c r="V47" s="2"/>
      <c r="W47" s="2"/>
      <c r="X47" s="2" t="s">
        <v>1508</v>
      </c>
      <c r="Y47" s="2" t="s">
        <v>4730</v>
      </c>
      <c r="Z47" s="2" t="s">
        <v>1510</v>
      </c>
      <c r="AA47" s="2" t="s">
        <v>1511</v>
      </c>
      <c r="AB47" s="2" t="s">
        <v>1591</v>
      </c>
      <c r="AC47" s="2" t="s">
        <v>1513</v>
      </c>
      <c r="AD47" s="2" t="s">
        <v>4731</v>
      </c>
    </row>
    <row r="48" spans="1:30" x14ac:dyDescent="0.45">
      <c r="A48" s="2" t="s">
        <v>3797</v>
      </c>
      <c r="B48" s="2" t="s">
        <v>3798</v>
      </c>
      <c r="C48" s="2" t="s">
        <v>3799</v>
      </c>
      <c r="D48" s="2" t="s">
        <v>3800</v>
      </c>
      <c r="E48" s="2">
        <v>2021</v>
      </c>
      <c r="F48" s="2" t="s">
        <v>3801</v>
      </c>
      <c r="G48" s="2">
        <v>96</v>
      </c>
      <c r="H48" s="2">
        <v>12</v>
      </c>
      <c r="I48" s="2">
        <v>125706</v>
      </c>
      <c r="J48" s="2"/>
      <c r="K48" s="2"/>
      <c r="L48" s="2">
        <v>36</v>
      </c>
      <c r="M48" s="2" t="s">
        <v>3802</v>
      </c>
      <c r="N48" s="2" t="s">
        <v>3803</v>
      </c>
      <c r="O48" s="2" t="s">
        <v>3804</v>
      </c>
      <c r="P48" s="2" t="s">
        <v>3805</v>
      </c>
      <c r="Q48" s="2" t="s">
        <v>3806</v>
      </c>
      <c r="R48" s="2"/>
      <c r="S48" s="2" t="s">
        <v>3807</v>
      </c>
      <c r="T48" s="2">
        <v>318949</v>
      </c>
      <c r="U48" s="2"/>
      <c r="V48" s="2" t="s">
        <v>3808</v>
      </c>
      <c r="W48" s="2"/>
      <c r="X48" s="2" t="s">
        <v>1508</v>
      </c>
      <c r="Y48" s="2" t="s">
        <v>3809</v>
      </c>
      <c r="Z48" s="2" t="s">
        <v>1510</v>
      </c>
      <c r="AA48" s="2" t="s">
        <v>1511</v>
      </c>
      <c r="AB48" s="2"/>
      <c r="AC48" s="2" t="s">
        <v>1513</v>
      </c>
      <c r="AD48" s="2" t="s">
        <v>3810</v>
      </c>
    </row>
    <row r="49" spans="1:30" x14ac:dyDescent="0.45">
      <c r="A49" s="2" t="s">
        <v>4114</v>
      </c>
      <c r="B49" s="2" t="s">
        <v>4115</v>
      </c>
      <c r="C49" s="2">
        <v>57193081269</v>
      </c>
      <c r="D49" s="2" t="s">
        <v>4116</v>
      </c>
      <c r="E49" s="2">
        <v>2021</v>
      </c>
      <c r="F49" s="2" t="s">
        <v>4117</v>
      </c>
      <c r="G49" s="2">
        <v>15</v>
      </c>
      <c r="H49" s="2">
        <v>2</v>
      </c>
      <c r="I49" s="2"/>
      <c r="J49" s="2">
        <v>1537</v>
      </c>
      <c r="K49" s="2">
        <v>1545</v>
      </c>
      <c r="L49" s="2">
        <v>36</v>
      </c>
      <c r="M49" s="2" t="s">
        <v>4118</v>
      </c>
      <c r="N49" s="2" t="s">
        <v>4119</v>
      </c>
      <c r="O49" s="2" t="s">
        <v>4120</v>
      </c>
      <c r="P49" s="2" t="s">
        <v>4121</v>
      </c>
      <c r="Q49" s="2" t="s">
        <v>4122</v>
      </c>
      <c r="R49" s="2"/>
      <c r="S49" s="2" t="s">
        <v>4007</v>
      </c>
      <c r="T49" s="2">
        <v>17524512</v>
      </c>
      <c r="U49" s="2"/>
      <c r="V49" s="2"/>
      <c r="W49" s="2"/>
      <c r="X49" s="2" t="s">
        <v>1508</v>
      </c>
      <c r="Y49" s="2" t="s">
        <v>4123</v>
      </c>
      <c r="Z49" s="2" t="s">
        <v>1641</v>
      </c>
      <c r="AA49" s="2" t="s">
        <v>1511</v>
      </c>
      <c r="AB49" s="2"/>
      <c r="AC49" s="2" t="s">
        <v>1513</v>
      </c>
      <c r="AD49" s="2" t="s">
        <v>4124</v>
      </c>
    </row>
    <row r="50" spans="1:30" x14ac:dyDescent="0.45">
      <c r="A50" s="2" t="s">
        <v>2539</v>
      </c>
      <c r="B50" s="2" t="s">
        <v>2540</v>
      </c>
      <c r="C50" s="2" t="s">
        <v>2541</v>
      </c>
      <c r="D50" s="2" t="s">
        <v>127</v>
      </c>
      <c r="E50" s="2">
        <v>2023</v>
      </c>
      <c r="F50" s="2" t="s">
        <v>2542</v>
      </c>
      <c r="G50" s="2">
        <v>167</v>
      </c>
      <c r="H50" s="2"/>
      <c r="I50" s="2">
        <v>117223</v>
      </c>
      <c r="J50" s="2"/>
      <c r="K50" s="2"/>
      <c r="L50" s="2">
        <v>35</v>
      </c>
      <c r="M50" s="2" t="s">
        <v>2543</v>
      </c>
      <c r="N50" s="2" t="s">
        <v>2544</v>
      </c>
      <c r="O50" s="2" t="s">
        <v>2545</v>
      </c>
      <c r="P50" s="2" t="s">
        <v>2546</v>
      </c>
      <c r="Q50" s="2" t="s">
        <v>2547</v>
      </c>
      <c r="R50" s="2"/>
      <c r="S50" s="2" t="s">
        <v>1506</v>
      </c>
      <c r="T50" s="2">
        <v>1659936</v>
      </c>
      <c r="U50" s="2"/>
      <c r="V50" s="2" t="s">
        <v>2548</v>
      </c>
      <c r="W50" s="2"/>
      <c r="X50" s="2" t="s">
        <v>1508</v>
      </c>
      <c r="Y50" s="2" t="s">
        <v>2549</v>
      </c>
      <c r="Z50" s="2" t="s">
        <v>1641</v>
      </c>
      <c r="AA50" s="2" t="s">
        <v>1511</v>
      </c>
      <c r="AB50" s="2" t="s">
        <v>2007</v>
      </c>
      <c r="AC50" s="2" t="s">
        <v>1513</v>
      </c>
      <c r="AD50" s="2" t="s">
        <v>2550</v>
      </c>
    </row>
    <row r="51" spans="1:30" x14ac:dyDescent="0.45">
      <c r="A51" s="2" t="s">
        <v>4090</v>
      </c>
      <c r="B51" s="2" t="s">
        <v>4091</v>
      </c>
      <c r="C51" s="2" t="s">
        <v>4092</v>
      </c>
      <c r="D51" s="2" t="s">
        <v>4093</v>
      </c>
      <c r="E51" s="2">
        <v>2021</v>
      </c>
      <c r="F51" s="2" t="s">
        <v>4094</v>
      </c>
      <c r="G51" s="2">
        <v>3</v>
      </c>
      <c r="H51" s="2">
        <v>6</v>
      </c>
      <c r="I51" s="2"/>
      <c r="J51" s="2">
        <v>2423</v>
      </c>
      <c r="K51" s="2">
        <v>2433</v>
      </c>
      <c r="L51" s="2">
        <v>35</v>
      </c>
      <c r="M51" s="2" t="s">
        <v>4095</v>
      </c>
      <c r="N51" s="2" t="s">
        <v>4096</v>
      </c>
      <c r="O51" s="2" t="s">
        <v>4097</v>
      </c>
      <c r="P51" s="2" t="s">
        <v>4098</v>
      </c>
      <c r="Q51" s="2" t="s">
        <v>1550</v>
      </c>
      <c r="R51" s="2"/>
      <c r="S51" s="2" t="s">
        <v>1783</v>
      </c>
      <c r="T51" s="2"/>
      <c r="U51" s="2"/>
      <c r="V51" s="2"/>
      <c r="W51" s="2"/>
      <c r="X51" s="2" t="s">
        <v>1508</v>
      </c>
      <c r="Y51" s="2" t="s">
        <v>4099</v>
      </c>
      <c r="Z51" s="2" t="s">
        <v>1641</v>
      </c>
      <c r="AA51" s="2" t="s">
        <v>1511</v>
      </c>
      <c r="AB51" s="2"/>
      <c r="AC51" s="2" t="s">
        <v>1513</v>
      </c>
      <c r="AD51" s="2" t="s">
        <v>4100</v>
      </c>
    </row>
    <row r="52" spans="1:30" x14ac:dyDescent="0.45">
      <c r="A52" s="2" t="s">
        <v>3158</v>
      </c>
      <c r="B52" s="2" t="s">
        <v>3159</v>
      </c>
      <c r="C52" s="2" t="s">
        <v>3160</v>
      </c>
      <c r="D52" s="2" t="s">
        <v>635</v>
      </c>
      <c r="E52" s="2">
        <v>2022</v>
      </c>
      <c r="F52" s="2" t="s">
        <v>2421</v>
      </c>
      <c r="G52" s="2">
        <v>12</v>
      </c>
      <c r="H52" s="2">
        <v>1</v>
      </c>
      <c r="I52" s="2">
        <v>14867</v>
      </c>
      <c r="J52" s="2"/>
      <c r="K52" s="2"/>
      <c r="L52" s="2">
        <v>34</v>
      </c>
      <c r="M52" s="2" t="s">
        <v>3161</v>
      </c>
      <c r="N52" s="2" t="s">
        <v>3162</v>
      </c>
      <c r="O52" s="2" t="s">
        <v>1561</v>
      </c>
      <c r="P52" s="2" t="s">
        <v>3163</v>
      </c>
      <c r="Q52" s="2" t="s">
        <v>3164</v>
      </c>
      <c r="R52" s="2"/>
      <c r="S52" s="2" t="s">
        <v>1589</v>
      </c>
      <c r="T52" s="2"/>
      <c r="U52" s="2"/>
      <c r="V52" s="2"/>
      <c r="W52" s="2">
        <v>36050409</v>
      </c>
      <c r="X52" s="2" t="s">
        <v>1508</v>
      </c>
      <c r="Y52" s="2" t="s">
        <v>2427</v>
      </c>
      <c r="Z52" s="2" t="s">
        <v>1510</v>
      </c>
      <c r="AA52" s="2" t="s">
        <v>1511</v>
      </c>
      <c r="AB52" s="2" t="s">
        <v>1591</v>
      </c>
      <c r="AC52" s="2" t="s">
        <v>1513</v>
      </c>
      <c r="AD52" s="2" t="s">
        <v>3165</v>
      </c>
    </row>
    <row r="53" spans="1:30" x14ac:dyDescent="0.45">
      <c r="A53" s="2" t="s">
        <v>2563</v>
      </c>
      <c r="B53" s="2" t="s">
        <v>2564</v>
      </c>
      <c r="C53" s="2" t="s">
        <v>2565</v>
      </c>
      <c r="D53" s="2" t="s">
        <v>2566</v>
      </c>
      <c r="E53" s="2">
        <v>2023</v>
      </c>
      <c r="F53" s="2" t="s">
        <v>2567</v>
      </c>
      <c r="G53" s="2">
        <v>17</v>
      </c>
      <c r="H53" s="2">
        <v>18</v>
      </c>
      <c r="I53" s="2"/>
      <c r="J53" s="2">
        <v>17884</v>
      </c>
      <c r="K53" s="2">
        <v>17896</v>
      </c>
      <c r="L53" s="2">
        <v>33</v>
      </c>
      <c r="M53" s="2" t="s">
        <v>2568</v>
      </c>
      <c r="N53" s="2" t="s">
        <v>2569</v>
      </c>
      <c r="O53" s="2" t="s">
        <v>2570</v>
      </c>
      <c r="P53" s="2" t="s">
        <v>2571</v>
      </c>
      <c r="Q53" s="2" t="s">
        <v>2572</v>
      </c>
      <c r="R53" s="2"/>
      <c r="S53" s="2" t="s">
        <v>1783</v>
      </c>
      <c r="T53" s="2">
        <v>19360851</v>
      </c>
      <c r="U53" s="2"/>
      <c r="V53" s="2"/>
      <c r="W53" s="2">
        <v>37656985</v>
      </c>
      <c r="X53" s="2" t="s">
        <v>1508</v>
      </c>
      <c r="Y53" s="2" t="s">
        <v>2567</v>
      </c>
      <c r="Z53" s="2" t="s">
        <v>1510</v>
      </c>
      <c r="AA53" s="2" t="s">
        <v>1511</v>
      </c>
      <c r="AB53" s="2"/>
      <c r="AC53" s="2" t="s">
        <v>1513</v>
      </c>
      <c r="AD53" s="2" t="s">
        <v>2573</v>
      </c>
    </row>
    <row r="54" spans="1:30" x14ac:dyDescent="0.45">
      <c r="A54" s="2" t="s">
        <v>2837</v>
      </c>
      <c r="B54" s="2" t="s">
        <v>2838</v>
      </c>
      <c r="C54" s="2" t="s">
        <v>2839</v>
      </c>
      <c r="D54" s="2" t="s">
        <v>778</v>
      </c>
      <c r="E54" s="2">
        <v>2023</v>
      </c>
      <c r="F54" s="2" t="s">
        <v>2840</v>
      </c>
      <c r="G54" s="2">
        <v>439</v>
      </c>
      <c r="H54" s="2"/>
      <c r="I54" s="2">
        <v>141676</v>
      </c>
      <c r="J54" s="2"/>
      <c r="K54" s="2"/>
      <c r="L54" s="2">
        <v>33</v>
      </c>
      <c r="M54" s="2" t="s">
        <v>2841</v>
      </c>
      <c r="N54" s="2" t="s">
        <v>2842</v>
      </c>
      <c r="O54" s="2" t="s">
        <v>2843</v>
      </c>
      <c r="P54" s="2" t="s">
        <v>2844</v>
      </c>
      <c r="Q54" s="2" t="s">
        <v>2709</v>
      </c>
      <c r="R54" s="2"/>
      <c r="S54" s="2" t="s">
        <v>1524</v>
      </c>
      <c r="T54" s="2">
        <v>134686</v>
      </c>
      <c r="U54" s="2"/>
      <c r="V54" s="2" t="s">
        <v>2845</v>
      </c>
      <c r="W54" s="2"/>
      <c r="X54" s="2" t="s">
        <v>1508</v>
      </c>
      <c r="Y54" s="2" t="s">
        <v>2846</v>
      </c>
      <c r="Z54" s="2" t="s">
        <v>1510</v>
      </c>
      <c r="AA54" s="2" t="s">
        <v>1511</v>
      </c>
      <c r="AB54" s="2"/>
      <c r="AC54" s="2" t="s">
        <v>1513</v>
      </c>
      <c r="AD54" s="2" t="s">
        <v>2847</v>
      </c>
    </row>
    <row r="55" spans="1:30" x14ac:dyDescent="0.45">
      <c r="A55" s="2" t="s">
        <v>3920</v>
      </c>
      <c r="B55" s="2" t="s">
        <v>3921</v>
      </c>
      <c r="C55" s="2" t="s">
        <v>3922</v>
      </c>
      <c r="D55" s="2" t="s">
        <v>3923</v>
      </c>
      <c r="E55" s="2">
        <v>2021</v>
      </c>
      <c r="F55" s="2" t="s">
        <v>3924</v>
      </c>
      <c r="G55" s="2">
        <v>291</v>
      </c>
      <c r="H55" s="2"/>
      <c r="I55" s="2">
        <v>106238</v>
      </c>
      <c r="J55" s="2"/>
      <c r="K55" s="2"/>
      <c r="L55" s="2">
        <v>33</v>
      </c>
      <c r="M55" s="2" t="s">
        <v>3925</v>
      </c>
      <c r="N55" s="2" t="s">
        <v>3926</v>
      </c>
      <c r="O55" s="2" t="s">
        <v>3927</v>
      </c>
      <c r="P55" s="2" t="s">
        <v>3928</v>
      </c>
      <c r="Q55" s="2" t="s">
        <v>3929</v>
      </c>
      <c r="R55" s="2"/>
      <c r="S55" s="2" t="s">
        <v>1506</v>
      </c>
      <c r="T55" s="2">
        <v>137952</v>
      </c>
      <c r="U55" s="2" t="s">
        <v>3930</v>
      </c>
      <c r="V55" s="2" t="s">
        <v>3931</v>
      </c>
      <c r="W55" s="2"/>
      <c r="X55" s="2" t="s">
        <v>1508</v>
      </c>
      <c r="Y55" s="2" t="s">
        <v>3932</v>
      </c>
      <c r="Z55" s="2" t="s">
        <v>1510</v>
      </c>
      <c r="AA55" s="2" t="s">
        <v>1511</v>
      </c>
      <c r="AB55" s="2"/>
      <c r="AC55" s="2" t="s">
        <v>1513</v>
      </c>
      <c r="AD55" s="2" t="s">
        <v>3933</v>
      </c>
    </row>
    <row r="56" spans="1:30" x14ac:dyDescent="0.45">
      <c r="A56" s="2" t="s">
        <v>2677</v>
      </c>
      <c r="B56" s="2" t="s">
        <v>2678</v>
      </c>
      <c r="C56" s="2" t="s">
        <v>2679</v>
      </c>
      <c r="D56" s="2" t="s">
        <v>741</v>
      </c>
      <c r="E56" s="2">
        <v>2023</v>
      </c>
      <c r="F56" s="2" t="s">
        <v>2680</v>
      </c>
      <c r="G56" s="2">
        <v>8</v>
      </c>
      <c r="H56" s="2">
        <v>11</v>
      </c>
      <c r="I56" s="2">
        <v>2201897</v>
      </c>
      <c r="J56" s="2"/>
      <c r="K56" s="2"/>
      <c r="L56" s="2">
        <v>32</v>
      </c>
      <c r="M56" s="2" t="s">
        <v>2681</v>
      </c>
      <c r="N56" s="2" t="s">
        <v>2682</v>
      </c>
      <c r="O56" s="2" t="s">
        <v>2683</v>
      </c>
      <c r="P56" s="2" t="s">
        <v>2684</v>
      </c>
      <c r="Q56" s="2" t="s">
        <v>2572</v>
      </c>
      <c r="R56" s="2"/>
      <c r="S56" s="2" t="s">
        <v>1715</v>
      </c>
      <c r="T56" s="2"/>
      <c r="U56" s="2"/>
      <c r="V56" s="2"/>
      <c r="W56" s="2"/>
      <c r="X56" s="2" t="s">
        <v>1508</v>
      </c>
      <c r="Y56" s="2" t="s">
        <v>2685</v>
      </c>
      <c r="Z56" s="2" t="s">
        <v>1641</v>
      </c>
      <c r="AA56" s="2" t="s">
        <v>1511</v>
      </c>
      <c r="AB56" s="2" t="s">
        <v>2216</v>
      </c>
      <c r="AC56" s="2" t="s">
        <v>1513</v>
      </c>
      <c r="AD56" s="2" t="s">
        <v>2686</v>
      </c>
    </row>
    <row r="57" spans="1:30" x14ac:dyDescent="0.45">
      <c r="A57" s="2" t="s">
        <v>3831</v>
      </c>
      <c r="B57" s="2" t="s">
        <v>3832</v>
      </c>
      <c r="C57" s="2" t="s">
        <v>3833</v>
      </c>
      <c r="D57" s="2" t="s">
        <v>517</v>
      </c>
      <c r="E57" s="2">
        <v>2021</v>
      </c>
      <c r="F57" s="2" t="s">
        <v>2098</v>
      </c>
      <c r="G57" s="2">
        <v>93</v>
      </c>
      <c r="H57" s="2">
        <v>46</v>
      </c>
      <c r="I57" s="2"/>
      <c r="J57" s="2">
        <v>15452</v>
      </c>
      <c r="K57" s="2">
        <v>15458</v>
      </c>
      <c r="L57" s="2">
        <v>32</v>
      </c>
      <c r="M57" s="2" t="s">
        <v>3834</v>
      </c>
      <c r="N57" s="2" t="s">
        <v>3835</v>
      </c>
      <c r="O57" s="2" t="s">
        <v>3836</v>
      </c>
      <c r="P57" s="2" t="s">
        <v>3837</v>
      </c>
      <c r="Q57" s="2" t="s">
        <v>3838</v>
      </c>
      <c r="R57" s="2"/>
      <c r="S57" s="2" t="s">
        <v>1783</v>
      </c>
      <c r="T57" s="2">
        <v>32700</v>
      </c>
      <c r="U57" s="2"/>
      <c r="V57" s="2" t="s">
        <v>2104</v>
      </c>
      <c r="W57" s="2"/>
      <c r="X57" s="2" t="s">
        <v>1508</v>
      </c>
      <c r="Y57" s="2" t="s">
        <v>2105</v>
      </c>
      <c r="Z57" s="2" t="s">
        <v>1510</v>
      </c>
      <c r="AA57" s="2" t="s">
        <v>1511</v>
      </c>
      <c r="AB57" s="2"/>
      <c r="AC57" s="2" t="s">
        <v>1513</v>
      </c>
      <c r="AD57" s="2" t="s">
        <v>3839</v>
      </c>
    </row>
    <row r="58" spans="1:30" x14ac:dyDescent="0.45">
      <c r="A58" s="2" t="s">
        <v>3907</v>
      </c>
      <c r="B58" s="2" t="s">
        <v>3908</v>
      </c>
      <c r="C58" s="2" t="s">
        <v>3909</v>
      </c>
      <c r="D58" s="2" t="s">
        <v>3910</v>
      </c>
      <c r="E58" s="2">
        <v>2021</v>
      </c>
      <c r="F58" s="2" t="s">
        <v>3911</v>
      </c>
      <c r="G58" s="2">
        <v>562</v>
      </c>
      <c r="H58" s="2"/>
      <c r="I58" s="2">
        <v>150126</v>
      </c>
      <c r="J58" s="2"/>
      <c r="K58" s="2"/>
      <c r="L58" s="2">
        <v>31</v>
      </c>
      <c r="M58" s="2" t="s">
        <v>3912</v>
      </c>
      <c r="N58" s="2" t="s">
        <v>3913</v>
      </c>
      <c r="O58" s="2" t="s">
        <v>3914</v>
      </c>
      <c r="P58" s="2" t="s">
        <v>3915</v>
      </c>
      <c r="Q58" s="2" t="s">
        <v>3916</v>
      </c>
      <c r="R58" s="2"/>
      <c r="S58" s="2" t="s">
        <v>1506</v>
      </c>
      <c r="T58" s="2">
        <v>1694332</v>
      </c>
      <c r="U58" s="2">
        <v>873392558</v>
      </c>
      <c r="V58" s="2" t="s">
        <v>3917</v>
      </c>
      <c r="W58" s="2"/>
      <c r="X58" s="2" t="s">
        <v>1508</v>
      </c>
      <c r="Y58" s="2" t="s">
        <v>3918</v>
      </c>
      <c r="Z58" s="2" t="s">
        <v>1510</v>
      </c>
      <c r="AA58" s="2" t="s">
        <v>1511</v>
      </c>
      <c r="AB58" s="2"/>
      <c r="AC58" s="2" t="s">
        <v>1513</v>
      </c>
      <c r="AD58" s="2" t="s">
        <v>3919</v>
      </c>
    </row>
    <row r="59" spans="1:30" x14ac:dyDescent="0.45">
      <c r="A59" s="2" t="s">
        <v>4455</v>
      </c>
      <c r="B59" s="2" t="s">
        <v>4456</v>
      </c>
      <c r="C59" s="2" t="s">
        <v>4457</v>
      </c>
      <c r="D59" s="2" t="s">
        <v>4458</v>
      </c>
      <c r="E59" s="2">
        <v>2020</v>
      </c>
      <c r="F59" s="2" t="s">
        <v>2043</v>
      </c>
      <c r="G59" s="2">
        <v>167</v>
      </c>
      <c r="H59" s="2">
        <v>16</v>
      </c>
      <c r="I59" s="2">
        <v>167503</v>
      </c>
      <c r="J59" s="2"/>
      <c r="K59" s="2"/>
      <c r="L59" s="2">
        <v>31</v>
      </c>
      <c r="M59" s="2" t="s">
        <v>4459</v>
      </c>
      <c r="N59" s="2" t="s">
        <v>4460</v>
      </c>
      <c r="O59" s="2" t="s">
        <v>4461</v>
      </c>
      <c r="P59" s="2" t="s">
        <v>4462</v>
      </c>
      <c r="Q59" s="2"/>
      <c r="R59" s="2"/>
      <c r="S59" s="2" t="s">
        <v>3807</v>
      </c>
      <c r="T59" s="2">
        <v>134651</v>
      </c>
      <c r="U59" s="2"/>
      <c r="V59" s="2" t="s">
        <v>2049</v>
      </c>
      <c r="W59" s="2"/>
      <c r="X59" s="2" t="s">
        <v>1508</v>
      </c>
      <c r="Y59" s="2" t="s">
        <v>2050</v>
      </c>
      <c r="Z59" s="2" t="s">
        <v>1510</v>
      </c>
      <c r="AA59" s="2" t="s">
        <v>1511</v>
      </c>
      <c r="AB59" s="2" t="s">
        <v>1539</v>
      </c>
      <c r="AC59" s="2" t="s">
        <v>1513</v>
      </c>
      <c r="AD59" s="2" t="s">
        <v>4463</v>
      </c>
    </row>
    <row r="60" spans="1:30" x14ac:dyDescent="0.45">
      <c r="A60" s="2" t="s">
        <v>2517</v>
      </c>
      <c r="B60" s="2" t="s">
        <v>2518</v>
      </c>
      <c r="C60" s="2" t="s">
        <v>2519</v>
      </c>
      <c r="D60" s="2" t="s">
        <v>2520</v>
      </c>
      <c r="E60" s="2">
        <v>2023</v>
      </c>
      <c r="F60" s="2" t="s">
        <v>2521</v>
      </c>
      <c r="G60" s="2">
        <v>13</v>
      </c>
      <c r="H60" s="2">
        <v>5</v>
      </c>
      <c r="I60" s="2"/>
      <c r="J60" s="2">
        <v>795</v>
      </c>
      <c r="K60" s="2">
        <v>811</v>
      </c>
      <c r="L60" s="2">
        <v>30</v>
      </c>
      <c r="M60" s="2" t="s">
        <v>2522</v>
      </c>
      <c r="N60" s="2" t="s">
        <v>2523</v>
      </c>
      <c r="O60" s="2" t="s">
        <v>2524</v>
      </c>
      <c r="P60" s="2" t="s">
        <v>2525</v>
      </c>
      <c r="Q60" s="2" t="s">
        <v>2526</v>
      </c>
      <c r="R60" s="2"/>
      <c r="S60" s="2" t="s">
        <v>2366</v>
      </c>
      <c r="T60" s="2">
        <v>21596859</v>
      </c>
      <c r="U60" s="2"/>
      <c r="V60" s="2"/>
      <c r="W60" s="2"/>
      <c r="X60" s="2" t="s">
        <v>1508</v>
      </c>
      <c r="Y60" s="2" t="s">
        <v>2527</v>
      </c>
      <c r="Z60" s="2" t="s">
        <v>1510</v>
      </c>
      <c r="AA60" s="2" t="s">
        <v>1511</v>
      </c>
      <c r="AB60" s="2" t="s">
        <v>1539</v>
      </c>
      <c r="AC60" s="2" t="s">
        <v>1513</v>
      </c>
      <c r="AD60" s="2" t="s">
        <v>2528</v>
      </c>
    </row>
    <row r="61" spans="1:30" x14ac:dyDescent="0.45">
      <c r="A61" s="2" t="s">
        <v>3148</v>
      </c>
      <c r="B61" s="2" t="s">
        <v>3149</v>
      </c>
      <c r="C61" s="2" t="s">
        <v>3150</v>
      </c>
      <c r="D61" s="2" t="s">
        <v>413</v>
      </c>
      <c r="E61" s="2">
        <v>2022</v>
      </c>
      <c r="F61" s="2" t="s">
        <v>3151</v>
      </c>
      <c r="G61" s="2">
        <v>8</v>
      </c>
      <c r="H61" s="2">
        <v>1</v>
      </c>
      <c r="I61" s="2">
        <v>120</v>
      </c>
      <c r="J61" s="2"/>
      <c r="K61" s="2"/>
      <c r="L61" s="2">
        <v>30</v>
      </c>
      <c r="M61" s="2" t="s">
        <v>3152</v>
      </c>
      <c r="N61" s="2" t="s">
        <v>3153</v>
      </c>
      <c r="O61" s="2" t="s">
        <v>2101</v>
      </c>
      <c r="P61" s="2" t="s">
        <v>3154</v>
      </c>
      <c r="Q61" s="2" t="s">
        <v>1601</v>
      </c>
      <c r="R61" s="2"/>
      <c r="S61" s="2" t="s">
        <v>2366</v>
      </c>
      <c r="T61" s="2"/>
      <c r="U61" s="2"/>
      <c r="V61" s="2"/>
      <c r="W61" s="2"/>
      <c r="X61" s="2" t="s">
        <v>1508</v>
      </c>
      <c r="Y61" s="2" t="s">
        <v>3155</v>
      </c>
      <c r="Z61" s="2" t="s">
        <v>1510</v>
      </c>
      <c r="AA61" s="2" t="s">
        <v>1511</v>
      </c>
      <c r="AB61" s="2" t="s">
        <v>3156</v>
      </c>
      <c r="AC61" s="2" t="s">
        <v>1513</v>
      </c>
      <c r="AD61" s="2" t="s">
        <v>3157</v>
      </c>
    </row>
    <row r="62" spans="1:30" x14ac:dyDescent="0.45">
      <c r="A62" s="2" t="s">
        <v>4974</v>
      </c>
      <c r="B62" s="2" t="s">
        <v>4975</v>
      </c>
      <c r="C62" s="2" t="s">
        <v>4976</v>
      </c>
      <c r="D62" s="2" t="s">
        <v>4977</v>
      </c>
      <c r="E62" s="2">
        <v>2020</v>
      </c>
      <c r="F62" s="2" t="s">
        <v>4978</v>
      </c>
      <c r="G62" s="2">
        <v>64</v>
      </c>
      <c r="H62" s="2">
        <v>3</v>
      </c>
      <c r="I62" s="2"/>
      <c r="J62" s="2">
        <v>270</v>
      </c>
      <c r="K62" s="2">
        <v>281</v>
      </c>
      <c r="L62" s="2">
        <v>30</v>
      </c>
      <c r="M62" s="2" t="s">
        <v>4979</v>
      </c>
      <c r="N62" s="2" t="s">
        <v>4980</v>
      </c>
      <c r="O62" s="2" t="s">
        <v>4981</v>
      </c>
      <c r="P62" s="2" t="s">
        <v>4982</v>
      </c>
      <c r="Q62" s="2" t="s">
        <v>4983</v>
      </c>
      <c r="R62" s="2"/>
      <c r="S62" s="2" t="s">
        <v>4007</v>
      </c>
      <c r="T62" s="2">
        <v>23987308</v>
      </c>
      <c r="U62" s="2"/>
      <c r="V62" s="2"/>
      <c r="W62" s="2">
        <v>32020159</v>
      </c>
      <c r="X62" s="2" t="s">
        <v>1508</v>
      </c>
      <c r="Y62" s="2" t="s">
        <v>4984</v>
      </c>
      <c r="Z62" s="2" t="s">
        <v>1510</v>
      </c>
      <c r="AA62" s="2" t="s">
        <v>1511</v>
      </c>
      <c r="AB62" s="2" t="s">
        <v>2216</v>
      </c>
      <c r="AC62" s="2" t="s">
        <v>1513</v>
      </c>
      <c r="AD62" s="2" t="s">
        <v>4985</v>
      </c>
    </row>
    <row r="63" spans="1:30" x14ac:dyDescent="0.45">
      <c r="A63" s="2" t="s">
        <v>2656</v>
      </c>
      <c r="B63" s="2" t="s">
        <v>2657</v>
      </c>
      <c r="C63" s="2" t="s">
        <v>2658</v>
      </c>
      <c r="D63" s="2" t="s">
        <v>2659</v>
      </c>
      <c r="E63" s="2">
        <v>2023</v>
      </c>
      <c r="F63" s="2" t="s">
        <v>2195</v>
      </c>
      <c r="G63" s="2">
        <v>34</v>
      </c>
      <c r="H63" s="2">
        <v>28</v>
      </c>
      <c r="I63" s="2">
        <v>285207</v>
      </c>
      <c r="J63" s="2"/>
      <c r="K63" s="2"/>
      <c r="L63" s="2">
        <v>29</v>
      </c>
      <c r="M63" s="2" t="s">
        <v>2660</v>
      </c>
      <c r="N63" s="2" t="s">
        <v>2661</v>
      </c>
      <c r="O63" s="2" t="s">
        <v>2662</v>
      </c>
      <c r="P63" s="2" t="s">
        <v>2663</v>
      </c>
      <c r="Q63" s="2" t="s">
        <v>2664</v>
      </c>
      <c r="R63" s="2"/>
      <c r="S63" s="2" t="s">
        <v>1551</v>
      </c>
      <c r="T63" s="2">
        <v>9574484</v>
      </c>
      <c r="U63" s="3">
        <v>9780080000000</v>
      </c>
      <c r="V63" s="2" t="s">
        <v>2201</v>
      </c>
      <c r="W63" s="2">
        <v>37019101</v>
      </c>
      <c r="X63" s="2" t="s">
        <v>1508</v>
      </c>
      <c r="Y63" s="2" t="s">
        <v>2195</v>
      </c>
      <c r="Z63" s="2" t="s">
        <v>1510</v>
      </c>
      <c r="AA63" s="2" t="s">
        <v>1511</v>
      </c>
      <c r="AB63" s="2" t="s">
        <v>1539</v>
      </c>
      <c r="AC63" s="2" t="s">
        <v>1513</v>
      </c>
      <c r="AD63" s="2" t="s">
        <v>2665</v>
      </c>
    </row>
    <row r="64" spans="1:30" x14ac:dyDescent="0.45">
      <c r="A64" s="2" t="s">
        <v>3453</v>
      </c>
      <c r="B64" s="2" t="s">
        <v>3454</v>
      </c>
      <c r="C64" s="2" t="s">
        <v>3455</v>
      </c>
      <c r="D64" s="2" t="s">
        <v>3840</v>
      </c>
      <c r="E64" s="2">
        <v>2021</v>
      </c>
      <c r="F64" s="2" t="s">
        <v>1806</v>
      </c>
      <c r="G64" s="2">
        <v>248</v>
      </c>
      <c r="H64" s="2"/>
      <c r="I64" s="2">
        <v>114805</v>
      </c>
      <c r="J64" s="2"/>
      <c r="K64" s="2"/>
      <c r="L64" s="2">
        <v>29</v>
      </c>
      <c r="M64" s="2" t="s">
        <v>3841</v>
      </c>
      <c r="N64" s="2" t="s">
        <v>3842</v>
      </c>
      <c r="O64" s="2" t="s">
        <v>2781</v>
      </c>
      <c r="P64" s="2" t="s">
        <v>3459</v>
      </c>
      <c r="Q64" s="2"/>
      <c r="R64" s="2"/>
      <c r="S64" s="2" t="s">
        <v>1524</v>
      </c>
      <c r="T64" s="2">
        <v>1968904</v>
      </c>
      <c r="U64" s="2"/>
      <c r="V64" s="2" t="s">
        <v>1809</v>
      </c>
      <c r="W64" s="2"/>
      <c r="X64" s="2" t="s">
        <v>1508</v>
      </c>
      <c r="Y64" s="2" t="s">
        <v>1810</v>
      </c>
      <c r="Z64" s="2" t="s">
        <v>1510</v>
      </c>
      <c r="AA64" s="2" t="s">
        <v>1511</v>
      </c>
      <c r="AB64" s="2" t="s">
        <v>3843</v>
      </c>
      <c r="AC64" s="2" t="s">
        <v>1513</v>
      </c>
      <c r="AD64" s="2" t="s">
        <v>3844</v>
      </c>
    </row>
    <row r="65" spans="1:30" x14ac:dyDescent="0.45">
      <c r="A65" s="2" t="s">
        <v>4558</v>
      </c>
      <c r="B65" s="2" t="s">
        <v>4559</v>
      </c>
      <c r="C65" s="2" t="s">
        <v>4560</v>
      </c>
      <c r="D65" s="2" t="s">
        <v>142</v>
      </c>
      <c r="E65" s="2">
        <v>2020</v>
      </c>
      <c r="F65" s="2" t="s">
        <v>4561</v>
      </c>
      <c r="G65" s="2">
        <v>7</v>
      </c>
      <c r="H65" s="2">
        <v>11</v>
      </c>
      <c r="I65" s="2"/>
      <c r="J65" s="2">
        <v>2959</v>
      </c>
      <c r="K65" s="2">
        <v>2969</v>
      </c>
      <c r="L65" s="2">
        <v>29</v>
      </c>
      <c r="M65" s="2" t="s">
        <v>4562</v>
      </c>
      <c r="N65" s="2" t="s">
        <v>4563</v>
      </c>
      <c r="O65" s="2" t="s">
        <v>4564</v>
      </c>
      <c r="P65" s="2" t="s">
        <v>4565</v>
      </c>
      <c r="Q65" s="2" t="s">
        <v>4566</v>
      </c>
      <c r="R65" s="2"/>
      <c r="S65" s="2" t="s">
        <v>1884</v>
      </c>
      <c r="T65" s="2">
        <v>20516347</v>
      </c>
      <c r="U65" s="2"/>
      <c r="V65" s="2"/>
      <c r="W65" s="2"/>
      <c r="X65" s="2" t="s">
        <v>1508</v>
      </c>
      <c r="Y65" s="2" t="s">
        <v>4567</v>
      </c>
      <c r="Z65" s="2" t="s">
        <v>1510</v>
      </c>
      <c r="AA65" s="2" t="s">
        <v>1511</v>
      </c>
      <c r="AB65" s="2"/>
      <c r="AC65" s="2" t="s">
        <v>1513</v>
      </c>
      <c r="AD65" s="2" t="s">
        <v>4568</v>
      </c>
    </row>
    <row r="66" spans="1:30" x14ac:dyDescent="0.45">
      <c r="A66" s="2" t="s">
        <v>2095</v>
      </c>
      <c r="B66" s="2" t="s">
        <v>2096</v>
      </c>
      <c r="C66" s="2" t="s">
        <v>2097</v>
      </c>
      <c r="D66" s="2" t="s">
        <v>437</v>
      </c>
      <c r="E66" s="2">
        <v>2024</v>
      </c>
      <c r="F66" s="2" t="s">
        <v>2098</v>
      </c>
      <c r="G66" s="2">
        <v>96</v>
      </c>
      <c r="H66" s="2">
        <v>11</v>
      </c>
      <c r="I66" s="2"/>
      <c r="J66" s="2">
        <v>4333</v>
      </c>
      <c r="K66" s="2">
        <v>4342</v>
      </c>
      <c r="L66" s="2">
        <v>28</v>
      </c>
      <c r="M66" s="2" t="s">
        <v>2099</v>
      </c>
      <c r="N66" s="2" t="s">
        <v>2100</v>
      </c>
      <c r="O66" s="2" t="s">
        <v>2101</v>
      </c>
      <c r="P66" s="2" t="s">
        <v>2102</v>
      </c>
      <c r="Q66" s="2" t="s">
        <v>2103</v>
      </c>
      <c r="R66" s="2"/>
      <c r="S66" s="2" t="s">
        <v>1783</v>
      </c>
      <c r="T66" s="2">
        <v>32700</v>
      </c>
      <c r="U66" s="2"/>
      <c r="V66" s="2" t="s">
        <v>2104</v>
      </c>
      <c r="W66" s="2"/>
      <c r="X66" s="2" t="s">
        <v>1508</v>
      </c>
      <c r="Y66" s="2" t="s">
        <v>2105</v>
      </c>
      <c r="Z66" s="2" t="s">
        <v>1641</v>
      </c>
      <c r="AA66" s="2" t="s">
        <v>1511</v>
      </c>
      <c r="AB66" s="2" t="s">
        <v>1539</v>
      </c>
      <c r="AC66" s="2" t="s">
        <v>1513</v>
      </c>
      <c r="AD66" s="2" t="s">
        <v>2106</v>
      </c>
    </row>
    <row r="67" spans="1:30" x14ac:dyDescent="0.45">
      <c r="A67" s="2" t="s">
        <v>2506</v>
      </c>
      <c r="B67" s="2" t="s">
        <v>2507</v>
      </c>
      <c r="C67" s="2" t="s">
        <v>2508</v>
      </c>
      <c r="D67" s="2" t="s">
        <v>2509</v>
      </c>
      <c r="E67" s="2">
        <v>2023</v>
      </c>
      <c r="F67" s="2" t="s">
        <v>2510</v>
      </c>
      <c r="G67" s="2">
        <v>16</v>
      </c>
      <c r="H67" s="2">
        <v>19</v>
      </c>
      <c r="I67" s="2">
        <v>6809</v>
      </c>
      <c r="J67" s="2"/>
      <c r="K67" s="2"/>
      <c r="L67" s="2">
        <v>28</v>
      </c>
      <c r="M67" s="2" t="s">
        <v>2511</v>
      </c>
      <c r="N67" s="2" t="s">
        <v>2512</v>
      </c>
      <c r="O67" s="2" t="s">
        <v>2513</v>
      </c>
      <c r="P67" s="2" t="s">
        <v>2514</v>
      </c>
      <c r="Q67" s="2" t="s">
        <v>2515</v>
      </c>
      <c r="R67" s="2"/>
      <c r="S67" s="2" t="s">
        <v>1933</v>
      </c>
      <c r="T67" s="2"/>
      <c r="U67" s="2"/>
      <c r="V67" s="2"/>
      <c r="W67" s="2"/>
      <c r="X67" s="2" t="s">
        <v>1508</v>
      </c>
      <c r="Y67" s="2" t="s">
        <v>2510</v>
      </c>
      <c r="Z67" s="2" t="s">
        <v>1641</v>
      </c>
      <c r="AA67" s="2" t="s">
        <v>1511</v>
      </c>
      <c r="AB67" s="2" t="s">
        <v>1591</v>
      </c>
      <c r="AC67" s="2" t="s">
        <v>1513</v>
      </c>
      <c r="AD67" s="2" t="s">
        <v>2516</v>
      </c>
    </row>
    <row r="68" spans="1:30" x14ac:dyDescent="0.45">
      <c r="A68" s="2" t="s">
        <v>3463</v>
      </c>
      <c r="B68" s="2" t="s">
        <v>3464</v>
      </c>
      <c r="C68" s="2" t="s">
        <v>3465</v>
      </c>
      <c r="D68" s="2" t="s">
        <v>51</v>
      </c>
      <c r="E68" s="2">
        <v>2022</v>
      </c>
      <c r="F68" s="2" t="s">
        <v>3466</v>
      </c>
      <c r="G68" s="2">
        <v>25</v>
      </c>
      <c r="H68" s="2">
        <v>4</v>
      </c>
      <c r="I68" s="2">
        <v>104119</v>
      </c>
      <c r="J68" s="2"/>
      <c r="K68" s="2"/>
      <c r="L68" s="2">
        <v>28</v>
      </c>
      <c r="M68" s="2" t="s">
        <v>3467</v>
      </c>
      <c r="N68" s="2" t="s">
        <v>3468</v>
      </c>
      <c r="O68" s="2" t="s">
        <v>1561</v>
      </c>
      <c r="P68" s="2" t="s">
        <v>3469</v>
      </c>
      <c r="Q68" s="2" t="s">
        <v>1601</v>
      </c>
      <c r="R68" s="2"/>
      <c r="S68" s="2" t="s">
        <v>3470</v>
      </c>
      <c r="T68" s="2"/>
      <c r="U68" s="2"/>
      <c r="V68" s="2"/>
      <c r="W68" s="2"/>
      <c r="X68" s="2" t="s">
        <v>1508</v>
      </c>
      <c r="Y68" s="2" t="s">
        <v>3466</v>
      </c>
      <c r="Z68" s="2" t="s">
        <v>1510</v>
      </c>
      <c r="AA68" s="2" t="s">
        <v>1511</v>
      </c>
      <c r="AB68" s="2" t="s">
        <v>3156</v>
      </c>
      <c r="AC68" s="2" t="s">
        <v>1513</v>
      </c>
      <c r="AD68" s="2" t="s">
        <v>3471</v>
      </c>
    </row>
    <row r="69" spans="1:30" x14ac:dyDescent="0.45">
      <c r="A69" s="2" t="s">
        <v>4196</v>
      </c>
      <c r="B69" s="2" t="s">
        <v>4197</v>
      </c>
      <c r="C69" s="2" t="s">
        <v>4198</v>
      </c>
      <c r="D69" s="2" t="s">
        <v>4199</v>
      </c>
      <c r="E69" s="2">
        <v>2021</v>
      </c>
      <c r="F69" s="2" t="s">
        <v>1571</v>
      </c>
      <c r="G69" s="2">
        <v>18</v>
      </c>
      <c r="H69" s="2">
        <v>3</v>
      </c>
      <c r="I69" s="2"/>
      <c r="J69" s="2">
        <v>827</v>
      </c>
      <c r="K69" s="2">
        <v>847</v>
      </c>
      <c r="L69" s="2">
        <v>28</v>
      </c>
      <c r="M69" s="2" t="s">
        <v>4200</v>
      </c>
      <c r="N69" s="2" t="s">
        <v>4201</v>
      </c>
      <c r="O69" s="2" t="s">
        <v>4202</v>
      </c>
      <c r="P69" s="2" t="s">
        <v>4203</v>
      </c>
      <c r="Q69" s="2" t="s">
        <v>4204</v>
      </c>
      <c r="R69" s="2"/>
      <c r="S69" s="2" t="s">
        <v>1577</v>
      </c>
      <c r="T69" s="2" t="s">
        <v>1578</v>
      </c>
      <c r="U69" s="2"/>
      <c r="V69" s="2"/>
      <c r="W69" s="2"/>
      <c r="X69" s="2" t="s">
        <v>1508</v>
      </c>
      <c r="Y69" s="2" t="s">
        <v>1571</v>
      </c>
      <c r="Z69" s="2" t="s">
        <v>1510</v>
      </c>
      <c r="AA69" s="2" t="s">
        <v>1511</v>
      </c>
      <c r="AB69" s="2" t="s">
        <v>2007</v>
      </c>
      <c r="AC69" s="2" t="s">
        <v>1513</v>
      </c>
      <c r="AD69" s="2" t="s">
        <v>4205</v>
      </c>
    </row>
    <row r="70" spans="1:30" x14ac:dyDescent="0.45">
      <c r="A70" s="2" t="s">
        <v>1656</v>
      </c>
      <c r="B70" s="2" t="s">
        <v>1657</v>
      </c>
      <c r="C70" s="2" t="s">
        <v>1658</v>
      </c>
      <c r="D70" s="2" t="s">
        <v>757</v>
      </c>
      <c r="E70" s="2">
        <v>2024</v>
      </c>
      <c r="F70" s="2" t="s">
        <v>1659</v>
      </c>
      <c r="G70" s="2">
        <v>312</v>
      </c>
      <c r="H70" s="2"/>
      <c r="I70" s="2">
        <v>119294</v>
      </c>
      <c r="J70" s="2"/>
      <c r="K70" s="2"/>
      <c r="L70" s="2">
        <v>27</v>
      </c>
      <c r="M70" s="2" t="s">
        <v>1660</v>
      </c>
      <c r="N70" s="2" t="s">
        <v>1661</v>
      </c>
      <c r="O70" s="2" t="s">
        <v>1662</v>
      </c>
      <c r="P70" s="2" t="s">
        <v>1663</v>
      </c>
      <c r="Q70" s="2" t="s">
        <v>1664</v>
      </c>
      <c r="R70" s="2"/>
      <c r="S70" s="2" t="s">
        <v>1524</v>
      </c>
      <c r="T70" s="2">
        <v>298018</v>
      </c>
      <c r="U70" s="2"/>
      <c r="V70" s="2"/>
      <c r="W70" s="2"/>
      <c r="X70" s="2" t="s">
        <v>1508</v>
      </c>
      <c r="Y70" s="2" t="s">
        <v>1665</v>
      </c>
      <c r="Z70" s="2" t="s">
        <v>1641</v>
      </c>
      <c r="AA70" s="2" t="s">
        <v>1511</v>
      </c>
      <c r="AB70" s="2" t="s">
        <v>1539</v>
      </c>
      <c r="AC70" s="2" t="s">
        <v>1513</v>
      </c>
      <c r="AD70" s="2" t="s">
        <v>1666</v>
      </c>
    </row>
    <row r="71" spans="1:30" x14ac:dyDescent="0.45">
      <c r="A71" s="2" t="s">
        <v>4435</v>
      </c>
      <c r="B71" s="2" t="s">
        <v>4436</v>
      </c>
      <c r="C71" s="2" t="s">
        <v>4437</v>
      </c>
      <c r="D71" s="2" t="s">
        <v>589</v>
      </c>
      <c r="E71" s="2">
        <v>2020</v>
      </c>
      <c r="F71" s="2" t="s">
        <v>4438</v>
      </c>
      <c r="G71" s="2">
        <v>7</v>
      </c>
      <c r="H71" s="2"/>
      <c r="I71" s="2">
        <v>573096</v>
      </c>
      <c r="J71" s="2"/>
      <c r="K71" s="2"/>
      <c r="L71" s="2">
        <v>27</v>
      </c>
      <c r="M71" s="2" t="s">
        <v>4439</v>
      </c>
      <c r="N71" s="2" t="s">
        <v>4440</v>
      </c>
      <c r="O71" s="2" t="s">
        <v>4441</v>
      </c>
      <c r="P71" s="2" t="s">
        <v>4442</v>
      </c>
      <c r="Q71" s="2" t="s">
        <v>4443</v>
      </c>
      <c r="R71" s="2"/>
      <c r="S71" s="2" t="s">
        <v>3121</v>
      </c>
      <c r="T71" s="2"/>
      <c r="U71" s="2"/>
      <c r="V71" s="2"/>
      <c r="W71" s="2"/>
      <c r="X71" s="2" t="s">
        <v>1508</v>
      </c>
      <c r="Y71" s="2" t="s">
        <v>4444</v>
      </c>
      <c r="Z71" s="2" t="s">
        <v>1510</v>
      </c>
      <c r="AA71" s="2" t="s">
        <v>1511</v>
      </c>
      <c r="AB71" s="2" t="s">
        <v>1591</v>
      </c>
      <c r="AC71" s="2" t="s">
        <v>1513</v>
      </c>
      <c r="AD71" s="2" t="s">
        <v>4445</v>
      </c>
    </row>
    <row r="72" spans="1:30" x14ac:dyDescent="0.45">
      <c r="A72" s="2" t="s">
        <v>2700</v>
      </c>
      <c r="B72" s="2" t="s">
        <v>2701</v>
      </c>
      <c r="C72" s="2" t="s">
        <v>2702</v>
      </c>
      <c r="D72" s="2" t="s">
        <v>2703</v>
      </c>
      <c r="E72" s="2">
        <v>2023</v>
      </c>
      <c r="F72" s="2" t="s">
        <v>2704</v>
      </c>
      <c r="G72" s="2">
        <v>422</v>
      </c>
      <c r="H72" s="2"/>
      <c r="I72" s="2"/>
      <c r="J72" s="2">
        <v>117</v>
      </c>
      <c r="K72" s="2">
        <v>130</v>
      </c>
      <c r="L72" s="2">
        <v>26</v>
      </c>
      <c r="M72" s="2" t="s">
        <v>2705</v>
      </c>
      <c r="N72" s="2" t="s">
        <v>2706</v>
      </c>
      <c r="O72" s="2" t="s">
        <v>2707</v>
      </c>
      <c r="P72" s="2" t="s">
        <v>2708</v>
      </c>
      <c r="Q72" s="2" t="s">
        <v>2709</v>
      </c>
      <c r="R72" s="2"/>
      <c r="S72" s="2" t="s">
        <v>2710</v>
      </c>
      <c r="T72" s="2">
        <v>219517</v>
      </c>
      <c r="U72" s="2"/>
      <c r="V72" s="2" t="s">
        <v>2711</v>
      </c>
      <c r="W72" s="2"/>
      <c r="X72" s="2" t="s">
        <v>1508</v>
      </c>
      <c r="Y72" s="2" t="s">
        <v>2712</v>
      </c>
      <c r="Z72" s="2" t="s">
        <v>1510</v>
      </c>
      <c r="AA72" s="2" t="s">
        <v>1511</v>
      </c>
      <c r="AB72" s="2"/>
      <c r="AC72" s="2" t="s">
        <v>1513</v>
      </c>
      <c r="AD72" s="2" t="s">
        <v>2713</v>
      </c>
    </row>
    <row r="73" spans="1:30" x14ac:dyDescent="0.45">
      <c r="A73" s="2" t="s">
        <v>4919</v>
      </c>
      <c r="B73" s="2" t="s">
        <v>4920</v>
      </c>
      <c r="C73" s="2" t="s">
        <v>4921</v>
      </c>
      <c r="D73" s="2" t="s">
        <v>4922</v>
      </c>
      <c r="E73" s="2">
        <v>2020</v>
      </c>
      <c r="F73" s="2" t="s">
        <v>2591</v>
      </c>
      <c r="G73" s="2">
        <v>222</v>
      </c>
      <c r="H73" s="2"/>
      <c r="I73" s="2">
        <v>105446</v>
      </c>
      <c r="J73" s="2"/>
      <c r="K73" s="2"/>
      <c r="L73" s="2">
        <v>26</v>
      </c>
      <c r="M73" s="2" t="s">
        <v>4923</v>
      </c>
      <c r="N73" s="2" t="s">
        <v>4924</v>
      </c>
      <c r="O73" s="2" t="s">
        <v>4925</v>
      </c>
      <c r="P73" s="2" t="s">
        <v>4926</v>
      </c>
      <c r="Q73" s="2" t="s">
        <v>4927</v>
      </c>
      <c r="R73" s="2"/>
      <c r="S73" s="2" t="s">
        <v>1506</v>
      </c>
      <c r="T73" s="2" t="s">
        <v>2597</v>
      </c>
      <c r="U73" s="2"/>
      <c r="V73" s="2" t="s">
        <v>2598</v>
      </c>
      <c r="W73" s="2">
        <v>32092595</v>
      </c>
      <c r="X73" s="2" t="s">
        <v>1508</v>
      </c>
      <c r="Y73" s="2" t="s">
        <v>2599</v>
      </c>
      <c r="Z73" s="2" t="s">
        <v>1510</v>
      </c>
      <c r="AA73" s="2" t="s">
        <v>1511</v>
      </c>
      <c r="AB73" s="2"/>
      <c r="AC73" s="2" t="s">
        <v>1513</v>
      </c>
      <c r="AD73" s="2" t="s">
        <v>4928</v>
      </c>
    </row>
    <row r="74" spans="1:30" x14ac:dyDescent="0.45">
      <c r="A74" s="2" t="s">
        <v>2357</v>
      </c>
      <c r="B74" s="2" t="s">
        <v>2358</v>
      </c>
      <c r="C74" s="2" t="s">
        <v>2359</v>
      </c>
      <c r="D74" s="2" t="s">
        <v>771</v>
      </c>
      <c r="E74" s="2">
        <v>2023</v>
      </c>
      <c r="F74" s="2" t="s">
        <v>2360</v>
      </c>
      <c r="G74" s="2">
        <v>2</v>
      </c>
      <c r="H74" s="2">
        <v>1</v>
      </c>
      <c r="I74" s="2">
        <v>48</v>
      </c>
      <c r="J74" s="2"/>
      <c r="K74" s="2"/>
      <c r="L74" s="2">
        <v>25</v>
      </c>
      <c r="M74" s="2" t="s">
        <v>2361</v>
      </c>
      <c r="N74" s="2" t="s">
        <v>2362</v>
      </c>
      <c r="O74" s="2" t="s">
        <v>2363</v>
      </c>
      <c r="P74" s="2" t="s">
        <v>2364</v>
      </c>
      <c r="Q74" s="2" t="s">
        <v>2365</v>
      </c>
      <c r="R74" s="2"/>
      <c r="S74" s="2" t="s">
        <v>2366</v>
      </c>
      <c r="T74" s="2"/>
      <c r="U74" s="2"/>
      <c r="V74" s="2"/>
      <c r="W74" s="2"/>
      <c r="X74" s="2" t="s">
        <v>1508</v>
      </c>
      <c r="Y74" s="2" t="s">
        <v>2367</v>
      </c>
      <c r="Z74" s="2" t="s">
        <v>1510</v>
      </c>
      <c r="AA74" s="2" t="s">
        <v>1511</v>
      </c>
      <c r="AB74" s="2" t="s">
        <v>1591</v>
      </c>
      <c r="AC74" s="2" t="s">
        <v>1513</v>
      </c>
      <c r="AD74" s="2" t="s">
        <v>2368</v>
      </c>
    </row>
    <row r="75" spans="1:30" x14ac:dyDescent="0.45">
      <c r="A75" s="2" t="s">
        <v>2429</v>
      </c>
      <c r="B75" s="2" t="s">
        <v>2430</v>
      </c>
      <c r="C75" s="2" t="s">
        <v>2431</v>
      </c>
      <c r="D75" s="2" t="s">
        <v>2432</v>
      </c>
      <c r="E75" s="2">
        <v>2023</v>
      </c>
      <c r="F75" s="2" t="s">
        <v>2421</v>
      </c>
      <c r="G75" s="2">
        <v>13</v>
      </c>
      <c r="H75" s="2">
        <v>1</v>
      </c>
      <c r="I75" s="2">
        <v>10623</v>
      </c>
      <c r="J75" s="2"/>
      <c r="K75" s="2"/>
      <c r="L75" s="2">
        <v>24</v>
      </c>
      <c r="M75" s="2" t="s">
        <v>2433</v>
      </c>
      <c r="N75" s="2" t="s">
        <v>2434</v>
      </c>
      <c r="O75" s="2" t="s">
        <v>2435</v>
      </c>
      <c r="P75" s="2" t="s">
        <v>2436</v>
      </c>
      <c r="Q75" s="2" t="s">
        <v>2437</v>
      </c>
      <c r="R75" s="2"/>
      <c r="S75" s="2" t="s">
        <v>1589</v>
      </c>
      <c r="T75" s="2"/>
      <c r="U75" s="2"/>
      <c r="V75" s="2"/>
      <c r="W75" s="2">
        <v>37391445</v>
      </c>
      <c r="X75" s="2" t="s">
        <v>1508</v>
      </c>
      <c r="Y75" s="2" t="s">
        <v>2427</v>
      </c>
      <c r="Z75" s="2" t="s">
        <v>1510</v>
      </c>
      <c r="AA75" s="2" t="s">
        <v>1511</v>
      </c>
      <c r="AB75" s="2" t="s">
        <v>1591</v>
      </c>
      <c r="AC75" s="2" t="s">
        <v>1513</v>
      </c>
      <c r="AD75" s="2" t="s">
        <v>2438</v>
      </c>
    </row>
    <row r="76" spans="1:30" x14ac:dyDescent="0.45">
      <c r="A76" s="2" t="s">
        <v>2786</v>
      </c>
      <c r="B76" s="2" t="s">
        <v>2787</v>
      </c>
      <c r="C76" s="2" t="s">
        <v>2788</v>
      </c>
      <c r="D76" s="2" t="s">
        <v>2789</v>
      </c>
      <c r="E76" s="2">
        <v>2023</v>
      </c>
      <c r="F76" s="2" t="s">
        <v>2680</v>
      </c>
      <c r="G76" s="2">
        <v>8</v>
      </c>
      <c r="H76" s="2">
        <v>5</v>
      </c>
      <c r="I76" s="2">
        <v>2201349</v>
      </c>
      <c r="J76" s="2"/>
      <c r="K76" s="2"/>
      <c r="L76" s="2">
        <v>24</v>
      </c>
      <c r="M76" s="2" t="s">
        <v>2790</v>
      </c>
      <c r="N76" s="2" t="s">
        <v>2791</v>
      </c>
      <c r="O76" s="2" t="s">
        <v>1561</v>
      </c>
      <c r="P76" s="2" t="s">
        <v>2792</v>
      </c>
      <c r="Q76" s="2" t="s">
        <v>2793</v>
      </c>
      <c r="R76" s="2"/>
      <c r="S76" s="2" t="s">
        <v>1715</v>
      </c>
      <c r="T76" s="2"/>
      <c r="U76" s="2"/>
      <c r="V76" s="2"/>
      <c r="W76" s="2"/>
      <c r="X76" s="2" t="s">
        <v>1508</v>
      </c>
      <c r="Y76" s="2" t="s">
        <v>2685</v>
      </c>
      <c r="Z76" s="2" t="s">
        <v>1510</v>
      </c>
      <c r="AA76" s="2" t="s">
        <v>1511</v>
      </c>
      <c r="AB76" s="2"/>
      <c r="AC76" s="2" t="s">
        <v>1513</v>
      </c>
      <c r="AD76" s="2" t="s">
        <v>2794</v>
      </c>
    </row>
    <row r="77" spans="1:30" x14ac:dyDescent="0.45">
      <c r="A77" s="2" t="s">
        <v>3111</v>
      </c>
      <c r="B77" s="2" t="s">
        <v>3112</v>
      </c>
      <c r="C77" s="2" t="s">
        <v>3113</v>
      </c>
      <c r="D77" s="2" t="s">
        <v>3114</v>
      </c>
      <c r="E77" s="2">
        <v>2022</v>
      </c>
      <c r="F77" s="2" t="s">
        <v>3115</v>
      </c>
      <c r="G77" s="2">
        <v>13</v>
      </c>
      <c r="H77" s="2"/>
      <c r="I77" s="2">
        <v>1074740</v>
      </c>
      <c r="J77" s="2"/>
      <c r="K77" s="2"/>
      <c r="L77" s="2">
        <v>24</v>
      </c>
      <c r="M77" s="2" t="s">
        <v>3116</v>
      </c>
      <c r="N77" s="2" t="s">
        <v>3117</v>
      </c>
      <c r="O77" s="2" t="s">
        <v>3118</v>
      </c>
      <c r="P77" s="2" t="s">
        <v>3119</v>
      </c>
      <c r="Q77" s="2" t="s">
        <v>3120</v>
      </c>
      <c r="R77" s="2"/>
      <c r="S77" s="2" t="s">
        <v>3121</v>
      </c>
      <c r="T77" s="2"/>
      <c r="U77" s="2"/>
      <c r="V77" s="2"/>
      <c r="W77" s="2">
        <v>36601119</v>
      </c>
      <c r="X77" s="2" t="s">
        <v>1508</v>
      </c>
      <c r="Y77" s="2" t="s">
        <v>3122</v>
      </c>
      <c r="Z77" s="2" t="s">
        <v>1510</v>
      </c>
      <c r="AA77" s="2" t="s">
        <v>1511</v>
      </c>
      <c r="AB77" s="2" t="s">
        <v>1591</v>
      </c>
      <c r="AC77" s="2" t="s">
        <v>1513</v>
      </c>
      <c r="AD77" s="2" t="s">
        <v>3123</v>
      </c>
    </row>
    <row r="78" spans="1:30" x14ac:dyDescent="0.45">
      <c r="A78" s="2" t="s">
        <v>3663</v>
      </c>
      <c r="B78" s="2" t="s">
        <v>3664</v>
      </c>
      <c r="C78" s="2" t="s">
        <v>3665</v>
      </c>
      <c r="D78" s="2" t="s">
        <v>677</v>
      </c>
      <c r="E78" s="2">
        <v>2022</v>
      </c>
      <c r="F78" s="2" t="s">
        <v>3666</v>
      </c>
      <c r="G78" s="2">
        <v>24</v>
      </c>
      <c r="H78" s="2">
        <v>2</v>
      </c>
      <c r="I78" s="2"/>
      <c r="J78" s="2">
        <v>220</v>
      </c>
      <c r="K78" s="2">
        <v>230</v>
      </c>
      <c r="L78" s="2">
        <v>24</v>
      </c>
      <c r="M78" s="2" t="s">
        <v>3667</v>
      </c>
      <c r="N78" s="2" t="s">
        <v>3668</v>
      </c>
      <c r="O78" s="2" t="s">
        <v>3038</v>
      </c>
      <c r="P78" s="2" t="s">
        <v>3669</v>
      </c>
      <c r="Q78" s="2"/>
      <c r="R78" s="2"/>
      <c r="S78" s="2" t="s">
        <v>1884</v>
      </c>
      <c r="T78" s="2">
        <v>14668033</v>
      </c>
      <c r="U78" s="2"/>
      <c r="V78" s="2" t="s">
        <v>3670</v>
      </c>
      <c r="W78" s="2"/>
      <c r="X78" s="2" t="s">
        <v>1508</v>
      </c>
      <c r="Y78" s="2" t="s">
        <v>3671</v>
      </c>
      <c r="Z78" s="2" t="s">
        <v>1510</v>
      </c>
      <c r="AA78" s="2" t="s">
        <v>1511</v>
      </c>
      <c r="AB78" s="2"/>
      <c r="AC78" s="2" t="s">
        <v>1513</v>
      </c>
      <c r="AD78" s="2" t="s">
        <v>3672</v>
      </c>
    </row>
    <row r="79" spans="1:30" x14ac:dyDescent="0.45">
      <c r="A79" s="2" t="s">
        <v>3428</v>
      </c>
      <c r="B79" s="2" t="s">
        <v>3429</v>
      </c>
      <c r="C79" s="2" t="s">
        <v>3430</v>
      </c>
      <c r="D79" s="2" t="s">
        <v>3431</v>
      </c>
      <c r="E79" s="2">
        <v>2022</v>
      </c>
      <c r="F79" s="2" t="s">
        <v>3432</v>
      </c>
      <c r="G79" s="2">
        <v>42</v>
      </c>
      <c r="H79" s="2">
        <v>5</v>
      </c>
      <c r="I79" s="2"/>
      <c r="J79" s="2">
        <v>920</v>
      </c>
      <c r="K79" s="2">
        <v>930</v>
      </c>
      <c r="L79" s="2">
        <v>23</v>
      </c>
      <c r="M79" s="2" t="s">
        <v>3433</v>
      </c>
      <c r="N79" s="2" t="s">
        <v>3434</v>
      </c>
      <c r="O79" s="2" t="s">
        <v>3435</v>
      </c>
      <c r="P79" s="2" t="s">
        <v>3436</v>
      </c>
      <c r="Q79" s="2" t="s">
        <v>3437</v>
      </c>
      <c r="R79" s="2"/>
      <c r="S79" s="2" t="s">
        <v>1715</v>
      </c>
      <c r="T79" s="2">
        <v>2724332</v>
      </c>
      <c r="U79" s="2"/>
      <c r="V79" s="2" t="s">
        <v>3438</v>
      </c>
      <c r="W79" s="2">
        <v>34651328</v>
      </c>
      <c r="X79" s="2" t="s">
        <v>1508</v>
      </c>
      <c r="Y79" s="2" t="s">
        <v>3439</v>
      </c>
      <c r="Z79" s="2" t="s">
        <v>1510</v>
      </c>
      <c r="AA79" s="2" t="s">
        <v>1511</v>
      </c>
      <c r="AB79" s="2" t="s">
        <v>1539</v>
      </c>
      <c r="AC79" s="2" t="s">
        <v>1513</v>
      </c>
      <c r="AD79" s="2" t="s">
        <v>3440</v>
      </c>
    </row>
    <row r="80" spans="1:30" x14ac:dyDescent="0.45">
      <c r="A80" s="2" t="s">
        <v>4522</v>
      </c>
      <c r="B80" s="2" t="s">
        <v>4523</v>
      </c>
      <c r="C80" s="2" t="s">
        <v>4524</v>
      </c>
      <c r="D80" s="2" t="s">
        <v>86</v>
      </c>
      <c r="E80" s="2">
        <v>2020</v>
      </c>
      <c r="F80" s="2" t="s">
        <v>1500</v>
      </c>
      <c r="G80" s="2">
        <v>477</v>
      </c>
      <c r="H80" s="2"/>
      <c r="I80" s="2">
        <v>228714</v>
      </c>
      <c r="J80" s="2"/>
      <c r="K80" s="2"/>
      <c r="L80" s="2">
        <v>23</v>
      </c>
      <c r="M80" s="2" t="s">
        <v>4525</v>
      </c>
      <c r="N80" s="2" t="s">
        <v>4526</v>
      </c>
      <c r="O80" s="2" t="s">
        <v>4527</v>
      </c>
      <c r="P80" s="2" t="s">
        <v>4528</v>
      </c>
      <c r="Q80" s="2" t="s">
        <v>4529</v>
      </c>
      <c r="R80" s="2"/>
      <c r="S80" s="2" t="s">
        <v>1506</v>
      </c>
      <c r="T80" s="2">
        <v>3787753</v>
      </c>
      <c r="U80" s="2">
        <v>444894810</v>
      </c>
      <c r="V80" s="2" t="s">
        <v>1507</v>
      </c>
      <c r="W80" s="2"/>
      <c r="X80" s="2" t="s">
        <v>1508</v>
      </c>
      <c r="Y80" s="2" t="s">
        <v>1509</v>
      </c>
      <c r="Z80" s="2" t="s">
        <v>1510</v>
      </c>
      <c r="AA80" s="2" t="s">
        <v>1511</v>
      </c>
      <c r="AB80" s="2"/>
      <c r="AC80" s="2" t="s">
        <v>1513</v>
      </c>
      <c r="AD80" s="2" t="s">
        <v>4530</v>
      </c>
    </row>
    <row r="81" spans="1:30" x14ac:dyDescent="0.45">
      <c r="A81" s="2" t="s">
        <v>4818</v>
      </c>
      <c r="B81" s="2" t="s">
        <v>4819</v>
      </c>
      <c r="C81" s="2" t="s">
        <v>4820</v>
      </c>
      <c r="D81" s="2" t="s">
        <v>1215</v>
      </c>
      <c r="E81" s="2">
        <v>2020</v>
      </c>
      <c r="F81" s="2" t="s">
        <v>2567</v>
      </c>
      <c r="G81" s="2">
        <v>14</v>
      </c>
      <c r="H81" s="2">
        <v>6</v>
      </c>
      <c r="I81" s="2"/>
      <c r="J81" s="2">
        <v>7581</v>
      </c>
      <c r="K81" s="2">
        <v>7592</v>
      </c>
      <c r="L81" s="2">
        <v>23</v>
      </c>
      <c r="M81" s="2" t="s">
        <v>4821</v>
      </c>
      <c r="N81" s="2" t="s">
        <v>4822</v>
      </c>
      <c r="O81" s="2" t="s">
        <v>1735</v>
      </c>
      <c r="P81" s="2" t="s">
        <v>4823</v>
      </c>
      <c r="Q81" s="2" t="s">
        <v>4824</v>
      </c>
      <c r="R81" s="2"/>
      <c r="S81" s="2" t="s">
        <v>4825</v>
      </c>
      <c r="T81" s="2">
        <v>19360851</v>
      </c>
      <c r="U81" s="2"/>
      <c r="V81" s="2"/>
      <c r="W81" s="2">
        <v>32401491</v>
      </c>
      <c r="X81" s="2" t="s">
        <v>1508</v>
      </c>
      <c r="Y81" s="2" t="s">
        <v>2567</v>
      </c>
      <c r="Z81" s="2" t="s">
        <v>1510</v>
      </c>
      <c r="AA81" s="2" t="s">
        <v>1511</v>
      </c>
      <c r="AB81" s="2" t="s">
        <v>2007</v>
      </c>
      <c r="AC81" s="2" t="s">
        <v>1513</v>
      </c>
      <c r="AD81" s="2" t="s">
        <v>4826</v>
      </c>
    </row>
    <row r="82" spans="1:30" x14ac:dyDescent="0.45">
      <c r="A82" s="2" t="s">
        <v>2574</v>
      </c>
      <c r="B82" s="2" t="s">
        <v>2575</v>
      </c>
      <c r="C82" s="2" t="s">
        <v>2576</v>
      </c>
      <c r="D82" s="2" t="s">
        <v>2577</v>
      </c>
      <c r="E82" s="2">
        <v>2023</v>
      </c>
      <c r="F82" s="2" t="s">
        <v>2578</v>
      </c>
      <c r="G82" s="2">
        <v>263</v>
      </c>
      <c r="H82" s="2"/>
      <c r="I82" s="2">
        <v>115227</v>
      </c>
      <c r="J82" s="2"/>
      <c r="K82" s="2"/>
      <c r="L82" s="2">
        <v>22</v>
      </c>
      <c r="M82" s="2" t="s">
        <v>2579</v>
      </c>
      <c r="N82" s="2" t="s">
        <v>2580</v>
      </c>
      <c r="O82" s="2" t="s">
        <v>2581</v>
      </c>
      <c r="P82" s="2" t="s">
        <v>2582</v>
      </c>
      <c r="Q82" s="2" t="s">
        <v>2583</v>
      </c>
      <c r="R82" s="2"/>
      <c r="S82" s="2" t="s">
        <v>2584</v>
      </c>
      <c r="T82" s="2">
        <v>1476513</v>
      </c>
      <c r="U82" s="2"/>
      <c r="V82" s="2" t="s">
        <v>2585</v>
      </c>
      <c r="W82" s="2">
        <v>37421892</v>
      </c>
      <c r="X82" s="2" t="s">
        <v>1508</v>
      </c>
      <c r="Y82" s="2" t="s">
        <v>2586</v>
      </c>
      <c r="Z82" s="2" t="s">
        <v>1641</v>
      </c>
      <c r="AA82" s="2" t="s">
        <v>1511</v>
      </c>
      <c r="AB82" s="2" t="s">
        <v>1603</v>
      </c>
      <c r="AC82" s="2" t="s">
        <v>1513</v>
      </c>
      <c r="AD82" s="2" t="s">
        <v>2587</v>
      </c>
    </row>
    <row r="83" spans="1:30" x14ac:dyDescent="0.45">
      <c r="A83" s="2" t="s">
        <v>3483</v>
      </c>
      <c r="B83" s="2" t="s">
        <v>3484</v>
      </c>
      <c r="C83" s="2" t="s">
        <v>3485</v>
      </c>
      <c r="D83" s="2" t="s">
        <v>3486</v>
      </c>
      <c r="E83" s="2">
        <v>2022</v>
      </c>
      <c r="F83" s="2" t="s">
        <v>1721</v>
      </c>
      <c r="G83" s="2">
        <v>244</v>
      </c>
      <c r="H83" s="2"/>
      <c r="I83" s="2">
        <v>123050</v>
      </c>
      <c r="J83" s="2"/>
      <c r="K83" s="2"/>
      <c r="L83" s="2">
        <v>22</v>
      </c>
      <c r="M83" s="2" t="s">
        <v>3487</v>
      </c>
      <c r="N83" s="2" t="s">
        <v>3488</v>
      </c>
      <c r="O83" s="2" t="s">
        <v>3489</v>
      </c>
      <c r="P83" s="2" t="s">
        <v>3490</v>
      </c>
      <c r="Q83" s="2" t="s">
        <v>3491</v>
      </c>
      <c r="R83" s="2"/>
      <c r="S83" s="2" t="s">
        <v>1524</v>
      </c>
      <c r="T83" s="2">
        <v>3605442</v>
      </c>
      <c r="U83" s="2" t="s">
        <v>1726</v>
      </c>
      <c r="V83" s="2" t="s">
        <v>1727</v>
      </c>
      <c r="W83" s="2"/>
      <c r="X83" s="2" t="s">
        <v>1508</v>
      </c>
      <c r="Y83" s="2" t="s">
        <v>1721</v>
      </c>
      <c r="Z83" s="2" t="s">
        <v>1510</v>
      </c>
      <c r="AA83" s="2" t="s">
        <v>1511</v>
      </c>
      <c r="AB83" s="2" t="s">
        <v>2007</v>
      </c>
      <c r="AC83" s="2" t="s">
        <v>1513</v>
      </c>
      <c r="AD83" s="2" t="s">
        <v>3492</v>
      </c>
    </row>
    <row r="84" spans="1:30" x14ac:dyDescent="0.45">
      <c r="A84" s="2" t="s">
        <v>4531</v>
      </c>
      <c r="B84" s="2" t="s">
        <v>4532</v>
      </c>
      <c r="C84" s="2" t="s">
        <v>4533</v>
      </c>
      <c r="D84" s="2" t="s">
        <v>4534</v>
      </c>
      <c r="E84" s="2">
        <v>2020</v>
      </c>
      <c r="F84" s="2" t="s">
        <v>4535</v>
      </c>
      <c r="G84" s="2">
        <v>39</v>
      </c>
      <c r="H84" s="2">
        <v>6</v>
      </c>
      <c r="I84" s="2">
        <v>203</v>
      </c>
      <c r="J84" s="2"/>
      <c r="K84" s="2"/>
      <c r="L84" s="2">
        <v>22</v>
      </c>
      <c r="M84" s="2" t="s">
        <v>4536</v>
      </c>
      <c r="N84" s="2" t="s">
        <v>4537</v>
      </c>
      <c r="O84" s="2" t="s">
        <v>4538</v>
      </c>
      <c r="P84" s="2" t="s">
        <v>4539</v>
      </c>
      <c r="Q84" s="2" t="s">
        <v>4540</v>
      </c>
      <c r="R84" s="2"/>
      <c r="S84" s="2" t="s">
        <v>1738</v>
      </c>
      <c r="T84" s="2">
        <v>7300301</v>
      </c>
      <c r="U84" s="2" t="s">
        <v>4541</v>
      </c>
      <c r="V84" s="2" t="s">
        <v>4542</v>
      </c>
      <c r="W84" s="2"/>
      <c r="X84" s="2" t="s">
        <v>1508</v>
      </c>
      <c r="Y84" s="2" t="s">
        <v>4543</v>
      </c>
      <c r="Z84" s="2" t="s">
        <v>1510</v>
      </c>
      <c r="AA84" s="2" t="s">
        <v>1511</v>
      </c>
      <c r="AB84" s="2"/>
      <c r="AC84" s="2" t="s">
        <v>1513</v>
      </c>
      <c r="AD84" s="2" t="s">
        <v>4544</v>
      </c>
    </row>
    <row r="85" spans="1:30" x14ac:dyDescent="0.45">
      <c r="A85" s="2" t="s">
        <v>4641</v>
      </c>
      <c r="B85" s="2" t="s">
        <v>4642</v>
      </c>
      <c r="C85" s="2" t="s">
        <v>4643</v>
      </c>
      <c r="D85" s="2" t="s">
        <v>4644</v>
      </c>
      <c r="E85" s="2">
        <v>2020</v>
      </c>
      <c r="F85" s="2" t="s">
        <v>4645</v>
      </c>
      <c r="G85" s="2">
        <v>25</v>
      </c>
      <c r="H85" s="2">
        <v>9</v>
      </c>
      <c r="I85" s="2"/>
      <c r="J85" s="2"/>
      <c r="K85" s="2"/>
      <c r="L85" s="2">
        <v>22</v>
      </c>
      <c r="M85" s="2" t="s">
        <v>4646</v>
      </c>
      <c r="N85" s="2" t="s">
        <v>4647</v>
      </c>
      <c r="O85" s="2" t="s">
        <v>4648</v>
      </c>
      <c r="P85" s="2" t="s">
        <v>4649</v>
      </c>
      <c r="Q85" s="2"/>
      <c r="R85" s="2"/>
      <c r="S85" s="2" t="s">
        <v>4645</v>
      </c>
      <c r="T85" s="2">
        <v>13960466</v>
      </c>
      <c r="U85" s="2"/>
      <c r="V85" s="2"/>
      <c r="W85" s="2"/>
      <c r="X85" s="2" t="s">
        <v>1508</v>
      </c>
      <c r="Y85" s="2" t="s">
        <v>4645</v>
      </c>
      <c r="Z85" s="2" t="s">
        <v>1510</v>
      </c>
      <c r="AA85" s="2" t="s">
        <v>1511</v>
      </c>
      <c r="AB85" s="2" t="s">
        <v>1603</v>
      </c>
      <c r="AC85" s="2" t="s">
        <v>1513</v>
      </c>
      <c r="AD85" s="2" t="s">
        <v>4650</v>
      </c>
    </row>
    <row r="86" spans="1:30" x14ac:dyDescent="0.45">
      <c r="A86" s="2" t="s">
        <v>4779</v>
      </c>
      <c r="B86" s="2" t="s">
        <v>4780</v>
      </c>
      <c r="C86" s="2" t="s">
        <v>4781</v>
      </c>
      <c r="D86" s="2" t="s">
        <v>1066</v>
      </c>
      <c r="E86" s="2">
        <v>2020</v>
      </c>
      <c r="F86" s="2" t="s">
        <v>3924</v>
      </c>
      <c r="G86" s="2">
        <v>273</v>
      </c>
      <c r="H86" s="2"/>
      <c r="I86" s="2">
        <v>105693</v>
      </c>
      <c r="J86" s="2"/>
      <c r="K86" s="2"/>
      <c r="L86" s="2">
        <v>22</v>
      </c>
      <c r="M86" s="2" t="s">
        <v>4782</v>
      </c>
      <c r="N86" s="2" t="s">
        <v>4783</v>
      </c>
      <c r="O86" s="2" t="s">
        <v>4784</v>
      </c>
      <c r="P86" s="2" t="s">
        <v>4785</v>
      </c>
      <c r="Q86" s="2" t="s">
        <v>4786</v>
      </c>
      <c r="R86" s="2"/>
      <c r="S86" s="2" t="s">
        <v>1506</v>
      </c>
      <c r="T86" s="2">
        <v>137952</v>
      </c>
      <c r="U86" s="2" t="s">
        <v>3930</v>
      </c>
      <c r="V86" s="2" t="s">
        <v>3931</v>
      </c>
      <c r="W86" s="2"/>
      <c r="X86" s="2" t="s">
        <v>1508</v>
      </c>
      <c r="Y86" s="2" t="s">
        <v>3932</v>
      </c>
      <c r="Z86" s="2" t="s">
        <v>1510</v>
      </c>
      <c r="AA86" s="2" t="s">
        <v>1511</v>
      </c>
      <c r="AB86" s="2" t="s">
        <v>2007</v>
      </c>
      <c r="AC86" s="2" t="s">
        <v>1513</v>
      </c>
      <c r="AD86" s="2" t="s">
        <v>4787</v>
      </c>
    </row>
    <row r="87" spans="1:30" x14ac:dyDescent="0.45">
      <c r="A87" s="2" t="s">
        <v>4837</v>
      </c>
      <c r="B87" s="2" t="s">
        <v>4838</v>
      </c>
      <c r="C87" s="2" t="s">
        <v>4839</v>
      </c>
      <c r="D87" s="2" t="s">
        <v>4840</v>
      </c>
      <c r="E87" s="2">
        <v>2020</v>
      </c>
      <c r="F87" s="2" t="s">
        <v>3269</v>
      </c>
      <c r="G87" s="2">
        <v>17</v>
      </c>
      <c r="H87" s="2"/>
      <c r="I87" s="2"/>
      <c r="J87" s="2">
        <v>393</v>
      </c>
      <c r="K87" s="2">
        <v>399</v>
      </c>
      <c r="L87" s="2">
        <v>22</v>
      </c>
      <c r="M87" s="2" t="s">
        <v>4841</v>
      </c>
      <c r="N87" s="2" t="s">
        <v>4842</v>
      </c>
      <c r="O87" s="2" t="s">
        <v>4843</v>
      </c>
      <c r="P87" s="2" t="s">
        <v>4844</v>
      </c>
      <c r="Q87" s="2" t="s">
        <v>4845</v>
      </c>
      <c r="R87" s="2"/>
      <c r="S87" s="2" t="s">
        <v>3275</v>
      </c>
      <c r="T87" s="2"/>
      <c r="U87" s="2"/>
      <c r="V87" s="2"/>
      <c r="W87" s="2"/>
      <c r="X87" s="2" t="s">
        <v>1508</v>
      </c>
      <c r="Y87" s="2" t="s">
        <v>3276</v>
      </c>
      <c r="Z87" s="2" t="s">
        <v>1510</v>
      </c>
      <c r="AA87" s="2" t="s">
        <v>1511</v>
      </c>
      <c r="AB87" s="2" t="s">
        <v>1591</v>
      </c>
      <c r="AC87" s="2" t="s">
        <v>1513</v>
      </c>
      <c r="AD87" s="2" t="s">
        <v>4846</v>
      </c>
    </row>
    <row r="88" spans="1:30" x14ac:dyDescent="0.45">
      <c r="A88" s="2" t="s">
        <v>5106</v>
      </c>
      <c r="B88" s="2" t="s">
        <v>5107</v>
      </c>
      <c r="C88" s="2" t="s">
        <v>5108</v>
      </c>
      <c r="D88" s="2" t="s">
        <v>5109</v>
      </c>
      <c r="E88" s="2">
        <v>2020</v>
      </c>
      <c r="F88" s="2" t="s">
        <v>5110</v>
      </c>
      <c r="G88" s="2">
        <v>21</v>
      </c>
      <c r="H88" s="2">
        <v>5</v>
      </c>
      <c r="I88" s="2">
        <v>523</v>
      </c>
      <c r="J88" s="2"/>
      <c r="K88" s="2"/>
      <c r="L88" s="2">
        <v>22</v>
      </c>
      <c r="M88" s="2" t="s">
        <v>5111</v>
      </c>
      <c r="N88" s="2" t="s">
        <v>5112</v>
      </c>
      <c r="O88" s="2" t="s">
        <v>5113</v>
      </c>
      <c r="P88" s="2" t="s">
        <v>5114</v>
      </c>
      <c r="Q88" s="2"/>
      <c r="R88" s="2"/>
      <c r="S88" s="2" t="s">
        <v>5115</v>
      </c>
      <c r="T88" s="2">
        <v>22577777</v>
      </c>
      <c r="U88" s="2"/>
      <c r="V88" s="2"/>
      <c r="W88" s="2"/>
      <c r="X88" s="2" t="s">
        <v>1508</v>
      </c>
      <c r="Y88" s="2" t="s">
        <v>5116</v>
      </c>
      <c r="Z88" s="2" t="s">
        <v>1510</v>
      </c>
      <c r="AA88" s="2" t="s">
        <v>1511</v>
      </c>
      <c r="AB88" s="2" t="s">
        <v>1603</v>
      </c>
      <c r="AC88" s="2" t="s">
        <v>1513</v>
      </c>
      <c r="AD88" s="2" t="s">
        <v>5117</v>
      </c>
    </row>
    <row r="89" spans="1:30" x14ac:dyDescent="0.45">
      <c r="A89" s="2" t="s">
        <v>2494</v>
      </c>
      <c r="B89" s="2" t="s">
        <v>2495</v>
      </c>
      <c r="C89" s="2" t="s">
        <v>2496</v>
      </c>
      <c r="D89" s="2" t="s">
        <v>2497</v>
      </c>
      <c r="E89" s="2">
        <v>2023</v>
      </c>
      <c r="F89" s="2" t="s">
        <v>2498</v>
      </c>
      <c r="G89" s="2">
        <v>3</v>
      </c>
      <c r="H89" s="2">
        <v>10</v>
      </c>
      <c r="I89" s="2"/>
      <c r="J89" s="2">
        <v>3293</v>
      </c>
      <c r="K89" s="2">
        <v>3304</v>
      </c>
      <c r="L89" s="2">
        <v>21</v>
      </c>
      <c r="M89" s="2" t="s">
        <v>2499</v>
      </c>
      <c r="N89" s="2" t="s">
        <v>2500</v>
      </c>
      <c r="O89" s="2" t="s">
        <v>2501</v>
      </c>
      <c r="P89" s="2" t="s">
        <v>2502</v>
      </c>
      <c r="Q89" s="2" t="s">
        <v>2503</v>
      </c>
      <c r="R89" s="2"/>
      <c r="S89" s="2" t="s">
        <v>1783</v>
      </c>
      <c r="T89" s="2"/>
      <c r="U89" s="2"/>
      <c r="V89" s="2"/>
      <c r="W89" s="2"/>
      <c r="X89" s="2" t="s">
        <v>1508</v>
      </c>
      <c r="Y89" s="2" t="s">
        <v>2504</v>
      </c>
      <c r="Z89" s="2" t="s">
        <v>1510</v>
      </c>
      <c r="AA89" s="2" t="s">
        <v>1511</v>
      </c>
      <c r="AB89" s="2" t="s">
        <v>2007</v>
      </c>
      <c r="AC89" s="2" t="s">
        <v>1513</v>
      </c>
      <c r="AD89" s="2" t="s">
        <v>2505</v>
      </c>
    </row>
    <row r="90" spans="1:30" x14ac:dyDescent="0.45">
      <c r="A90" s="2" t="s">
        <v>3870</v>
      </c>
      <c r="B90" s="2" t="s">
        <v>3871</v>
      </c>
      <c r="C90" s="2" t="s">
        <v>3872</v>
      </c>
      <c r="D90" s="2" t="s">
        <v>3873</v>
      </c>
      <c r="E90" s="2">
        <v>2021</v>
      </c>
      <c r="F90" s="2" t="s">
        <v>3874</v>
      </c>
      <c r="G90" s="2">
        <v>45</v>
      </c>
      <c r="H90" s="2">
        <v>13</v>
      </c>
      <c r="I90" s="2"/>
      <c r="J90" s="2">
        <v>18658</v>
      </c>
      <c r="K90" s="2">
        <v>18669</v>
      </c>
      <c r="L90" s="2">
        <v>21</v>
      </c>
      <c r="M90" s="2" t="s">
        <v>3875</v>
      </c>
      <c r="N90" s="2" t="s">
        <v>3876</v>
      </c>
      <c r="O90" s="2" t="s">
        <v>3877</v>
      </c>
      <c r="P90" s="2" t="s">
        <v>3878</v>
      </c>
      <c r="Q90" s="2" t="s">
        <v>3879</v>
      </c>
      <c r="R90" s="2"/>
      <c r="S90" s="2" t="s">
        <v>3880</v>
      </c>
      <c r="T90" s="2" t="s">
        <v>3881</v>
      </c>
      <c r="U90" s="2"/>
      <c r="V90" s="2" t="s">
        <v>3882</v>
      </c>
      <c r="W90" s="2"/>
      <c r="X90" s="2" t="s">
        <v>1508</v>
      </c>
      <c r="Y90" s="2" t="s">
        <v>3883</v>
      </c>
      <c r="Z90" s="2" t="s">
        <v>1510</v>
      </c>
      <c r="AA90" s="2" t="s">
        <v>1511</v>
      </c>
      <c r="AB90" s="2"/>
      <c r="AC90" s="2" t="s">
        <v>1513</v>
      </c>
      <c r="AD90" s="2" t="s">
        <v>3884</v>
      </c>
    </row>
    <row r="91" spans="1:30" x14ac:dyDescent="0.45">
      <c r="A91" s="2" t="s">
        <v>4216</v>
      </c>
      <c r="B91" s="2" t="s">
        <v>4217</v>
      </c>
      <c r="C91" s="2" t="s">
        <v>4218</v>
      </c>
      <c r="D91" s="2" t="s">
        <v>619</v>
      </c>
      <c r="E91" s="2">
        <v>2021</v>
      </c>
      <c r="F91" s="2" t="s">
        <v>4219</v>
      </c>
      <c r="G91" s="2">
        <v>29</v>
      </c>
      <c r="H91" s="2">
        <v>4</v>
      </c>
      <c r="I91" s="2"/>
      <c r="J91" s="2">
        <v>4912</v>
      </c>
      <c r="K91" s="2">
        <v>4926</v>
      </c>
      <c r="L91" s="2">
        <v>21</v>
      </c>
      <c r="M91" s="2" t="s">
        <v>4220</v>
      </c>
      <c r="N91" s="2" t="s">
        <v>4221</v>
      </c>
      <c r="O91" s="2" t="s">
        <v>3500</v>
      </c>
      <c r="P91" s="2" t="s">
        <v>4222</v>
      </c>
      <c r="Q91" s="2" t="s">
        <v>4223</v>
      </c>
      <c r="R91" s="2"/>
      <c r="S91" s="2" t="s">
        <v>4224</v>
      </c>
      <c r="T91" s="2">
        <v>10944087</v>
      </c>
      <c r="U91" s="2"/>
      <c r="V91" s="2"/>
      <c r="W91" s="2">
        <v>33726037</v>
      </c>
      <c r="X91" s="2" t="s">
        <v>1508</v>
      </c>
      <c r="Y91" s="2" t="s">
        <v>4225</v>
      </c>
      <c r="Z91" s="2" t="s">
        <v>1510</v>
      </c>
      <c r="AA91" s="2" t="s">
        <v>1511</v>
      </c>
      <c r="AB91" s="2" t="s">
        <v>1591</v>
      </c>
      <c r="AC91" s="2" t="s">
        <v>1513</v>
      </c>
      <c r="AD91" s="2" t="s">
        <v>4226</v>
      </c>
    </row>
    <row r="92" spans="1:30" x14ac:dyDescent="0.45">
      <c r="A92" s="2" t="s">
        <v>1593</v>
      </c>
      <c r="B92" s="2" t="s">
        <v>1594</v>
      </c>
      <c r="C92" s="2" t="s">
        <v>1595</v>
      </c>
      <c r="D92" s="2" t="s">
        <v>119</v>
      </c>
      <c r="E92" s="2">
        <v>2024</v>
      </c>
      <c r="F92" s="2" t="s">
        <v>1596</v>
      </c>
      <c r="G92" s="2">
        <v>8</v>
      </c>
      <c r="H92" s="2">
        <v>1</v>
      </c>
      <c r="I92" s="2">
        <v>21</v>
      </c>
      <c r="J92" s="2"/>
      <c r="K92" s="2"/>
      <c r="L92" s="2">
        <v>20</v>
      </c>
      <c r="M92" s="2" t="s">
        <v>1597</v>
      </c>
      <c r="N92" s="2" t="s">
        <v>1598</v>
      </c>
      <c r="O92" s="2" t="s">
        <v>1599</v>
      </c>
      <c r="P92" s="2" t="s">
        <v>1600</v>
      </c>
      <c r="Q92" s="2" t="s">
        <v>1601</v>
      </c>
      <c r="R92" s="2"/>
      <c r="S92" s="2" t="s">
        <v>1589</v>
      </c>
      <c r="T92" s="2"/>
      <c r="U92" s="2"/>
      <c r="V92" s="2"/>
      <c r="W92" s="2"/>
      <c r="X92" s="2" t="s">
        <v>1508</v>
      </c>
      <c r="Y92" s="2" t="s">
        <v>1602</v>
      </c>
      <c r="Z92" s="2" t="s">
        <v>1510</v>
      </c>
      <c r="AA92" s="2" t="s">
        <v>1511</v>
      </c>
      <c r="AB92" s="2" t="s">
        <v>1603</v>
      </c>
      <c r="AC92" s="2" t="s">
        <v>1513</v>
      </c>
      <c r="AD92" s="2" t="s">
        <v>1604</v>
      </c>
    </row>
    <row r="93" spans="1:30" x14ac:dyDescent="0.45">
      <c r="A93" s="2" t="s">
        <v>1643</v>
      </c>
      <c r="B93" s="2" t="s">
        <v>1644</v>
      </c>
      <c r="C93" s="2" t="s">
        <v>1645</v>
      </c>
      <c r="D93" s="2" t="s">
        <v>581</v>
      </c>
      <c r="E93" s="2">
        <v>2024</v>
      </c>
      <c r="F93" s="2" t="s">
        <v>1646</v>
      </c>
      <c r="G93" s="2">
        <v>125</v>
      </c>
      <c r="H93" s="2">
        <v>21</v>
      </c>
      <c r="I93" s="2">
        <v>212404</v>
      </c>
      <c r="J93" s="2"/>
      <c r="K93" s="2"/>
      <c r="L93" s="2">
        <v>20</v>
      </c>
      <c r="M93" s="2" t="s">
        <v>1647</v>
      </c>
      <c r="N93" s="2" t="s">
        <v>1648</v>
      </c>
      <c r="O93" s="2" t="s">
        <v>1649</v>
      </c>
      <c r="P93" s="2" t="s">
        <v>1650</v>
      </c>
      <c r="Q93" s="2" t="s">
        <v>1651</v>
      </c>
      <c r="R93" s="2"/>
      <c r="S93" s="2" t="s">
        <v>1652</v>
      </c>
      <c r="T93" s="2">
        <v>36951</v>
      </c>
      <c r="U93" s="2"/>
      <c r="V93" s="2" t="s">
        <v>1653</v>
      </c>
      <c r="W93" s="2"/>
      <c r="X93" s="2" t="s">
        <v>1508</v>
      </c>
      <c r="Y93" s="2" t="s">
        <v>1654</v>
      </c>
      <c r="Z93" s="2" t="s">
        <v>1510</v>
      </c>
      <c r="AA93" s="2" t="s">
        <v>1511</v>
      </c>
      <c r="AB93" s="2"/>
      <c r="AC93" s="2" t="s">
        <v>1513</v>
      </c>
      <c r="AD93" s="2" t="s">
        <v>1655</v>
      </c>
    </row>
    <row r="94" spans="1:30" x14ac:dyDescent="0.45">
      <c r="A94" s="2" t="s">
        <v>2085</v>
      </c>
      <c r="B94" s="2" t="s">
        <v>2086</v>
      </c>
      <c r="C94" s="2" t="s">
        <v>2087</v>
      </c>
      <c r="D94" s="2" t="s">
        <v>726</v>
      </c>
      <c r="E94" s="2">
        <v>2024</v>
      </c>
      <c r="F94" s="2" t="s">
        <v>2088</v>
      </c>
      <c r="G94" s="2">
        <v>24</v>
      </c>
      <c r="H94" s="2">
        <v>8</v>
      </c>
      <c r="I94" s="2">
        <v>2585</v>
      </c>
      <c r="J94" s="2"/>
      <c r="K94" s="2"/>
      <c r="L94" s="2">
        <v>20</v>
      </c>
      <c r="M94" s="2" t="s">
        <v>2089</v>
      </c>
      <c r="N94" s="2" t="s">
        <v>2090</v>
      </c>
      <c r="O94" s="2" t="s">
        <v>2091</v>
      </c>
      <c r="P94" s="2" t="s">
        <v>2092</v>
      </c>
      <c r="Q94" s="2" t="s">
        <v>2093</v>
      </c>
      <c r="R94" s="2"/>
      <c r="S94" s="2" t="s">
        <v>1933</v>
      </c>
      <c r="T94" s="2">
        <v>14248220</v>
      </c>
      <c r="U94" s="2"/>
      <c r="V94" s="2"/>
      <c r="W94" s="2">
        <v>38676202</v>
      </c>
      <c r="X94" s="2" t="s">
        <v>1508</v>
      </c>
      <c r="Y94" s="2" t="s">
        <v>2088</v>
      </c>
      <c r="Z94" s="2" t="s">
        <v>1510</v>
      </c>
      <c r="AA94" s="2" t="s">
        <v>1511</v>
      </c>
      <c r="AB94" s="2" t="s">
        <v>1591</v>
      </c>
      <c r="AC94" s="2" t="s">
        <v>1513</v>
      </c>
      <c r="AD94" s="2" t="s">
        <v>2094</v>
      </c>
    </row>
    <row r="95" spans="1:30" x14ac:dyDescent="0.45">
      <c r="A95" s="2" t="s">
        <v>2795</v>
      </c>
      <c r="B95" s="2" t="s">
        <v>2796</v>
      </c>
      <c r="C95" s="2" t="s">
        <v>2797</v>
      </c>
      <c r="D95" s="2" t="s">
        <v>2798</v>
      </c>
      <c r="E95" s="2">
        <v>2023</v>
      </c>
      <c r="F95" s="2" t="s">
        <v>2799</v>
      </c>
      <c r="G95" s="2">
        <v>15</v>
      </c>
      <c r="H95" s="2">
        <v>5</v>
      </c>
      <c r="I95" s="2">
        <v>4250</v>
      </c>
      <c r="J95" s="2"/>
      <c r="K95" s="2"/>
      <c r="L95" s="2">
        <v>20</v>
      </c>
      <c r="M95" s="2" t="s">
        <v>2800</v>
      </c>
      <c r="N95" s="2" t="s">
        <v>2801</v>
      </c>
      <c r="O95" s="2" t="s">
        <v>2802</v>
      </c>
      <c r="P95" s="2" t="s">
        <v>2803</v>
      </c>
      <c r="Q95" s="2" t="s">
        <v>2804</v>
      </c>
      <c r="R95" s="2"/>
      <c r="S95" s="2" t="s">
        <v>2805</v>
      </c>
      <c r="T95" s="2">
        <v>20711050</v>
      </c>
      <c r="U95" s="2"/>
      <c r="V95" s="2"/>
      <c r="W95" s="2"/>
      <c r="X95" s="2" t="s">
        <v>1508</v>
      </c>
      <c r="Y95" s="2" t="s">
        <v>2806</v>
      </c>
      <c r="Z95" s="2" t="s">
        <v>1510</v>
      </c>
      <c r="AA95" s="2" t="s">
        <v>1511</v>
      </c>
      <c r="AB95" s="2" t="s">
        <v>1591</v>
      </c>
      <c r="AC95" s="2" t="s">
        <v>1513</v>
      </c>
      <c r="AD95" s="2" t="s">
        <v>2807</v>
      </c>
    </row>
    <row r="96" spans="1:30" x14ac:dyDescent="0.45">
      <c r="A96" s="2" t="s">
        <v>3441</v>
      </c>
      <c r="B96" s="2" t="s">
        <v>3442</v>
      </c>
      <c r="C96" s="2" t="s">
        <v>3443</v>
      </c>
      <c r="D96" s="2" t="s">
        <v>157</v>
      </c>
      <c r="E96" s="2">
        <v>2022</v>
      </c>
      <c r="F96" s="2" t="s">
        <v>3444</v>
      </c>
      <c r="G96" s="2">
        <v>34</v>
      </c>
      <c r="H96" s="2">
        <v>8</v>
      </c>
      <c r="I96" s="2"/>
      <c r="J96" s="2">
        <v>3616</v>
      </c>
      <c r="K96" s="2">
        <v>3623</v>
      </c>
      <c r="L96" s="2">
        <v>20</v>
      </c>
      <c r="M96" s="2" t="s">
        <v>3445</v>
      </c>
      <c r="N96" s="2" t="s">
        <v>3446</v>
      </c>
      <c r="O96" s="2" t="s">
        <v>3447</v>
      </c>
      <c r="P96" s="2" t="s">
        <v>3448</v>
      </c>
      <c r="Q96" s="2" t="s">
        <v>3449</v>
      </c>
      <c r="R96" s="2"/>
      <c r="S96" s="2" t="s">
        <v>1783</v>
      </c>
      <c r="T96" s="2">
        <v>8974756</v>
      </c>
      <c r="U96" s="2"/>
      <c r="V96" s="2" t="s">
        <v>3450</v>
      </c>
      <c r="W96" s="2"/>
      <c r="X96" s="2" t="s">
        <v>1508</v>
      </c>
      <c r="Y96" s="2" t="s">
        <v>3451</v>
      </c>
      <c r="Z96" s="2" t="s">
        <v>1510</v>
      </c>
      <c r="AA96" s="2" t="s">
        <v>1511</v>
      </c>
      <c r="AB96" s="2"/>
      <c r="AC96" s="2" t="s">
        <v>1513</v>
      </c>
      <c r="AD96" s="2" t="s">
        <v>3452</v>
      </c>
    </row>
    <row r="97" spans="1:30" x14ac:dyDescent="0.45">
      <c r="A97" s="2" t="s">
        <v>4125</v>
      </c>
      <c r="B97" s="2" t="s">
        <v>4126</v>
      </c>
      <c r="C97" s="2" t="s">
        <v>4127</v>
      </c>
      <c r="D97" s="2" t="s">
        <v>4128</v>
      </c>
      <c r="E97" s="2">
        <v>2021</v>
      </c>
      <c r="F97" s="2" t="s">
        <v>4129</v>
      </c>
      <c r="G97" s="2">
        <v>94</v>
      </c>
      <c r="H97" s="2"/>
      <c r="I97" s="2">
        <v>102789</v>
      </c>
      <c r="J97" s="2"/>
      <c r="K97" s="2"/>
      <c r="L97" s="2">
        <v>20</v>
      </c>
      <c r="M97" s="2" t="s">
        <v>4130</v>
      </c>
      <c r="N97" s="2" t="s">
        <v>4131</v>
      </c>
      <c r="O97" s="2" t="s">
        <v>4132</v>
      </c>
      <c r="P97" s="2" t="s">
        <v>4133</v>
      </c>
      <c r="Q97" s="2" t="s">
        <v>4134</v>
      </c>
      <c r="R97" s="2"/>
      <c r="S97" s="2" t="s">
        <v>1524</v>
      </c>
      <c r="T97" s="2">
        <v>13619209</v>
      </c>
      <c r="U97" s="2"/>
      <c r="V97" s="2" t="s">
        <v>4135</v>
      </c>
      <c r="W97" s="2"/>
      <c r="X97" s="2" t="s">
        <v>1508</v>
      </c>
      <c r="Y97" s="2" t="s">
        <v>4136</v>
      </c>
      <c r="Z97" s="2" t="s">
        <v>1510</v>
      </c>
      <c r="AA97" s="2" t="s">
        <v>1511</v>
      </c>
      <c r="AB97" s="2"/>
      <c r="AC97" s="2" t="s">
        <v>1513</v>
      </c>
      <c r="AD97" s="2" t="s">
        <v>4137</v>
      </c>
    </row>
    <row r="98" spans="1:30" x14ac:dyDescent="0.45">
      <c r="A98" s="2" t="s">
        <v>4240</v>
      </c>
      <c r="B98" s="2" t="s">
        <v>4241</v>
      </c>
      <c r="C98" s="2" t="s">
        <v>4242</v>
      </c>
      <c r="D98" s="2" t="s">
        <v>4243</v>
      </c>
      <c r="E98" s="2">
        <v>2021</v>
      </c>
      <c r="F98" s="2" t="s">
        <v>4244</v>
      </c>
      <c r="G98" s="2">
        <v>219</v>
      </c>
      <c r="H98" s="2"/>
      <c r="I98" s="2">
        <v>108420</v>
      </c>
      <c r="J98" s="2"/>
      <c r="K98" s="2"/>
      <c r="L98" s="2">
        <v>20</v>
      </c>
      <c r="M98" s="2" t="s">
        <v>4245</v>
      </c>
      <c r="N98" s="2" t="s">
        <v>4246</v>
      </c>
      <c r="O98" s="2" t="s">
        <v>4247</v>
      </c>
      <c r="P98" s="2" t="s">
        <v>4248</v>
      </c>
      <c r="Q98" s="2" t="s">
        <v>4249</v>
      </c>
      <c r="R98" s="2"/>
      <c r="S98" s="2" t="s">
        <v>4250</v>
      </c>
      <c r="T98" s="2">
        <v>3768716</v>
      </c>
      <c r="U98" s="2"/>
      <c r="V98" s="2" t="s">
        <v>4251</v>
      </c>
      <c r="W98" s="2">
        <v>33342591</v>
      </c>
      <c r="X98" s="2" t="s">
        <v>1508</v>
      </c>
      <c r="Y98" s="2" t="s">
        <v>4252</v>
      </c>
      <c r="Z98" s="2" t="s">
        <v>1510</v>
      </c>
      <c r="AA98" s="2" t="s">
        <v>1511</v>
      </c>
      <c r="AB98" s="2" t="s">
        <v>2007</v>
      </c>
      <c r="AC98" s="2" t="s">
        <v>1513</v>
      </c>
      <c r="AD98" s="2" t="s">
        <v>4253</v>
      </c>
    </row>
    <row r="99" spans="1:30" x14ac:dyDescent="0.45">
      <c r="A99" s="2" t="s">
        <v>4847</v>
      </c>
      <c r="B99" s="2" t="s">
        <v>4848</v>
      </c>
      <c r="C99" s="2" t="s">
        <v>4849</v>
      </c>
      <c r="D99" s="2" t="s">
        <v>4850</v>
      </c>
      <c r="E99" s="2">
        <v>2020</v>
      </c>
      <c r="F99" s="2" t="s">
        <v>4561</v>
      </c>
      <c r="G99" s="2">
        <v>7</v>
      </c>
      <c r="H99" s="2">
        <v>6</v>
      </c>
      <c r="I99" s="2"/>
      <c r="J99" s="2">
        <v>1558</v>
      </c>
      <c r="K99" s="2">
        <v>1565</v>
      </c>
      <c r="L99" s="2">
        <v>20</v>
      </c>
      <c r="M99" s="2" t="s">
        <v>4851</v>
      </c>
      <c r="N99" s="2" t="s">
        <v>4852</v>
      </c>
      <c r="O99" s="2" t="s">
        <v>4853</v>
      </c>
      <c r="P99" s="2" t="s">
        <v>4854</v>
      </c>
      <c r="Q99" s="2" t="s">
        <v>4855</v>
      </c>
      <c r="R99" s="2"/>
      <c r="S99" s="2" t="s">
        <v>4856</v>
      </c>
      <c r="T99" s="2">
        <v>20516347</v>
      </c>
      <c r="U99" s="2"/>
      <c r="V99" s="2"/>
      <c r="W99" s="2"/>
      <c r="X99" s="2" t="s">
        <v>1508</v>
      </c>
      <c r="Y99" s="2" t="s">
        <v>4567</v>
      </c>
      <c r="Z99" s="2" t="s">
        <v>1510</v>
      </c>
      <c r="AA99" s="2" t="s">
        <v>1511</v>
      </c>
      <c r="AB99" s="2"/>
      <c r="AC99" s="2" t="s">
        <v>1513</v>
      </c>
      <c r="AD99" s="2" t="s">
        <v>4857</v>
      </c>
    </row>
    <row r="100" spans="1:30" x14ac:dyDescent="0.45">
      <c r="A100" s="2" t="s">
        <v>4952</v>
      </c>
      <c r="B100" s="2" t="s">
        <v>4953</v>
      </c>
      <c r="C100" s="2" t="s">
        <v>4954</v>
      </c>
      <c r="D100" s="2" t="s">
        <v>4955</v>
      </c>
      <c r="E100" s="2">
        <v>2020</v>
      </c>
      <c r="F100" s="2" t="s">
        <v>4956</v>
      </c>
      <c r="G100" s="2">
        <v>386</v>
      </c>
      <c r="H100" s="2"/>
      <c r="I100" s="2">
        <v>121644</v>
      </c>
      <c r="J100" s="2"/>
      <c r="K100" s="2"/>
      <c r="L100" s="2">
        <v>20</v>
      </c>
      <c r="M100" s="2" t="s">
        <v>4957</v>
      </c>
      <c r="N100" s="2" t="s">
        <v>4958</v>
      </c>
      <c r="O100" s="2" t="s">
        <v>4959</v>
      </c>
      <c r="P100" s="2" t="s">
        <v>4960</v>
      </c>
      <c r="Q100" s="2" t="s">
        <v>4017</v>
      </c>
      <c r="R100" s="2"/>
      <c r="S100" s="2" t="s">
        <v>1506</v>
      </c>
      <c r="T100" s="2">
        <v>3043894</v>
      </c>
      <c r="U100" s="2"/>
      <c r="V100" s="2" t="s">
        <v>4961</v>
      </c>
      <c r="W100" s="2">
        <v>31810808</v>
      </c>
      <c r="X100" s="2" t="s">
        <v>1508</v>
      </c>
      <c r="Y100" s="2" t="s">
        <v>4962</v>
      </c>
      <c r="Z100" s="2" t="s">
        <v>1510</v>
      </c>
      <c r="AA100" s="2" t="s">
        <v>1511</v>
      </c>
      <c r="AB100" s="2"/>
      <c r="AC100" s="2" t="s">
        <v>1513</v>
      </c>
      <c r="AD100" s="2" t="s">
        <v>4963</v>
      </c>
    </row>
    <row r="101" spans="1:30" x14ac:dyDescent="0.45">
      <c r="A101" s="2" t="s">
        <v>5156</v>
      </c>
      <c r="B101" s="2" t="s">
        <v>5157</v>
      </c>
      <c r="C101" s="2" t="s">
        <v>5158</v>
      </c>
      <c r="D101" s="2" t="s">
        <v>703</v>
      </c>
      <c r="E101" s="2">
        <v>2020</v>
      </c>
      <c r="F101" s="2" t="s">
        <v>3189</v>
      </c>
      <c r="G101" s="2"/>
      <c r="H101" s="2"/>
      <c r="I101" s="2"/>
      <c r="J101" s="2"/>
      <c r="K101" s="2"/>
      <c r="L101" s="2">
        <v>20</v>
      </c>
      <c r="M101" s="2" t="s">
        <v>5159</v>
      </c>
      <c r="N101" s="2" t="s">
        <v>5160</v>
      </c>
      <c r="O101" s="2" t="s">
        <v>5161</v>
      </c>
      <c r="P101" s="2" t="s">
        <v>5162</v>
      </c>
      <c r="Q101" s="2" t="s">
        <v>5163</v>
      </c>
      <c r="R101" s="2"/>
      <c r="S101" s="2" t="s">
        <v>4825</v>
      </c>
      <c r="T101" s="2"/>
      <c r="U101" s="2"/>
      <c r="V101" s="2"/>
      <c r="W101" s="2"/>
      <c r="X101" s="2" t="s">
        <v>1508</v>
      </c>
      <c r="Y101" s="2" t="s">
        <v>3194</v>
      </c>
      <c r="Z101" s="2" t="s">
        <v>1510</v>
      </c>
      <c r="AA101" s="2" t="s">
        <v>5164</v>
      </c>
      <c r="AB101" s="2"/>
      <c r="AC101" s="2" t="s">
        <v>1513</v>
      </c>
      <c r="AD101" s="2" t="s">
        <v>5165</v>
      </c>
    </row>
    <row r="102" spans="1:30" x14ac:dyDescent="0.45">
      <c r="A102" s="2" t="s">
        <v>1515</v>
      </c>
      <c r="B102" s="2" t="s">
        <v>1516</v>
      </c>
      <c r="C102" s="2" t="s">
        <v>1517</v>
      </c>
      <c r="D102" s="2" t="s">
        <v>932</v>
      </c>
      <c r="E102" s="2">
        <v>2024</v>
      </c>
      <c r="F102" s="2" t="s">
        <v>1518</v>
      </c>
      <c r="G102" s="2">
        <v>95</v>
      </c>
      <c r="H102" s="2"/>
      <c r="I102" s="2"/>
      <c r="J102" s="2">
        <v>1004</v>
      </c>
      <c r="K102" s="2">
        <v>1010</v>
      </c>
      <c r="L102" s="2">
        <v>19</v>
      </c>
      <c r="M102" s="2" t="s">
        <v>1519</v>
      </c>
      <c r="N102" s="2" t="s">
        <v>1520</v>
      </c>
      <c r="O102" s="2" t="s">
        <v>1521</v>
      </c>
      <c r="P102" s="2" t="s">
        <v>1522</v>
      </c>
      <c r="Q102" s="2" t="s">
        <v>1523</v>
      </c>
      <c r="R102" s="2"/>
      <c r="S102" s="2" t="s">
        <v>1524</v>
      </c>
      <c r="T102" s="2">
        <v>3603199</v>
      </c>
      <c r="U102" s="2">
        <v>80311393</v>
      </c>
      <c r="V102" s="2" t="s">
        <v>1525</v>
      </c>
      <c r="W102" s="2"/>
      <c r="X102" s="2" t="s">
        <v>1508</v>
      </c>
      <c r="Y102" s="2" t="s">
        <v>1526</v>
      </c>
      <c r="Z102" s="2" t="s">
        <v>1510</v>
      </c>
      <c r="AA102" s="2" t="s">
        <v>1511</v>
      </c>
      <c r="AB102" s="2" t="s">
        <v>1512</v>
      </c>
      <c r="AC102" s="2" t="s">
        <v>1513</v>
      </c>
      <c r="AD102" s="2" t="s">
        <v>1527</v>
      </c>
    </row>
    <row r="103" spans="1:30" x14ac:dyDescent="0.45">
      <c r="A103" s="2" t="s">
        <v>3580</v>
      </c>
      <c r="B103" s="2" t="s">
        <v>3581</v>
      </c>
      <c r="C103" s="2" t="s">
        <v>3582</v>
      </c>
      <c r="D103" s="2" t="s">
        <v>3583</v>
      </c>
      <c r="E103" s="2">
        <v>2022</v>
      </c>
      <c r="F103" s="2" t="s">
        <v>3584</v>
      </c>
      <c r="G103" s="2">
        <v>34</v>
      </c>
      <c r="H103" s="2">
        <v>8</v>
      </c>
      <c r="I103" s="2">
        <v>2108493</v>
      </c>
      <c r="J103" s="2"/>
      <c r="K103" s="2"/>
      <c r="L103" s="2">
        <v>19</v>
      </c>
      <c r="M103" s="2" t="s">
        <v>3585</v>
      </c>
      <c r="N103" s="2" t="s">
        <v>3586</v>
      </c>
      <c r="O103" s="2" t="s">
        <v>3587</v>
      </c>
      <c r="P103" s="2" t="s">
        <v>3588</v>
      </c>
      <c r="Q103" s="2" t="s">
        <v>3589</v>
      </c>
      <c r="R103" s="2"/>
      <c r="S103" s="2" t="s">
        <v>1715</v>
      </c>
      <c r="T103" s="2">
        <v>9359648</v>
      </c>
      <c r="U103" s="2"/>
      <c r="V103" s="2" t="s">
        <v>3590</v>
      </c>
      <c r="W103" s="2"/>
      <c r="X103" s="2" t="s">
        <v>1508</v>
      </c>
      <c r="Y103" s="2" t="s">
        <v>3591</v>
      </c>
      <c r="Z103" s="2" t="s">
        <v>1510</v>
      </c>
      <c r="AA103" s="2" t="s">
        <v>1511</v>
      </c>
      <c r="AB103" s="2" t="s">
        <v>1512</v>
      </c>
      <c r="AC103" s="2" t="s">
        <v>1513</v>
      </c>
      <c r="AD103" s="2" t="s">
        <v>3592</v>
      </c>
    </row>
    <row r="104" spans="1:30" x14ac:dyDescent="0.45">
      <c r="A104" s="2" t="s">
        <v>4165</v>
      </c>
      <c r="B104" s="2" t="s">
        <v>4166</v>
      </c>
      <c r="C104" s="2" t="s">
        <v>4167</v>
      </c>
      <c r="D104" s="2" t="s">
        <v>557</v>
      </c>
      <c r="E104" s="2">
        <v>2021</v>
      </c>
      <c r="F104" s="2" t="s">
        <v>4168</v>
      </c>
      <c r="G104" s="2">
        <v>332</v>
      </c>
      <c r="H104" s="2"/>
      <c r="I104" s="2">
        <v>129527</v>
      </c>
      <c r="J104" s="2"/>
      <c r="K104" s="2"/>
      <c r="L104" s="2">
        <v>19</v>
      </c>
      <c r="M104" s="2" t="s">
        <v>4169</v>
      </c>
      <c r="N104" s="2" t="s">
        <v>4170</v>
      </c>
      <c r="O104" s="2" t="s">
        <v>4171</v>
      </c>
      <c r="P104" s="2" t="s">
        <v>4172</v>
      </c>
      <c r="Q104" s="2" t="s">
        <v>1550</v>
      </c>
      <c r="R104" s="2"/>
      <c r="S104" s="2" t="s">
        <v>1506</v>
      </c>
      <c r="T104" s="2">
        <v>9254005</v>
      </c>
      <c r="U104" s="2"/>
      <c r="V104" s="2" t="s">
        <v>4173</v>
      </c>
      <c r="W104" s="2"/>
      <c r="X104" s="2" t="s">
        <v>1508</v>
      </c>
      <c r="Y104" s="2" t="s">
        <v>4174</v>
      </c>
      <c r="Z104" s="2" t="s">
        <v>1510</v>
      </c>
      <c r="AA104" s="2" t="s">
        <v>1511</v>
      </c>
      <c r="AB104" s="2"/>
      <c r="AC104" s="2" t="s">
        <v>1513</v>
      </c>
      <c r="AD104" s="2" t="s">
        <v>4175</v>
      </c>
    </row>
    <row r="105" spans="1:30" x14ac:dyDescent="0.45">
      <c r="A105" s="2" t="s">
        <v>4545</v>
      </c>
      <c r="B105" s="2" t="s">
        <v>4546</v>
      </c>
      <c r="C105" s="2" t="s">
        <v>4547</v>
      </c>
      <c r="D105" s="2" t="s">
        <v>4548</v>
      </c>
      <c r="E105" s="2">
        <v>2020</v>
      </c>
      <c r="F105" s="2" t="s">
        <v>4549</v>
      </c>
      <c r="G105" s="2">
        <v>91</v>
      </c>
      <c r="H105" s="2">
        <v>11</v>
      </c>
      <c r="I105" s="2">
        <v>113201</v>
      </c>
      <c r="J105" s="2"/>
      <c r="K105" s="2"/>
      <c r="L105" s="2">
        <v>19</v>
      </c>
      <c r="M105" s="2" t="s">
        <v>4550</v>
      </c>
      <c r="N105" s="2" t="s">
        <v>4551</v>
      </c>
      <c r="O105" s="2" t="s">
        <v>4552</v>
      </c>
      <c r="P105" s="2" t="s">
        <v>4553</v>
      </c>
      <c r="Q105" s="2" t="s">
        <v>4554</v>
      </c>
      <c r="R105" s="2"/>
      <c r="S105" s="2" t="s">
        <v>2489</v>
      </c>
      <c r="T105" s="2">
        <v>346748</v>
      </c>
      <c r="U105" s="2"/>
      <c r="V105" s="2" t="s">
        <v>4555</v>
      </c>
      <c r="W105" s="2">
        <v>33261421</v>
      </c>
      <c r="X105" s="2" t="s">
        <v>1508</v>
      </c>
      <c r="Y105" s="2" t="s">
        <v>4556</v>
      </c>
      <c r="Z105" s="2" t="s">
        <v>1510</v>
      </c>
      <c r="AA105" s="2" t="s">
        <v>1511</v>
      </c>
      <c r="AB105" s="2" t="s">
        <v>1512</v>
      </c>
      <c r="AC105" s="2" t="s">
        <v>1513</v>
      </c>
      <c r="AD105" s="2" t="s">
        <v>4557</v>
      </c>
    </row>
    <row r="106" spans="1:30" x14ac:dyDescent="0.45">
      <c r="A106" s="2" t="s">
        <v>2714</v>
      </c>
      <c r="B106" s="2" t="s">
        <v>2715</v>
      </c>
      <c r="C106" s="2" t="s">
        <v>2716</v>
      </c>
      <c r="D106" s="2" t="s">
        <v>2717</v>
      </c>
      <c r="E106" s="2">
        <v>2023</v>
      </c>
      <c r="F106" s="2" t="s">
        <v>2718</v>
      </c>
      <c r="G106" s="2">
        <v>7</v>
      </c>
      <c r="H106" s="2">
        <v>13</v>
      </c>
      <c r="I106" s="2"/>
      <c r="J106" s="2">
        <v>3142</v>
      </c>
      <c r="K106" s="2">
        <v>3151</v>
      </c>
      <c r="L106" s="2">
        <v>18</v>
      </c>
      <c r="M106" s="2" t="s">
        <v>2719</v>
      </c>
      <c r="N106" s="2" t="s">
        <v>2720</v>
      </c>
      <c r="O106" s="2" t="s">
        <v>2721</v>
      </c>
      <c r="P106" s="2" t="s">
        <v>2722</v>
      </c>
      <c r="Q106" s="2" t="s">
        <v>2723</v>
      </c>
      <c r="R106" s="2"/>
      <c r="S106" s="2" t="s">
        <v>1884</v>
      </c>
      <c r="T106" s="2"/>
      <c r="U106" s="2"/>
      <c r="V106" s="2"/>
      <c r="W106" s="2"/>
      <c r="X106" s="2" t="s">
        <v>1508</v>
      </c>
      <c r="Y106" s="2" t="s">
        <v>2724</v>
      </c>
      <c r="Z106" s="2" t="s">
        <v>1510</v>
      </c>
      <c r="AA106" s="2" t="s">
        <v>1511</v>
      </c>
      <c r="AB106" s="2"/>
      <c r="AC106" s="2" t="s">
        <v>1513</v>
      </c>
      <c r="AD106" s="2" t="s">
        <v>2725</v>
      </c>
    </row>
    <row r="107" spans="1:30" x14ac:dyDescent="0.45">
      <c r="A107" s="2" t="s">
        <v>4593</v>
      </c>
      <c r="B107" s="2" t="s">
        <v>4594</v>
      </c>
      <c r="C107" s="2" t="s">
        <v>4595</v>
      </c>
      <c r="D107" s="2" t="s">
        <v>4596</v>
      </c>
      <c r="E107" s="2">
        <v>2020</v>
      </c>
      <c r="F107" s="2" t="s">
        <v>3339</v>
      </c>
      <c r="G107" s="2">
        <v>8</v>
      </c>
      <c r="H107" s="2">
        <v>20</v>
      </c>
      <c r="I107" s="2">
        <v>2000664</v>
      </c>
      <c r="J107" s="2"/>
      <c r="K107" s="2"/>
      <c r="L107" s="2">
        <v>18</v>
      </c>
      <c r="M107" s="2" t="s">
        <v>4597</v>
      </c>
      <c r="N107" s="2" t="s">
        <v>4598</v>
      </c>
      <c r="O107" s="2" t="s">
        <v>1735</v>
      </c>
      <c r="P107" s="2" t="s">
        <v>4599</v>
      </c>
      <c r="Q107" s="2" t="s">
        <v>4017</v>
      </c>
      <c r="R107" s="2"/>
      <c r="S107" s="2" t="s">
        <v>4600</v>
      </c>
      <c r="T107" s="2"/>
      <c r="U107" s="2"/>
      <c r="V107" s="2"/>
      <c r="W107" s="2"/>
      <c r="X107" s="2" t="s">
        <v>1508</v>
      </c>
      <c r="Y107" s="2" t="s">
        <v>3345</v>
      </c>
      <c r="Z107" s="2" t="s">
        <v>1510</v>
      </c>
      <c r="AA107" s="2" t="s">
        <v>1511</v>
      </c>
      <c r="AB107" s="2"/>
      <c r="AC107" s="2" t="s">
        <v>1513</v>
      </c>
      <c r="AD107" s="2" t="s">
        <v>4601</v>
      </c>
    </row>
    <row r="108" spans="1:30" x14ac:dyDescent="0.45">
      <c r="A108" s="2" t="s">
        <v>4827</v>
      </c>
      <c r="B108" s="2" t="s">
        <v>4828</v>
      </c>
      <c r="C108" s="2" t="s">
        <v>4829</v>
      </c>
      <c r="D108" s="2" t="s">
        <v>4830</v>
      </c>
      <c r="E108" s="2">
        <v>2020</v>
      </c>
      <c r="F108" s="2" t="s">
        <v>3189</v>
      </c>
      <c r="G108" s="2">
        <v>3</v>
      </c>
      <c r="H108" s="2">
        <v>6</v>
      </c>
      <c r="I108" s="2"/>
      <c r="J108" s="2">
        <v>5229</v>
      </c>
      <c r="K108" s="2">
        <v>5237</v>
      </c>
      <c r="L108" s="2">
        <v>18</v>
      </c>
      <c r="M108" s="2" t="s">
        <v>4831</v>
      </c>
      <c r="N108" s="2" t="s">
        <v>4832</v>
      </c>
      <c r="O108" s="2" t="s">
        <v>4833</v>
      </c>
      <c r="P108" s="2" t="s">
        <v>4834</v>
      </c>
      <c r="Q108" s="2" t="s">
        <v>4835</v>
      </c>
      <c r="R108" s="2"/>
      <c r="S108" s="2" t="s">
        <v>4825</v>
      </c>
      <c r="T108" s="2"/>
      <c r="U108" s="2"/>
      <c r="V108" s="2"/>
      <c r="W108" s="2"/>
      <c r="X108" s="2" t="s">
        <v>1508</v>
      </c>
      <c r="Y108" s="2" t="s">
        <v>3194</v>
      </c>
      <c r="Z108" s="2" t="s">
        <v>1510</v>
      </c>
      <c r="AA108" s="2" t="s">
        <v>1511</v>
      </c>
      <c r="AB108" s="2"/>
      <c r="AC108" s="2" t="s">
        <v>1513</v>
      </c>
      <c r="AD108" s="2" t="s">
        <v>4836</v>
      </c>
    </row>
    <row r="109" spans="1:30" x14ac:dyDescent="0.45">
      <c r="A109" s="2" t="s">
        <v>4895</v>
      </c>
      <c r="B109" s="2" t="s">
        <v>4896</v>
      </c>
      <c r="C109" s="2" t="s">
        <v>4897</v>
      </c>
      <c r="D109" s="2" t="s">
        <v>4898</v>
      </c>
      <c r="E109" s="2">
        <v>2020</v>
      </c>
      <c r="F109" s="2" t="s">
        <v>2195</v>
      </c>
      <c r="G109" s="2">
        <v>31</v>
      </c>
      <c r="H109" s="2">
        <v>20</v>
      </c>
      <c r="I109" s="2">
        <v>205203</v>
      </c>
      <c r="J109" s="2"/>
      <c r="K109" s="2"/>
      <c r="L109" s="2">
        <v>18</v>
      </c>
      <c r="M109" s="2" t="s">
        <v>4899</v>
      </c>
      <c r="N109" s="2" t="s">
        <v>4900</v>
      </c>
      <c r="O109" s="2" t="s">
        <v>4901</v>
      </c>
      <c r="P109" s="2" t="s">
        <v>4902</v>
      </c>
      <c r="Q109" s="2" t="s">
        <v>4903</v>
      </c>
      <c r="R109" s="2"/>
      <c r="S109" s="2" t="s">
        <v>4904</v>
      </c>
      <c r="T109" s="2">
        <v>9574484</v>
      </c>
      <c r="U109" s="3">
        <v>9780080000000</v>
      </c>
      <c r="V109" s="2" t="s">
        <v>2201</v>
      </c>
      <c r="W109" s="2">
        <v>32018237</v>
      </c>
      <c r="X109" s="2" t="s">
        <v>1508</v>
      </c>
      <c r="Y109" s="2" t="s">
        <v>2195</v>
      </c>
      <c r="Z109" s="2" t="s">
        <v>1510</v>
      </c>
      <c r="AA109" s="2" t="s">
        <v>1511</v>
      </c>
      <c r="AB109" s="2"/>
      <c r="AC109" s="2" t="s">
        <v>1513</v>
      </c>
      <c r="AD109" s="2" t="s">
        <v>4905</v>
      </c>
    </row>
    <row r="110" spans="1:30" x14ac:dyDescent="0.45">
      <c r="A110" s="2" t="s">
        <v>5027</v>
      </c>
      <c r="B110" s="2" t="s">
        <v>5028</v>
      </c>
      <c r="C110" s="2" t="s">
        <v>5029</v>
      </c>
      <c r="D110" s="2" t="s">
        <v>5030</v>
      </c>
      <c r="E110" s="2">
        <v>2020</v>
      </c>
      <c r="F110" s="2" t="s">
        <v>1500</v>
      </c>
      <c r="G110" s="2">
        <v>448</v>
      </c>
      <c r="H110" s="2"/>
      <c r="I110" s="2">
        <v>227359</v>
      </c>
      <c r="J110" s="2"/>
      <c r="K110" s="2"/>
      <c r="L110" s="2">
        <v>18</v>
      </c>
      <c r="M110" s="2" t="s">
        <v>5031</v>
      </c>
      <c r="N110" s="2" t="s">
        <v>5032</v>
      </c>
      <c r="O110" s="2" t="s">
        <v>5033</v>
      </c>
      <c r="P110" s="2" t="s">
        <v>5034</v>
      </c>
      <c r="Q110" s="2" t="s">
        <v>5035</v>
      </c>
      <c r="R110" s="2"/>
      <c r="S110" s="2" t="s">
        <v>1506</v>
      </c>
      <c r="T110" s="2">
        <v>3787753</v>
      </c>
      <c r="U110" s="2">
        <v>444894810</v>
      </c>
      <c r="V110" s="2" t="s">
        <v>1507</v>
      </c>
      <c r="W110" s="2"/>
      <c r="X110" s="2" t="s">
        <v>1508</v>
      </c>
      <c r="Y110" s="2" t="s">
        <v>1509</v>
      </c>
      <c r="Z110" s="2" t="s">
        <v>1510</v>
      </c>
      <c r="AA110" s="2" t="s">
        <v>1511</v>
      </c>
      <c r="AB110" s="2"/>
      <c r="AC110" s="2" t="s">
        <v>1513</v>
      </c>
      <c r="AD110" s="2" t="s">
        <v>5036</v>
      </c>
    </row>
    <row r="111" spans="1:30" x14ac:dyDescent="0.45">
      <c r="A111" s="2" t="s">
        <v>2458</v>
      </c>
      <c r="B111" s="2" t="s">
        <v>2459</v>
      </c>
      <c r="C111" s="2" t="s">
        <v>2460</v>
      </c>
      <c r="D111" s="2" t="s">
        <v>2461</v>
      </c>
      <c r="E111" s="2">
        <v>2023</v>
      </c>
      <c r="F111" s="2" t="s">
        <v>1500</v>
      </c>
      <c r="G111" s="2">
        <v>583</v>
      </c>
      <c r="H111" s="2"/>
      <c r="I111" s="2">
        <v>233565</v>
      </c>
      <c r="J111" s="2"/>
      <c r="K111" s="2"/>
      <c r="L111" s="2">
        <v>17</v>
      </c>
      <c r="M111" s="2" t="s">
        <v>2462</v>
      </c>
      <c r="N111" s="2" t="s">
        <v>2463</v>
      </c>
      <c r="O111" s="2" t="s">
        <v>2464</v>
      </c>
      <c r="P111" s="2" t="s">
        <v>2465</v>
      </c>
      <c r="Q111" s="2" t="s">
        <v>2466</v>
      </c>
      <c r="R111" s="2"/>
      <c r="S111" s="2" t="s">
        <v>1506</v>
      </c>
      <c r="T111" s="2">
        <v>3787753</v>
      </c>
      <c r="U111" s="2">
        <v>444894810</v>
      </c>
      <c r="V111" s="2" t="s">
        <v>1507</v>
      </c>
      <c r="W111" s="2"/>
      <c r="X111" s="2" t="s">
        <v>1508</v>
      </c>
      <c r="Y111" s="2" t="s">
        <v>1509</v>
      </c>
      <c r="Z111" s="2" t="s">
        <v>1510</v>
      </c>
      <c r="AA111" s="2" t="s">
        <v>1511</v>
      </c>
      <c r="AB111" s="2"/>
      <c r="AC111" s="2" t="s">
        <v>1513</v>
      </c>
      <c r="AD111" s="2" t="s">
        <v>2467</v>
      </c>
    </row>
    <row r="112" spans="1:30" x14ac:dyDescent="0.45">
      <c r="A112" s="2" t="s">
        <v>2529</v>
      </c>
      <c r="B112" s="2" t="s">
        <v>2530</v>
      </c>
      <c r="C112" s="2" t="s">
        <v>2531</v>
      </c>
      <c r="D112" s="2" t="s">
        <v>164</v>
      </c>
      <c r="E112" s="2">
        <v>2023</v>
      </c>
      <c r="F112" s="2" t="s">
        <v>2532</v>
      </c>
      <c r="G112" s="2">
        <v>234</v>
      </c>
      <c r="H112" s="2"/>
      <c r="I112" s="2">
        <v>112332</v>
      </c>
      <c r="J112" s="2"/>
      <c r="K112" s="2"/>
      <c r="L112" s="2">
        <v>17</v>
      </c>
      <c r="M112" s="2" t="s">
        <v>2533</v>
      </c>
      <c r="N112" s="2" t="s">
        <v>2534</v>
      </c>
      <c r="O112" s="2" t="s">
        <v>2101</v>
      </c>
      <c r="P112" s="2" t="s">
        <v>2535</v>
      </c>
      <c r="Q112" s="2" t="s">
        <v>2536</v>
      </c>
      <c r="R112" s="2"/>
      <c r="S112" s="2" t="s">
        <v>1524</v>
      </c>
      <c r="T112" s="2">
        <v>2641275</v>
      </c>
      <c r="U112" s="3">
        <v>9781860000000</v>
      </c>
      <c r="V112" s="2"/>
      <c r="W112" s="2"/>
      <c r="X112" s="2" t="s">
        <v>1508</v>
      </c>
      <c r="Y112" s="2" t="s">
        <v>2537</v>
      </c>
      <c r="Z112" s="2" t="s">
        <v>1510</v>
      </c>
      <c r="AA112" s="2" t="s">
        <v>1511</v>
      </c>
      <c r="AB112" s="2" t="s">
        <v>1591</v>
      </c>
      <c r="AC112" s="2" t="s">
        <v>1513</v>
      </c>
      <c r="AD112" s="2" t="s">
        <v>2538</v>
      </c>
    </row>
    <row r="113" spans="1:30" x14ac:dyDescent="0.45">
      <c r="A113" s="2" t="s">
        <v>3032</v>
      </c>
      <c r="B113" s="2" t="s">
        <v>3033</v>
      </c>
      <c r="C113" s="2" t="s">
        <v>3034</v>
      </c>
      <c r="D113" s="2" t="s">
        <v>718</v>
      </c>
      <c r="E113" s="2">
        <v>2023</v>
      </c>
      <c r="F113" s="2" t="s">
        <v>3035</v>
      </c>
      <c r="G113" s="4">
        <v>46032</v>
      </c>
      <c r="H113" s="2"/>
      <c r="I113" s="2"/>
      <c r="J113" s="2">
        <v>135</v>
      </c>
      <c r="K113" s="2">
        <v>171</v>
      </c>
      <c r="L113" s="2">
        <v>17</v>
      </c>
      <c r="M113" s="2" t="s">
        <v>3036</v>
      </c>
      <c r="N113" s="2" t="s">
        <v>3037</v>
      </c>
      <c r="O113" s="2" t="s">
        <v>3038</v>
      </c>
      <c r="P113" s="2" t="s">
        <v>3039</v>
      </c>
      <c r="Q113" s="2"/>
      <c r="R113" s="2"/>
      <c r="S113" s="2" t="s">
        <v>3028</v>
      </c>
      <c r="T113" s="2"/>
      <c r="U113" s="3">
        <v>9780130000000</v>
      </c>
      <c r="V113" s="2"/>
      <c r="W113" s="2"/>
      <c r="X113" s="2" t="s">
        <v>1508</v>
      </c>
      <c r="Y113" s="2" t="s">
        <v>3040</v>
      </c>
      <c r="Z113" s="2" t="s">
        <v>2278</v>
      </c>
      <c r="AA113" s="2" t="s">
        <v>1511</v>
      </c>
      <c r="AB113" s="2"/>
      <c r="AC113" s="2" t="s">
        <v>1513</v>
      </c>
      <c r="AD113" s="2" t="s">
        <v>3041</v>
      </c>
    </row>
    <row r="114" spans="1:30" x14ac:dyDescent="0.45">
      <c r="A114" s="2" t="s">
        <v>3073</v>
      </c>
      <c r="B114" s="2" t="s">
        <v>3074</v>
      </c>
      <c r="C114" s="2" t="s">
        <v>3075</v>
      </c>
      <c r="D114" s="2" t="s">
        <v>3076</v>
      </c>
      <c r="E114" s="2">
        <v>2023</v>
      </c>
      <c r="F114" s="2" t="s">
        <v>3077</v>
      </c>
      <c r="G114" s="2"/>
      <c r="H114" s="2"/>
      <c r="I114" s="2"/>
      <c r="J114" s="2">
        <v>1</v>
      </c>
      <c r="K114" s="2">
        <v>586</v>
      </c>
      <c r="L114" s="2">
        <v>17</v>
      </c>
      <c r="M114" s="2" t="s">
        <v>3078</v>
      </c>
      <c r="N114" s="2" t="s">
        <v>3079</v>
      </c>
      <c r="O114" s="2" t="s">
        <v>1735</v>
      </c>
      <c r="P114" s="2" t="s">
        <v>3080</v>
      </c>
      <c r="Q114" s="2"/>
      <c r="R114" s="2"/>
      <c r="S114" s="2" t="s">
        <v>3081</v>
      </c>
      <c r="T114" s="2"/>
      <c r="U114" s="2" t="s">
        <v>3082</v>
      </c>
      <c r="V114" s="2"/>
      <c r="W114" s="2"/>
      <c r="X114" s="2" t="s">
        <v>1508</v>
      </c>
      <c r="Y114" s="2" t="s">
        <v>3077</v>
      </c>
      <c r="Z114" s="2" t="s">
        <v>2326</v>
      </c>
      <c r="AA114" s="2" t="s">
        <v>1511</v>
      </c>
      <c r="AB114" s="2"/>
      <c r="AC114" s="2" t="s">
        <v>1513</v>
      </c>
      <c r="AD114" s="2" t="s">
        <v>3083</v>
      </c>
    </row>
    <row r="115" spans="1:30" x14ac:dyDescent="0.45">
      <c r="A115" s="2" t="s">
        <v>3392</v>
      </c>
      <c r="B115" s="2" t="s">
        <v>3393</v>
      </c>
      <c r="C115" s="2" t="s">
        <v>3394</v>
      </c>
      <c r="D115" s="2" t="s">
        <v>3395</v>
      </c>
      <c r="E115" s="2">
        <v>2022</v>
      </c>
      <c r="F115" s="2" t="s">
        <v>3115</v>
      </c>
      <c r="G115" s="2">
        <v>13</v>
      </c>
      <c r="H115" s="2"/>
      <c r="I115" s="2">
        <v>917790</v>
      </c>
      <c r="J115" s="2"/>
      <c r="K115" s="2"/>
      <c r="L115" s="2">
        <v>17</v>
      </c>
      <c r="M115" s="2" t="s">
        <v>3396</v>
      </c>
      <c r="N115" s="2" t="s">
        <v>3397</v>
      </c>
      <c r="O115" s="2" t="s">
        <v>3398</v>
      </c>
      <c r="P115" s="2" t="s">
        <v>3399</v>
      </c>
      <c r="Q115" s="2" t="s">
        <v>3400</v>
      </c>
      <c r="R115" s="2"/>
      <c r="S115" s="2" t="s">
        <v>3121</v>
      </c>
      <c r="T115" s="2"/>
      <c r="U115" s="2"/>
      <c r="V115" s="2"/>
      <c r="W115" s="2">
        <v>35924240</v>
      </c>
      <c r="X115" s="2" t="s">
        <v>1508</v>
      </c>
      <c r="Y115" s="2" t="s">
        <v>3122</v>
      </c>
      <c r="Z115" s="2" t="s">
        <v>1510</v>
      </c>
      <c r="AA115" s="2" t="s">
        <v>1511</v>
      </c>
      <c r="AB115" s="2" t="s">
        <v>3156</v>
      </c>
      <c r="AC115" s="2" t="s">
        <v>1513</v>
      </c>
      <c r="AD115" s="2" t="s">
        <v>3401</v>
      </c>
    </row>
    <row r="116" spans="1:30" x14ac:dyDescent="0.45">
      <c r="A116" s="2" t="s">
        <v>3988</v>
      </c>
      <c r="B116" s="2" t="s">
        <v>3989</v>
      </c>
      <c r="C116" s="2" t="s">
        <v>3990</v>
      </c>
      <c r="D116" s="2" t="s">
        <v>3991</v>
      </c>
      <c r="E116" s="2">
        <v>2021</v>
      </c>
      <c r="F116" s="2" t="s">
        <v>3677</v>
      </c>
      <c r="G116" s="2">
        <v>11</v>
      </c>
      <c r="H116" s="2">
        <v>49</v>
      </c>
      <c r="I116" s="2"/>
      <c r="J116" s="2">
        <v>31098</v>
      </c>
      <c r="K116" s="2">
        <v>31123</v>
      </c>
      <c r="L116" s="2">
        <v>17</v>
      </c>
      <c r="M116" s="2" t="s">
        <v>3992</v>
      </c>
      <c r="N116" s="2" t="s">
        <v>3993</v>
      </c>
      <c r="O116" s="2" t="s">
        <v>3994</v>
      </c>
      <c r="P116" s="2" t="s">
        <v>3995</v>
      </c>
      <c r="Q116" s="2" t="s">
        <v>3996</v>
      </c>
      <c r="R116" s="2"/>
      <c r="S116" s="2" t="s">
        <v>1884</v>
      </c>
      <c r="T116" s="2"/>
      <c r="U116" s="2"/>
      <c r="V116" s="2" t="s">
        <v>3682</v>
      </c>
      <c r="W116" s="2"/>
      <c r="X116" s="2" t="s">
        <v>1508</v>
      </c>
      <c r="Y116" s="2" t="s">
        <v>3683</v>
      </c>
      <c r="Z116" s="2" t="s">
        <v>1641</v>
      </c>
      <c r="AA116" s="2" t="s">
        <v>1511</v>
      </c>
      <c r="AB116" s="2" t="s">
        <v>1591</v>
      </c>
      <c r="AC116" s="2" t="s">
        <v>1513</v>
      </c>
      <c r="AD116" s="2" t="s">
        <v>3997</v>
      </c>
    </row>
    <row r="117" spans="1:30" x14ac:dyDescent="0.45">
      <c r="A117" s="2" t="s">
        <v>4294</v>
      </c>
      <c r="B117" s="2" t="s">
        <v>4295</v>
      </c>
      <c r="C117" s="2" t="s">
        <v>4296</v>
      </c>
      <c r="D117" s="2" t="s">
        <v>4297</v>
      </c>
      <c r="E117" s="2">
        <v>2021</v>
      </c>
      <c r="F117" s="2" t="s">
        <v>4278</v>
      </c>
      <c r="G117" s="2"/>
      <c r="H117" s="2"/>
      <c r="I117" s="2"/>
      <c r="J117" s="2">
        <v>407</v>
      </c>
      <c r="K117" s="2">
        <v>427</v>
      </c>
      <c r="L117" s="2">
        <v>17</v>
      </c>
      <c r="M117" s="2" t="s">
        <v>4298</v>
      </c>
      <c r="N117" s="2" t="s">
        <v>4299</v>
      </c>
      <c r="O117" s="2" t="s">
        <v>4300</v>
      </c>
      <c r="P117" s="2" t="s">
        <v>4301</v>
      </c>
      <c r="Q117" s="2"/>
      <c r="R117" s="2"/>
      <c r="S117" s="2" t="s">
        <v>3028</v>
      </c>
      <c r="T117" s="2"/>
      <c r="U117" s="2" t="s">
        <v>4283</v>
      </c>
      <c r="V117" s="2"/>
      <c r="W117" s="2"/>
      <c r="X117" s="2" t="s">
        <v>1508</v>
      </c>
      <c r="Y117" s="2" t="s">
        <v>4278</v>
      </c>
      <c r="Z117" s="2" t="s">
        <v>2278</v>
      </c>
      <c r="AA117" s="2" t="s">
        <v>1511</v>
      </c>
      <c r="AB117" s="2"/>
      <c r="AC117" s="2" t="s">
        <v>1513</v>
      </c>
      <c r="AD117" s="2" t="s">
        <v>4302</v>
      </c>
    </row>
    <row r="118" spans="1:30" x14ac:dyDescent="0.45">
      <c r="A118" s="2" t="s">
        <v>4602</v>
      </c>
      <c r="B118" s="2" t="s">
        <v>4603</v>
      </c>
      <c r="C118" s="2" t="s">
        <v>4604</v>
      </c>
      <c r="D118" s="2" t="s">
        <v>1117</v>
      </c>
      <c r="E118" s="2">
        <v>2020</v>
      </c>
      <c r="F118" s="2" t="s">
        <v>4605</v>
      </c>
      <c r="G118" s="2">
        <v>34</v>
      </c>
      <c r="H118" s="2">
        <v>10</v>
      </c>
      <c r="I118" s="2"/>
      <c r="J118" s="2">
        <v>2131</v>
      </c>
      <c r="K118" s="2">
        <v>2146</v>
      </c>
      <c r="L118" s="2">
        <v>17</v>
      </c>
      <c r="M118" s="2" t="s">
        <v>4606</v>
      </c>
      <c r="N118" s="2" t="s">
        <v>4607</v>
      </c>
      <c r="O118" s="2" t="s">
        <v>4608</v>
      </c>
      <c r="P118" s="2" t="s">
        <v>4609</v>
      </c>
      <c r="Q118" s="2" t="s">
        <v>4610</v>
      </c>
      <c r="R118" s="2"/>
      <c r="S118" s="2" t="s">
        <v>4611</v>
      </c>
      <c r="T118" s="2">
        <v>2698463</v>
      </c>
      <c r="U118" s="2"/>
      <c r="V118" s="2" t="s">
        <v>4612</v>
      </c>
      <c r="W118" s="2"/>
      <c r="X118" s="2" t="s">
        <v>1508</v>
      </c>
      <c r="Y118" s="2" t="s">
        <v>4613</v>
      </c>
      <c r="Z118" s="2" t="s">
        <v>1510</v>
      </c>
      <c r="AA118" s="2" t="s">
        <v>1511</v>
      </c>
      <c r="AB118" s="2"/>
      <c r="AC118" s="2" t="s">
        <v>1513</v>
      </c>
      <c r="AD118" s="2" t="s">
        <v>4614</v>
      </c>
    </row>
    <row r="119" spans="1:30" x14ac:dyDescent="0.45">
      <c r="A119" s="2" t="s">
        <v>4695</v>
      </c>
      <c r="B119" s="2" t="s">
        <v>4696</v>
      </c>
      <c r="C119" s="2" t="s">
        <v>4697</v>
      </c>
      <c r="D119" s="2" t="s">
        <v>785</v>
      </c>
      <c r="E119" s="2">
        <v>2020</v>
      </c>
      <c r="F119" s="2" t="s">
        <v>4698</v>
      </c>
      <c r="G119" s="2">
        <v>138</v>
      </c>
      <c r="H119" s="2"/>
      <c r="I119" s="2">
        <v>105697</v>
      </c>
      <c r="J119" s="2"/>
      <c r="K119" s="2"/>
      <c r="L119" s="2">
        <v>17</v>
      </c>
      <c r="M119" s="2" t="s">
        <v>4699</v>
      </c>
      <c r="N119" s="2" t="s">
        <v>4700</v>
      </c>
      <c r="O119" s="2" t="s">
        <v>4701</v>
      </c>
      <c r="P119" s="2" t="s">
        <v>4702</v>
      </c>
      <c r="Q119" s="2" t="s">
        <v>4703</v>
      </c>
      <c r="R119" s="2"/>
      <c r="S119" s="2" t="s">
        <v>1524</v>
      </c>
      <c r="T119" s="2">
        <v>1421123</v>
      </c>
      <c r="U119" s="2"/>
      <c r="V119" s="2" t="s">
        <v>4704</v>
      </c>
      <c r="W119" s="2"/>
      <c r="X119" s="2" t="s">
        <v>1508</v>
      </c>
      <c r="Y119" s="2" t="s">
        <v>4705</v>
      </c>
      <c r="Z119" s="2" t="s">
        <v>1510</v>
      </c>
      <c r="AA119" s="2" t="s">
        <v>1511</v>
      </c>
      <c r="AB119" s="2"/>
      <c r="AC119" s="2" t="s">
        <v>1513</v>
      </c>
      <c r="AD119" s="2" t="s">
        <v>4706</v>
      </c>
    </row>
    <row r="120" spans="1:30" x14ac:dyDescent="0.45">
      <c r="A120" s="2" t="s">
        <v>5166</v>
      </c>
      <c r="B120" s="2" t="s">
        <v>5167</v>
      </c>
      <c r="C120" s="2" t="s">
        <v>5168</v>
      </c>
      <c r="D120" s="2" t="s">
        <v>5169</v>
      </c>
      <c r="E120" s="2">
        <v>2020</v>
      </c>
      <c r="F120" s="2" t="s">
        <v>5170</v>
      </c>
      <c r="G120" s="2">
        <v>126</v>
      </c>
      <c r="H120" s="2">
        <v>1</v>
      </c>
      <c r="I120" s="2"/>
      <c r="J120" s="2">
        <v>148</v>
      </c>
      <c r="K120" s="2">
        <v>155</v>
      </c>
      <c r="L120" s="2">
        <v>17</v>
      </c>
      <c r="M120" s="2" t="s">
        <v>5171</v>
      </c>
      <c r="N120" s="2" t="s">
        <v>5172</v>
      </c>
      <c r="O120" s="2" t="s">
        <v>5173</v>
      </c>
      <c r="P120" s="2" t="s">
        <v>5174</v>
      </c>
      <c r="Q120" s="2" t="s">
        <v>5175</v>
      </c>
      <c r="R120" s="2"/>
      <c r="S120" s="2" t="s">
        <v>5176</v>
      </c>
      <c r="T120" s="2" t="s">
        <v>5177</v>
      </c>
      <c r="U120" s="2"/>
      <c r="V120" s="2" t="s">
        <v>5178</v>
      </c>
      <c r="W120" s="2">
        <v>31544234</v>
      </c>
      <c r="X120" s="2" t="s">
        <v>1508</v>
      </c>
      <c r="Y120" s="2" t="s">
        <v>5170</v>
      </c>
      <c r="Z120" s="2" t="s">
        <v>1510</v>
      </c>
      <c r="AA120" s="2" t="s">
        <v>1511</v>
      </c>
      <c r="AB120" s="2"/>
      <c r="AC120" s="2" t="s">
        <v>1513</v>
      </c>
      <c r="AD120" s="2" t="s">
        <v>5179</v>
      </c>
    </row>
    <row r="121" spans="1:30" x14ac:dyDescent="0.45">
      <c r="A121" s="2" t="s">
        <v>3885</v>
      </c>
      <c r="B121" s="2" t="s">
        <v>3886</v>
      </c>
      <c r="C121" s="2" t="s">
        <v>3887</v>
      </c>
      <c r="D121" s="2" t="s">
        <v>3888</v>
      </c>
      <c r="E121" s="2">
        <v>2021</v>
      </c>
      <c r="F121" s="2" t="s">
        <v>3115</v>
      </c>
      <c r="G121" s="2">
        <v>12</v>
      </c>
      <c r="H121" s="2"/>
      <c r="I121" s="2">
        <v>732298</v>
      </c>
      <c r="J121" s="2"/>
      <c r="K121" s="2"/>
      <c r="L121" s="2">
        <v>16</v>
      </c>
      <c r="M121" s="2" t="s">
        <v>3889</v>
      </c>
      <c r="N121" s="2" t="s">
        <v>3890</v>
      </c>
      <c r="O121" s="2" t="s">
        <v>3891</v>
      </c>
      <c r="P121" s="2" t="s">
        <v>3892</v>
      </c>
      <c r="Q121" s="2"/>
      <c r="R121" s="2"/>
      <c r="S121" s="2" t="s">
        <v>3121</v>
      </c>
      <c r="T121" s="2"/>
      <c r="U121" s="2"/>
      <c r="V121" s="2"/>
      <c r="W121" s="2">
        <v>34745102</v>
      </c>
      <c r="X121" s="2" t="s">
        <v>1508</v>
      </c>
      <c r="Y121" s="2" t="s">
        <v>3122</v>
      </c>
      <c r="Z121" s="2" t="s">
        <v>1510</v>
      </c>
      <c r="AA121" s="2" t="s">
        <v>1511</v>
      </c>
      <c r="AB121" s="2" t="s">
        <v>1591</v>
      </c>
      <c r="AC121" s="2" t="s">
        <v>1513</v>
      </c>
      <c r="AD121" s="2" t="s">
        <v>3893</v>
      </c>
    </row>
    <row r="122" spans="1:30" x14ac:dyDescent="0.45">
      <c r="A122" s="2" t="s">
        <v>1887</v>
      </c>
      <c r="B122" s="2" t="s">
        <v>1888</v>
      </c>
      <c r="C122" s="2" t="s">
        <v>1889</v>
      </c>
      <c r="D122" s="2" t="s">
        <v>1890</v>
      </c>
      <c r="E122" s="2">
        <v>2024</v>
      </c>
      <c r="F122" s="2" t="s">
        <v>1891</v>
      </c>
      <c r="G122" s="2">
        <v>34</v>
      </c>
      <c r="H122" s="2">
        <v>29</v>
      </c>
      <c r="I122" s="2">
        <v>2313793</v>
      </c>
      <c r="J122" s="2"/>
      <c r="K122" s="2"/>
      <c r="L122" s="2">
        <v>15</v>
      </c>
      <c r="M122" s="2" t="s">
        <v>1892</v>
      </c>
      <c r="N122" s="2" t="s">
        <v>1893</v>
      </c>
      <c r="O122" s="2" t="s">
        <v>1894</v>
      </c>
      <c r="P122" s="2" t="s">
        <v>1895</v>
      </c>
      <c r="Q122" s="2" t="s">
        <v>1896</v>
      </c>
      <c r="R122" s="2"/>
      <c r="S122" s="2" t="s">
        <v>1715</v>
      </c>
      <c r="T122" s="2" t="s">
        <v>1897</v>
      </c>
      <c r="U122" s="2"/>
      <c r="V122" s="2" t="s">
        <v>1898</v>
      </c>
      <c r="W122" s="2"/>
      <c r="X122" s="2" t="s">
        <v>1508</v>
      </c>
      <c r="Y122" s="2" t="s">
        <v>1899</v>
      </c>
      <c r="Z122" s="2" t="s">
        <v>1510</v>
      </c>
      <c r="AA122" s="2" t="s">
        <v>1511</v>
      </c>
      <c r="AB122" s="2" t="s">
        <v>1512</v>
      </c>
      <c r="AC122" s="2" t="s">
        <v>1513</v>
      </c>
      <c r="AD122" s="2" t="s">
        <v>1900</v>
      </c>
    </row>
    <row r="123" spans="1:30" x14ac:dyDescent="0.45">
      <c r="A123" s="2" t="s">
        <v>2133</v>
      </c>
      <c r="B123" s="2" t="s">
        <v>2134</v>
      </c>
      <c r="C123" s="2" t="s">
        <v>2135</v>
      </c>
      <c r="D123" s="2" t="s">
        <v>95</v>
      </c>
      <c r="E123" s="2">
        <v>2024</v>
      </c>
      <c r="F123" s="2" t="s">
        <v>2136</v>
      </c>
      <c r="G123" s="2">
        <v>112</v>
      </c>
      <c r="H123" s="2"/>
      <c r="I123" s="2"/>
      <c r="J123" s="2">
        <v>1</v>
      </c>
      <c r="K123" s="2">
        <v>13</v>
      </c>
      <c r="L123" s="2">
        <v>15</v>
      </c>
      <c r="M123" s="2" t="s">
        <v>2137</v>
      </c>
      <c r="N123" s="2" t="s">
        <v>2138</v>
      </c>
      <c r="O123" s="2" t="s">
        <v>2139</v>
      </c>
      <c r="P123" s="2" t="s">
        <v>2140</v>
      </c>
      <c r="Q123" s="2" t="s">
        <v>2141</v>
      </c>
      <c r="R123" s="2"/>
      <c r="S123" s="2" t="s">
        <v>1524</v>
      </c>
      <c r="T123" s="2">
        <v>15266125</v>
      </c>
      <c r="U123" s="2"/>
      <c r="V123" s="2"/>
      <c r="W123" s="2"/>
      <c r="X123" s="2" t="s">
        <v>1508</v>
      </c>
      <c r="Y123" s="2" t="s">
        <v>2142</v>
      </c>
      <c r="Z123" s="2" t="s">
        <v>1510</v>
      </c>
      <c r="AA123" s="2" t="s">
        <v>1511</v>
      </c>
      <c r="AB123" s="2"/>
      <c r="AC123" s="2" t="s">
        <v>1513</v>
      </c>
      <c r="AD123" s="2" t="s">
        <v>2143</v>
      </c>
    </row>
    <row r="124" spans="1:30" x14ac:dyDescent="0.45">
      <c r="A124" s="2" t="s">
        <v>2337</v>
      </c>
      <c r="B124" s="2" t="s">
        <v>2338</v>
      </c>
      <c r="C124" s="2" t="s">
        <v>2339</v>
      </c>
      <c r="D124" s="2" t="s">
        <v>2340</v>
      </c>
      <c r="E124" s="2">
        <v>2023</v>
      </c>
      <c r="F124" s="2" t="s">
        <v>2341</v>
      </c>
      <c r="G124" s="2">
        <v>2</v>
      </c>
      <c r="H124" s="2">
        <v>4</v>
      </c>
      <c r="I124" s="2"/>
      <c r="J124" s="2">
        <v>903</v>
      </c>
      <c r="K124" s="2">
        <v>927</v>
      </c>
      <c r="L124" s="2">
        <v>15</v>
      </c>
      <c r="M124" s="2" t="s">
        <v>2342</v>
      </c>
      <c r="N124" s="2" t="s">
        <v>2343</v>
      </c>
      <c r="O124" s="2" t="s">
        <v>1735</v>
      </c>
      <c r="P124" s="2" t="s">
        <v>2344</v>
      </c>
      <c r="Q124" s="2"/>
      <c r="R124" s="2"/>
      <c r="S124" s="2" t="s">
        <v>1884</v>
      </c>
      <c r="T124" s="2"/>
      <c r="U124" s="2"/>
      <c r="V124" s="2"/>
      <c r="W124" s="2"/>
      <c r="X124" s="2" t="s">
        <v>1508</v>
      </c>
      <c r="Y124" s="2" t="s">
        <v>2345</v>
      </c>
      <c r="Z124" s="2" t="s">
        <v>1510</v>
      </c>
      <c r="AA124" s="2" t="s">
        <v>1511</v>
      </c>
      <c r="AB124" s="2" t="s">
        <v>1603</v>
      </c>
      <c r="AC124" s="2" t="s">
        <v>1513</v>
      </c>
      <c r="AD124" s="2" t="s">
        <v>2346</v>
      </c>
    </row>
    <row r="125" spans="1:30" x14ac:dyDescent="0.45">
      <c r="A125" s="2" t="s">
        <v>3953</v>
      </c>
      <c r="B125" s="2" t="s">
        <v>3954</v>
      </c>
      <c r="C125" s="2" t="s">
        <v>3955</v>
      </c>
      <c r="D125" s="2" t="s">
        <v>3956</v>
      </c>
      <c r="E125" s="2">
        <v>2021</v>
      </c>
      <c r="F125" s="2" t="s">
        <v>2088</v>
      </c>
      <c r="G125" s="2">
        <v>21</v>
      </c>
      <c r="H125" s="2">
        <v>17</v>
      </c>
      <c r="I125" s="2">
        <v>5947</v>
      </c>
      <c r="J125" s="2"/>
      <c r="K125" s="2"/>
      <c r="L125" s="2">
        <v>15</v>
      </c>
      <c r="M125" s="2" t="s">
        <v>3957</v>
      </c>
      <c r="N125" s="2" t="s">
        <v>3958</v>
      </c>
      <c r="O125" s="2" t="s">
        <v>3959</v>
      </c>
      <c r="P125" s="2" t="s">
        <v>3960</v>
      </c>
      <c r="Q125" s="2" t="s">
        <v>3961</v>
      </c>
      <c r="R125" s="2"/>
      <c r="S125" s="2" t="s">
        <v>2805</v>
      </c>
      <c r="T125" s="2">
        <v>14248220</v>
      </c>
      <c r="U125" s="2"/>
      <c r="V125" s="2"/>
      <c r="W125" s="2">
        <v>34502838</v>
      </c>
      <c r="X125" s="2" t="s">
        <v>1508</v>
      </c>
      <c r="Y125" s="2" t="s">
        <v>2088</v>
      </c>
      <c r="Z125" s="2" t="s">
        <v>1510</v>
      </c>
      <c r="AA125" s="2" t="s">
        <v>1511</v>
      </c>
      <c r="AB125" s="2" t="s">
        <v>3962</v>
      </c>
      <c r="AC125" s="2" t="s">
        <v>1513</v>
      </c>
      <c r="AD125" s="2" t="s">
        <v>3963</v>
      </c>
    </row>
    <row r="126" spans="1:30" x14ac:dyDescent="0.45">
      <c r="A126" s="2" t="s">
        <v>4146</v>
      </c>
      <c r="B126" s="2" t="s">
        <v>4147</v>
      </c>
      <c r="C126" s="2" t="s">
        <v>4148</v>
      </c>
      <c r="D126" s="2" t="s">
        <v>4149</v>
      </c>
      <c r="E126" s="2">
        <v>2021</v>
      </c>
      <c r="F126" s="2" t="s">
        <v>4150</v>
      </c>
      <c r="G126" s="2">
        <v>8</v>
      </c>
      <c r="H126" s="2"/>
      <c r="I126" s="2">
        <v>639823</v>
      </c>
      <c r="J126" s="2"/>
      <c r="K126" s="2"/>
      <c r="L126" s="2">
        <v>15</v>
      </c>
      <c r="M126" s="2" t="s">
        <v>4151</v>
      </c>
      <c r="N126" s="2" t="s">
        <v>4152</v>
      </c>
      <c r="O126" s="2" t="s">
        <v>2363</v>
      </c>
      <c r="P126" s="2" t="s">
        <v>4153</v>
      </c>
      <c r="Q126" s="2" t="s">
        <v>4154</v>
      </c>
      <c r="R126" s="2"/>
      <c r="S126" s="2" t="s">
        <v>3121</v>
      </c>
      <c r="T126" s="2"/>
      <c r="U126" s="2"/>
      <c r="V126" s="2"/>
      <c r="W126" s="2"/>
      <c r="X126" s="2" t="s">
        <v>1508</v>
      </c>
      <c r="Y126" s="2" t="s">
        <v>4155</v>
      </c>
      <c r="Z126" s="2" t="s">
        <v>1510</v>
      </c>
      <c r="AA126" s="2" t="s">
        <v>1511</v>
      </c>
      <c r="AB126" s="2" t="s">
        <v>3156</v>
      </c>
      <c r="AC126" s="2" t="s">
        <v>1513</v>
      </c>
      <c r="AD126" s="2" t="s">
        <v>4156</v>
      </c>
    </row>
    <row r="127" spans="1:30" x14ac:dyDescent="0.45">
      <c r="A127" s="2" t="s">
        <v>4363</v>
      </c>
      <c r="B127" s="2" t="s">
        <v>4364</v>
      </c>
      <c r="C127" s="2" t="s">
        <v>4365</v>
      </c>
      <c r="D127" s="2" t="s">
        <v>4366</v>
      </c>
      <c r="E127" s="2">
        <v>2021</v>
      </c>
      <c r="F127" s="2" t="s">
        <v>4367</v>
      </c>
      <c r="G127" s="2">
        <v>21</v>
      </c>
      <c r="H127" s="2">
        <v>1</v>
      </c>
      <c r="I127" s="2">
        <v>225</v>
      </c>
      <c r="J127" s="2">
        <v>1</v>
      </c>
      <c r="K127" s="2">
        <v>25</v>
      </c>
      <c r="L127" s="2">
        <v>15</v>
      </c>
      <c r="M127" s="2" t="s">
        <v>4368</v>
      </c>
      <c r="N127" s="2" t="s">
        <v>4369</v>
      </c>
      <c r="O127" s="2" t="s">
        <v>4370</v>
      </c>
      <c r="P127" s="2" t="s">
        <v>4371</v>
      </c>
      <c r="Q127" s="2" t="s">
        <v>4372</v>
      </c>
      <c r="R127" s="2"/>
      <c r="S127" s="2" t="s">
        <v>4373</v>
      </c>
      <c r="T127" s="2">
        <v>14248220</v>
      </c>
      <c r="U127" s="2"/>
      <c r="V127" s="2"/>
      <c r="W127" s="2">
        <v>33401380</v>
      </c>
      <c r="X127" s="2" t="s">
        <v>1508</v>
      </c>
      <c r="Y127" s="2" t="s">
        <v>2088</v>
      </c>
      <c r="Z127" s="2" t="s">
        <v>1510</v>
      </c>
      <c r="AA127" s="2" t="s">
        <v>1511</v>
      </c>
      <c r="AB127" s="2" t="s">
        <v>1591</v>
      </c>
      <c r="AC127" s="2" t="s">
        <v>1513</v>
      </c>
      <c r="AD127" s="2" t="s">
        <v>4374</v>
      </c>
    </row>
    <row r="128" spans="1:30" x14ac:dyDescent="0.45">
      <c r="A128" s="2" t="s">
        <v>4871</v>
      </c>
      <c r="B128" s="2" t="s">
        <v>4872</v>
      </c>
      <c r="C128" s="2" t="s">
        <v>4873</v>
      </c>
      <c r="D128" s="2" t="s">
        <v>4874</v>
      </c>
      <c r="E128" s="2">
        <v>2020</v>
      </c>
      <c r="F128" s="2" t="s">
        <v>4875</v>
      </c>
      <c r="G128" s="2">
        <v>549</v>
      </c>
      <c r="H128" s="2"/>
      <c r="I128" s="2"/>
      <c r="J128" s="2">
        <v>130</v>
      </c>
      <c r="K128" s="2">
        <v>141</v>
      </c>
      <c r="L128" s="2">
        <v>15</v>
      </c>
      <c r="M128" s="2" t="s">
        <v>4876</v>
      </c>
      <c r="N128" s="2" t="s">
        <v>4877</v>
      </c>
      <c r="O128" s="2" t="s">
        <v>4878</v>
      </c>
      <c r="P128" s="2" t="s">
        <v>4879</v>
      </c>
      <c r="Q128" s="2" t="s">
        <v>4880</v>
      </c>
      <c r="R128" s="2"/>
      <c r="S128" s="2" t="s">
        <v>1524</v>
      </c>
      <c r="T128" s="2">
        <v>10406182</v>
      </c>
      <c r="U128" s="2"/>
      <c r="V128" s="2"/>
      <c r="W128" s="2"/>
      <c r="X128" s="2" t="s">
        <v>1508</v>
      </c>
      <c r="Y128" s="2" t="s">
        <v>4881</v>
      </c>
      <c r="Z128" s="2" t="s">
        <v>1510</v>
      </c>
      <c r="AA128" s="2" t="s">
        <v>1511</v>
      </c>
      <c r="AB128" s="2" t="s">
        <v>1512</v>
      </c>
      <c r="AC128" s="2" t="s">
        <v>1513</v>
      </c>
      <c r="AD128" s="2" t="s">
        <v>4882</v>
      </c>
    </row>
    <row r="129" spans="1:30" x14ac:dyDescent="0.45">
      <c r="A129" s="2" t="s">
        <v>5143</v>
      </c>
      <c r="B129" s="2" t="s">
        <v>5144</v>
      </c>
      <c r="C129" s="2" t="s">
        <v>5145</v>
      </c>
      <c r="D129" s="2" t="s">
        <v>5146</v>
      </c>
      <c r="E129" s="2">
        <v>2020</v>
      </c>
      <c r="F129" s="2" t="s">
        <v>5147</v>
      </c>
      <c r="G129" s="2"/>
      <c r="H129" s="2"/>
      <c r="I129" s="2"/>
      <c r="J129" s="2">
        <v>625</v>
      </c>
      <c r="K129" s="2">
        <v>631</v>
      </c>
      <c r="L129" s="2">
        <v>15</v>
      </c>
      <c r="M129" s="2" t="s">
        <v>5148</v>
      </c>
      <c r="N129" s="2" t="s">
        <v>5149</v>
      </c>
      <c r="O129" s="2" t="s">
        <v>5150</v>
      </c>
      <c r="P129" s="2" t="s">
        <v>5151</v>
      </c>
      <c r="Q129" s="2" t="s">
        <v>5152</v>
      </c>
      <c r="R129" s="2"/>
      <c r="S129" s="2" t="s">
        <v>4396</v>
      </c>
      <c r="T129" s="2">
        <v>952990</v>
      </c>
      <c r="U129" s="2"/>
      <c r="V129" s="2" t="s">
        <v>5153</v>
      </c>
      <c r="W129" s="2">
        <v>32689810</v>
      </c>
      <c r="X129" s="2" t="s">
        <v>1508</v>
      </c>
      <c r="Y129" s="2" t="s">
        <v>5154</v>
      </c>
      <c r="Z129" s="2" t="s">
        <v>1510</v>
      </c>
      <c r="AA129" s="2" t="s">
        <v>1511</v>
      </c>
      <c r="AB129" s="2" t="s">
        <v>2007</v>
      </c>
      <c r="AC129" s="2" t="s">
        <v>1513</v>
      </c>
      <c r="AD129" s="2" t="s">
        <v>5155</v>
      </c>
    </row>
    <row r="130" spans="1:30" x14ac:dyDescent="0.45">
      <c r="A130" s="2" t="s">
        <v>1667</v>
      </c>
      <c r="B130" s="2" t="s">
        <v>1668</v>
      </c>
      <c r="C130" s="2" t="s">
        <v>1669</v>
      </c>
      <c r="D130" s="2" t="s">
        <v>1670</v>
      </c>
      <c r="E130" s="2">
        <v>2024</v>
      </c>
      <c r="F130" s="2" t="s">
        <v>1671</v>
      </c>
      <c r="G130" s="2">
        <v>8</v>
      </c>
      <c r="H130" s="2">
        <v>11</v>
      </c>
      <c r="I130" s="2"/>
      <c r="J130" s="2" t="s">
        <v>1672</v>
      </c>
      <c r="K130" s="2" t="s">
        <v>1673</v>
      </c>
      <c r="L130" s="2">
        <v>14</v>
      </c>
      <c r="M130" s="2" t="s">
        <v>1674</v>
      </c>
      <c r="N130" s="2" t="s">
        <v>1675</v>
      </c>
      <c r="O130" s="2" t="s">
        <v>1676</v>
      </c>
      <c r="P130" s="2" t="s">
        <v>1677</v>
      </c>
      <c r="Q130" s="2" t="s">
        <v>1678</v>
      </c>
      <c r="R130" s="2"/>
      <c r="S130" s="2" t="s">
        <v>1506</v>
      </c>
      <c r="T130" s="2"/>
      <c r="U130" s="2"/>
      <c r="V130" s="2"/>
      <c r="W130" s="2">
        <v>39515356</v>
      </c>
      <c r="X130" s="2" t="s">
        <v>1508</v>
      </c>
      <c r="Y130" s="2" t="s">
        <v>1679</v>
      </c>
      <c r="Z130" s="2" t="s">
        <v>1641</v>
      </c>
      <c r="AA130" s="2" t="s">
        <v>1511</v>
      </c>
      <c r="AB130" s="2" t="s">
        <v>1603</v>
      </c>
      <c r="AC130" s="2" t="s">
        <v>1513</v>
      </c>
      <c r="AD130" s="2" t="s">
        <v>1680</v>
      </c>
    </row>
    <row r="131" spans="1:30" x14ac:dyDescent="0.45">
      <c r="A131" s="2" t="s">
        <v>1875</v>
      </c>
      <c r="B131" s="2" t="s">
        <v>1876</v>
      </c>
      <c r="C131" s="2" t="s">
        <v>1877</v>
      </c>
      <c r="D131" s="2" t="s">
        <v>134</v>
      </c>
      <c r="E131" s="2">
        <v>2024</v>
      </c>
      <c r="F131" s="2" t="s">
        <v>1878</v>
      </c>
      <c r="G131" s="2">
        <v>2</v>
      </c>
      <c r="H131" s="2">
        <v>5</v>
      </c>
      <c r="I131" s="2"/>
      <c r="J131" s="2">
        <v>1037</v>
      </c>
      <c r="K131" s="2">
        <v>1058</v>
      </c>
      <c r="L131" s="2">
        <v>14</v>
      </c>
      <c r="M131" s="2" t="s">
        <v>1879</v>
      </c>
      <c r="N131" s="2" t="s">
        <v>1880</v>
      </c>
      <c r="O131" s="2" t="s">
        <v>1881</v>
      </c>
      <c r="P131" s="2" t="s">
        <v>1882</v>
      </c>
      <c r="Q131" s="2" t="s">
        <v>1883</v>
      </c>
      <c r="R131" s="2"/>
      <c r="S131" s="2" t="s">
        <v>1884</v>
      </c>
      <c r="T131" s="2"/>
      <c r="U131" s="2"/>
      <c r="V131" s="2"/>
      <c r="W131" s="2"/>
      <c r="X131" s="2" t="s">
        <v>1508</v>
      </c>
      <c r="Y131" s="2" t="s">
        <v>1885</v>
      </c>
      <c r="Z131" s="2" t="s">
        <v>1641</v>
      </c>
      <c r="AA131" s="2" t="s">
        <v>1511</v>
      </c>
      <c r="AB131" s="2" t="s">
        <v>1603</v>
      </c>
      <c r="AC131" s="2" t="s">
        <v>1513</v>
      </c>
      <c r="AD131" s="2" t="s">
        <v>1886</v>
      </c>
    </row>
    <row r="132" spans="1:30" x14ac:dyDescent="0.45">
      <c r="A132" s="2" t="s">
        <v>2774</v>
      </c>
      <c r="B132" s="2" t="s">
        <v>2775</v>
      </c>
      <c r="C132" s="2" t="s">
        <v>2776</v>
      </c>
      <c r="D132" s="2" t="s">
        <v>2777</v>
      </c>
      <c r="E132" s="2">
        <v>2023</v>
      </c>
      <c r="F132" s="2" t="s">
        <v>2778</v>
      </c>
      <c r="G132" s="2">
        <v>24</v>
      </c>
      <c r="H132" s="2">
        <v>4</v>
      </c>
      <c r="I132" s="2"/>
      <c r="J132" s="2">
        <v>1273</v>
      </c>
      <c r="K132" s="2">
        <v>1289</v>
      </c>
      <c r="L132" s="2">
        <v>14</v>
      </c>
      <c r="M132" s="2" t="s">
        <v>2779</v>
      </c>
      <c r="N132" s="2" t="s">
        <v>2780</v>
      </c>
      <c r="O132" s="2" t="s">
        <v>2781</v>
      </c>
      <c r="P132" s="2" t="s">
        <v>2782</v>
      </c>
      <c r="Q132" s="2" t="s">
        <v>2783</v>
      </c>
      <c r="R132" s="2"/>
      <c r="S132" s="2" t="s">
        <v>2071</v>
      </c>
      <c r="T132" s="2">
        <v>14680874</v>
      </c>
      <c r="U132" s="2"/>
      <c r="V132" s="2"/>
      <c r="W132" s="2"/>
      <c r="X132" s="2" t="s">
        <v>1508</v>
      </c>
      <c r="Y132" s="2" t="s">
        <v>2784</v>
      </c>
      <c r="Z132" s="2" t="s">
        <v>1510</v>
      </c>
      <c r="AA132" s="2" t="s">
        <v>1511</v>
      </c>
      <c r="AB132" s="2" t="s">
        <v>1512</v>
      </c>
      <c r="AC132" s="2" t="s">
        <v>1513</v>
      </c>
      <c r="AD132" s="2" t="s">
        <v>2785</v>
      </c>
    </row>
    <row r="133" spans="1:30" x14ac:dyDescent="0.45">
      <c r="A133" s="2" t="s">
        <v>3232</v>
      </c>
      <c r="B133" s="2" t="s">
        <v>3233</v>
      </c>
      <c r="C133" s="2" t="s">
        <v>3234</v>
      </c>
      <c r="D133" s="2" t="s">
        <v>3235</v>
      </c>
      <c r="E133" s="2">
        <v>2022</v>
      </c>
      <c r="F133" s="2" t="s">
        <v>3236</v>
      </c>
      <c r="G133" s="2">
        <v>14</v>
      </c>
      <c r="H133" s="2">
        <v>10</v>
      </c>
      <c r="I133" s="2">
        <v>209</v>
      </c>
      <c r="J133" s="2"/>
      <c r="K133" s="2"/>
      <c r="L133" s="2">
        <v>14</v>
      </c>
      <c r="M133" s="2" t="s">
        <v>3237</v>
      </c>
      <c r="N133" s="2" t="s">
        <v>3238</v>
      </c>
      <c r="O133" s="2" t="s">
        <v>3239</v>
      </c>
      <c r="P133" s="2" t="s">
        <v>3240</v>
      </c>
      <c r="Q133" s="2" t="s">
        <v>3241</v>
      </c>
      <c r="R133" s="2"/>
      <c r="S133" s="2" t="s">
        <v>1577</v>
      </c>
      <c r="T133" s="2">
        <v>18669557</v>
      </c>
      <c r="U133" s="2"/>
      <c r="V133" s="2"/>
      <c r="W133" s="2"/>
      <c r="X133" s="2" t="s">
        <v>1508</v>
      </c>
      <c r="Y133" s="2" t="s">
        <v>3242</v>
      </c>
      <c r="Z133" s="2" t="s">
        <v>1510</v>
      </c>
      <c r="AA133" s="2" t="s">
        <v>1511</v>
      </c>
      <c r="AB133" s="2" t="s">
        <v>1512</v>
      </c>
      <c r="AC133" s="2" t="s">
        <v>1513</v>
      </c>
      <c r="AD133" s="2" t="s">
        <v>3243</v>
      </c>
    </row>
    <row r="134" spans="1:30" x14ac:dyDescent="0.45">
      <c r="A134" s="2" t="s">
        <v>3335</v>
      </c>
      <c r="B134" s="2" t="s">
        <v>3336</v>
      </c>
      <c r="C134" s="2" t="s">
        <v>3337</v>
      </c>
      <c r="D134" s="2" t="s">
        <v>3338</v>
      </c>
      <c r="E134" s="2">
        <v>2022</v>
      </c>
      <c r="F134" s="2" t="s">
        <v>3339</v>
      </c>
      <c r="G134" s="2">
        <v>10</v>
      </c>
      <c r="H134" s="2">
        <v>17</v>
      </c>
      <c r="I134" s="2">
        <v>2200862</v>
      </c>
      <c r="J134" s="2"/>
      <c r="K134" s="2"/>
      <c r="L134" s="2">
        <v>14</v>
      </c>
      <c r="M134" s="2" t="s">
        <v>3340</v>
      </c>
      <c r="N134" s="2" t="s">
        <v>3341</v>
      </c>
      <c r="O134" s="2" t="s">
        <v>3342</v>
      </c>
      <c r="P134" s="2" t="s">
        <v>3343</v>
      </c>
      <c r="Q134" s="2" t="s">
        <v>3344</v>
      </c>
      <c r="R134" s="2"/>
      <c r="S134" s="2" t="s">
        <v>1715</v>
      </c>
      <c r="T134" s="2"/>
      <c r="U134" s="2"/>
      <c r="V134" s="2"/>
      <c r="W134" s="2"/>
      <c r="X134" s="2" t="s">
        <v>1508</v>
      </c>
      <c r="Y134" s="2" t="s">
        <v>3345</v>
      </c>
      <c r="Z134" s="2" t="s">
        <v>1510</v>
      </c>
      <c r="AA134" s="2" t="s">
        <v>1511</v>
      </c>
      <c r="AB134" s="2"/>
      <c r="AC134" s="2" t="s">
        <v>1513</v>
      </c>
      <c r="AD134" s="2" t="s">
        <v>3346</v>
      </c>
    </row>
    <row r="135" spans="1:30" x14ac:dyDescent="0.45">
      <c r="A135" s="2" t="s">
        <v>3531</v>
      </c>
      <c r="B135" s="2" t="s">
        <v>3532</v>
      </c>
      <c r="C135" s="2" t="s">
        <v>3533</v>
      </c>
      <c r="D135" s="2" t="s">
        <v>3534</v>
      </c>
      <c r="E135" s="2">
        <v>2022</v>
      </c>
      <c r="F135" s="2" t="s">
        <v>3535</v>
      </c>
      <c r="G135" s="2">
        <v>156</v>
      </c>
      <c r="H135" s="2">
        <v>8</v>
      </c>
      <c r="I135" s="2">
        <v>84903</v>
      </c>
      <c r="J135" s="2"/>
      <c r="K135" s="2"/>
      <c r="L135" s="2">
        <v>14</v>
      </c>
      <c r="M135" s="2" t="s">
        <v>3536</v>
      </c>
      <c r="N135" s="2" t="s">
        <v>3537</v>
      </c>
      <c r="O135" s="2" t="s">
        <v>3538</v>
      </c>
      <c r="P135" s="2" t="s">
        <v>3539</v>
      </c>
      <c r="Q135" s="2" t="s">
        <v>3540</v>
      </c>
      <c r="R135" s="2"/>
      <c r="S135" s="2" t="s">
        <v>2489</v>
      </c>
      <c r="T135" s="2">
        <v>219606</v>
      </c>
      <c r="U135" s="2"/>
      <c r="V135" s="2" t="s">
        <v>3541</v>
      </c>
      <c r="W135" s="2">
        <v>35232192</v>
      </c>
      <c r="X135" s="2" t="s">
        <v>1508</v>
      </c>
      <c r="Y135" s="2" t="s">
        <v>3542</v>
      </c>
      <c r="Z135" s="2" t="s">
        <v>1510</v>
      </c>
      <c r="AA135" s="2" t="s">
        <v>1511</v>
      </c>
      <c r="AB135" s="2"/>
      <c r="AC135" s="2" t="s">
        <v>1513</v>
      </c>
      <c r="AD135" s="2" t="s">
        <v>3543</v>
      </c>
    </row>
    <row r="136" spans="1:30" x14ac:dyDescent="0.45">
      <c r="A136" s="2" t="s">
        <v>3978</v>
      </c>
      <c r="B136" s="2" t="s">
        <v>3979</v>
      </c>
      <c r="C136" s="2" t="s">
        <v>3980</v>
      </c>
      <c r="D136" s="2" t="s">
        <v>3981</v>
      </c>
      <c r="E136" s="2">
        <v>2021</v>
      </c>
      <c r="F136" s="2" t="s">
        <v>3642</v>
      </c>
      <c r="G136" s="2">
        <v>40</v>
      </c>
      <c r="H136" s="2">
        <v>6</v>
      </c>
      <c r="I136" s="2"/>
      <c r="J136" s="2">
        <v>964</v>
      </c>
      <c r="K136" s="2">
        <v>973</v>
      </c>
      <c r="L136" s="2">
        <v>14</v>
      </c>
      <c r="M136" s="2" t="s">
        <v>3982</v>
      </c>
      <c r="N136" s="2" t="s">
        <v>3983</v>
      </c>
      <c r="O136" s="2" t="s">
        <v>3984</v>
      </c>
      <c r="P136" s="2" t="s">
        <v>3985</v>
      </c>
      <c r="Q136" s="2" t="s">
        <v>3986</v>
      </c>
      <c r="R136" s="2"/>
      <c r="S136" s="2" t="s">
        <v>1715</v>
      </c>
      <c r="T136" s="2">
        <v>9595236</v>
      </c>
      <c r="U136" s="2"/>
      <c r="V136" s="2"/>
      <c r="W136" s="2">
        <v>33604968</v>
      </c>
      <c r="X136" s="2" t="s">
        <v>1508</v>
      </c>
      <c r="Y136" s="2" t="s">
        <v>3648</v>
      </c>
      <c r="Z136" s="2" t="s">
        <v>1510</v>
      </c>
      <c r="AA136" s="2" t="s">
        <v>1511</v>
      </c>
      <c r="AB136" s="2" t="s">
        <v>2007</v>
      </c>
      <c r="AC136" s="2" t="s">
        <v>1513</v>
      </c>
      <c r="AD136" s="2" t="s">
        <v>3987</v>
      </c>
    </row>
    <row r="137" spans="1:30" x14ac:dyDescent="0.45">
      <c r="A137" s="2" t="s">
        <v>4425</v>
      </c>
      <c r="B137" s="2" t="s">
        <v>4426</v>
      </c>
      <c r="C137" s="2" t="s">
        <v>4427</v>
      </c>
      <c r="D137" s="2" t="s">
        <v>4428</v>
      </c>
      <c r="E137" s="2">
        <v>2020</v>
      </c>
      <c r="F137" s="2" t="s">
        <v>4429</v>
      </c>
      <c r="G137" s="2">
        <v>36</v>
      </c>
      <c r="H137" s="2">
        <v>48</v>
      </c>
      <c r="I137" s="2"/>
      <c r="J137" s="2">
        <v>14841</v>
      </c>
      <c r="K137" s="2">
        <v>14848</v>
      </c>
      <c r="L137" s="2">
        <v>14</v>
      </c>
      <c r="M137" s="2" t="s">
        <v>4430</v>
      </c>
      <c r="N137" s="2" t="s">
        <v>4431</v>
      </c>
      <c r="O137" s="2" t="s">
        <v>2101</v>
      </c>
      <c r="P137" s="2" t="s">
        <v>4432</v>
      </c>
      <c r="Q137" s="2" t="s">
        <v>1601</v>
      </c>
      <c r="R137" s="2"/>
      <c r="S137" s="2" t="s">
        <v>1783</v>
      </c>
      <c r="T137" s="2">
        <v>7437463</v>
      </c>
      <c r="U137" s="2"/>
      <c r="V137" s="2" t="s">
        <v>4433</v>
      </c>
      <c r="W137" s="2">
        <v>33249834</v>
      </c>
      <c r="X137" s="2" t="s">
        <v>1508</v>
      </c>
      <c r="Y137" s="2" t="s">
        <v>4429</v>
      </c>
      <c r="Z137" s="2" t="s">
        <v>1510</v>
      </c>
      <c r="AA137" s="2" t="s">
        <v>1511</v>
      </c>
      <c r="AB137" s="2"/>
      <c r="AC137" s="2" t="s">
        <v>1513</v>
      </c>
      <c r="AD137" s="2" t="s">
        <v>4434</v>
      </c>
    </row>
    <row r="138" spans="1:30" x14ac:dyDescent="0.45">
      <c r="A138" s="2" t="s">
        <v>2448</v>
      </c>
      <c r="B138" s="2" t="s">
        <v>2449</v>
      </c>
      <c r="C138" s="2" t="s">
        <v>2450</v>
      </c>
      <c r="D138" s="2" t="s">
        <v>2451</v>
      </c>
      <c r="E138" s="2">
        <v>2023</v>
      </c>
      <c r="F138" s="2" t="s">
        <v>1891</v>
      </c>
      <c r="G138" s="2">
        <v>33</v>
      </c>
      <c r="H138" s="2">
        <v>48</v>
      </c>
      <c r="I138" s="2">
        <v>2305733</v>
      </c>
      <c r="J138" s="2"/>
      <c r="K138" s="2"/>
      <c r="L138" s="2">
        <v>13</v>
      </c>
      <c r="M138" s="2" t="s">
        <v>2452</v>
      </c>
      <c r="N138" s="2" t="s">
        <v>2453</v>
      </c>
      <c r="O138" s="2" t="s">
        <v>2454</v>
      </c>
      <c r="P138" s="2" t="s">
        <v>2455</v>
      </c>
      <c r="Q138" s="2" t="s">
        <v>2456</v>
      </c>
      <c r="R138" s="2"/>
      <c r="S138" s="2" t="s">
        <v>1715</v>
      </c>
      <c r="T138" s="2" t="s">
        <v>1897</v>
      </c>
      <c r="U138" s="2"/>
      <c r="V138" s="2" t="s">
        <v>1898</v>
      </c>
      <c r="W138" s="2"/>
      <c r="X138" s="2" t="s">
        <v>1508</v>
      </c>
      <c r="Y138" s="2" t="s">
        <v>1899</v>
      </c>
      <c r="Z138" s="2" t="s">
        <v>1510</v>
      </c>
      <c r="AA138" s="2" t="s">
        <v>1511</v>
      </c>
      <c r="AB138" s="2"/>
      <c r="AC138" s="2" t="s">
        <v>1513</v>
      </c>
      <c r="AD138" s="2" t="s">
        <v>2457</v>
      </c>
    </row>
    <row r="139" spans="1:30" x14ac:dyDescent="0.45">
      <c r="A139" s="2" t="s">
        <v>3278</v>
      </c>
      <c r="B139" s="2" t="s">
        <v>3279</v>
      </c>
      <c r="C139" s="2" t="s">
        <v>3280</v>
      </c>
      <c r="D139" s="2" t="s">
        <v>1087</v>
      </c>
      <c r="E139" s="2">
        <v>2022</v>
      </c>
      <c r="F139" s="2" t="s">
        <v>3281</v>
      </c>
      <c r="G139" s="2">
        <v>38</v>
      </c>
      <c r="H139" s="2">
        <v>3</v>
      </c>
      <c r="I139" s="2"/>
      <c r="J139" s="2">
        <v>360</v>
      </c>
      <c r="K139" s="2">
        <v>383</v>
      </c>
      <c r="L139" s="2">
        <v>13</v>
      </c>
      <c r="M139" s="2" t="s">
        <v>3282</v>
      </c>
      <c r="N139" s="2" t="s">
        <v>3283</v>
      </c>
      <c r="O139" s="2" t="s">
        <v>3284</v>
      </c>
      <c r="P139" s="2" t="s">
        <v>3285</v>
      </c>
      <c r="Q139" s="2" t="s">
        <v>3286</v>
      </c>
      <c r="R139" s="2"/>
      <c r="S139" s="2" t="s">
        <v>2071</v>
      </c>
      <c r="T139" s="2" t="s">
        <v>3287</v>
      </c>
      <c r="U139" s="2"/>
      <c r="V139" s="2"/>
      <c r="W139" s="2"/>
      <c r="X139" s="2" t="s">
        <v>1508</v>
      </c>
      <c r="Y139" s="2" t="s">
        <v>3288</v>
      </c>
      <c r="Z139" s="2" t="s">
        <v>1510</v>
      </c>
      <c r="AA139" s="2" t="s">
        <v>1511</v>
      </c>
      <c r="AB139" s="2" t="s">
        <v>1539</v>
      </c>
      <c r="AC139" s="2" t="s">
        <v>1513</v>
      </c>
      <c r="AD139" s="2" t="s">
        <v>3289</v>
      </c>
    </row>
    <row r="140" spans="1:30" x14ac:dyDescent="0.45">
      <c r="A140" s="2" t="s">
        <v>4672</v>
      </c>
      <c r="B140" s="2" t="s">
        <v>4673</v>
      </c>
      <c r="C140" s="2" t="s">
        <v>4674</v>
      </c>
      <c r="D140" s="2" t="s">
        <v>4675</v>
      </c>
      <c r="E140" s="2">
        <v>2020</v>
      </c>
      <c r="F140" s="2" t="s">
        <v>4676</v>
      </c>
      <c r="G140" s="2">
        <v>83</v>
      </c>
      <c r="H140" s="2"/>
      <c r="I140" s="2">
        <v>102864</v>
      </c>
      <c r="J140" s="2"/>
      <c r="K140" s="2"/>
      <c r="L140" s="2">
        <v>13</v>
      </c>
      <c r="M140" s="2" t="s">
        <v>4677</v>
      </c>
      <c r="N140" s="2" t="s">
        <v>4678</v>
      </c>
      <c r="O140" s="2" t="s">
        <v>4679</v>
      </c>
      <c r="P140" s="2" t="s">
        <v>4680</v>
      </c>
      <c r="Q140" s="2" t="s">
        <v>4681</v>
      </c>
      <c r="R140" s="2"/>
      <c r="S140" s="2" t="s">
        <v>1506</v>
      </c>
      <c r="T140" s="2">
        <v>9553959</v>
      </c>
      <c r="U140" s="2"/>
      <c r="V140" s="2" t="s">
        <v>4682</v>
      </c>
      <c r="W140" s="2">
        <v>32702611</v>
      </c>
      <c r="X140" s="2" t="s">
        <v>1508</v>
      </c>
      <c r="Y140" s="2" t="s">
        <v>4683</v>
      </c>
      <c r="Z140" s="2" t="s">
        <v>1510</v>
      </c>
      <c r="AA140" s="2" t="s">
        <v>1511</v>
      </c>
      <c r="AB140" s="2" t="s">
        <v>2007</v>
      </c>
      <c r="AC140" s="2" t="s">
        <v>1513</v>
      </c>
      <c r="AD140" s="2" t="s">
        <v>4684</v>
      </c>
    </row>
    <row r="141" spans="1:30" x14ac:dyDescent="0.45">
      <c r="A141" s="2" t="s">
        <v>4964</v>
      </c>
      <c r="B141" s="2" t="s">
        <v>4965</v>
      </c>
      <c r="C141" s="2" t="s">
        <v>4966</v>
      </c>
      <c r="D141" s="2" t="s">
        <v>4967</v>
      </c>
      <c r="E141" s="2">
        <v>2020</v>
      </c>
      <c r="F141" s="2" t="s">
        <v>2111</v>
      </c>
      <c r="G141" s="2">
        <v>8</v>
      </c>
      <c r="H141" s="2">
        <v>10</v>
      </c>
      <c r="I141" s="2"/>
      <c r="J141" s="2">
        <v>3445</v>
      </c>
      <c r="K141" s="2">
        <v>3451</v>
      </c>
      <c r="L141" s="2">
        <v>13</v>
      </c>
      <c r="M141" s="2" t="s">
        <v>4968</v>
      </c>
      <c r="N141" s="2" t="s">
        <v>4969</v>
      </c>
      <c r="O141" s="2" t="s">
        <v>4970</v>
      </c>
      <c r="P141" s="2" t="s">
        <v>4971</v>
      </c>
      <c r="Q141" s="2" t="s">
        <v>4972</v>
      </c>
      <c r="R141" s="2"/>
      <c r="S141" s="2" t="s">
        <v>1884</v>
      </c>
      <c r="T141" s="2" t="s">
        <v>2117</v>
      </c>
      <c r="U141" s="2"/>
      <c r="V141" s="2" t="s">
        <v>2118</v>
      </c>
      <c r="W141" s="2"/>
      <c r="X141" s="2" t="s">
        <v>1508</v>
      </c>
      <c r="Y141" s="2" t="s">
        <v>2119</v>
      </c>
      <c r="Z141" s="2" t="s">
        <v>1510</v>
      </c>
      <c r="AA141" s="2" t="s">
        <v>1511</v>
      </c>
      <c r="AB141" s="2"/>
      <c r="AC141" s="2" t="s">
        <v>1513</v>
      </c>
      <c r="AD141" s="2" t="s">
        <v>4973</v>
      </c>
    </row>
    <row r="142" spans="1:30" x14ac:dyDescent="0.45">
      <c r="A142" s="2" t="s">
        <v>1924</v>
      </c>
      <c r="B142" s="2" t="s">
        <v>1925</v>
      </c>
      <c r="C142" s="2" t="s">
        <v>1926</v>
      </c>
      <c r="D142" s="2" t="s">
        <v>1030</v>
      </c>
      <c r="E142" s="2">
        <v>2024</v>
      </c>
      <c r="F142" s="2" t="s">
        <v>1927</v>
      </c>
      <c r="G142" s="2">
        <v>17</v>
      </c>
      <c r="H142" s="2">
        <v>13</v>
      </c>
      <c r="I142" s="2">
        <v>3306</v>
      </c>
      <c r="J142" s="2"/>
      <c r="K142" s="2"/>
      <c r="L142" s="2">
        <v>12</v>
      </c>
      <c r="M142" s="2" t="s">
        <v>1928</v>
      </c>
      <c r="N142" s="2" t="s">
        <v>1929</v>
      </c>
      <c r="O142" s="2" t="s">
        <v>1930</v>
      </c>
      <c r="P142" s="2" t="s">
        <v>1931</v>
      </c>
      <c r="Q142" s="2" t="s">
        <v>1932</v>
      </c>
      <c r="R142" s="2"/>
      <c r="S142" s="2" t="s">
        <v>1933</v>
      </c>
      <c r="T142" s="2"/>
      <c r="U142" s="2"/>
      <c r="V142" s="2"/>
      <c r="W142" s="2"/>
      <c r="X142" s="2" t="s">
        <v>1508</v>
      </c>
      <c r="Y142" s="2" t="s">
        <v>1934</v>
      </c>
      <c r="Z142" s="2" t="s">
        <v>1510</v>
      </c>
      <c r="AA142" s="2" t="s">
        <v>1511</v>
      </c>
      <c r="AB142" s="2" t="s">
        <v>1591</v>
      </c>
      <c r="AC142" s="2" t="s">
        <v>1513</v>
      </c>
      <c r="AD142" s="2" t="s">
        <v>1935</v>
      </c>
    </row>
    <row r="143" spans="1:30" x14ac:dyDescent="0.45">
      <c r="A143" s="2" t="s">
        <v>2601</v>
      </c>
      <c r="B143" s="2" t="s">
        <v>2602</v>
      </c>
      <c r="C143" s="2" t="s">
        <v>2603</v>
      </c>
      <c r="D143" s="2" t="s">
        <v>103</v>
      </c>
      <c r="E143" s="2">
        <v>2023</v>
      </c>
      <c r="F143" s="2" t="s">
        <v>2604</v>
      </c>
      <c r="G143" s="2">
        <v>2</v>
      </c>
      <c r="H143" s="2">
        <v>9</v>
      </c>
      <c r="I143" s="2">
        <v>2300003</v>
      </c>
      <c r="J143" s="2"/>
      <c r="K143" s="2"/>
      <c r="L143" s="2">
        <v>12</v>
      </c>
      <c r="M143" s="2" t="s">
        <v>2605</v>
      </c>
      <c r="N143" s="2" t="s">
        <v>2606</v>
      </c>
      <c r="O143" s="2" t="s">
        <v>2607</v>
      </c>
      <c r="P143" s="2" t="s">
        <v>2608</v>
      </c>
      <c r="Q143" s="2" t="s">
        <v>1550</v>
      </c>
      <c r="R143" s="2"/>
      <c r="S143" s="2" t="s">
        <v>2609</v>
      </c>
      <c r="T143" s="2"/>
      <c r="U143" s="2"/>
      <c r="V143" s="2"/>
      <c r="W143" s="2"/>
      <c r="X143" s="2" t="s">
        <v>1508</v>
      </c>
      <c r="Y143" s="2" t="s">
        <v>2610</v>
      </c>
      <c r="Z143" s="2" t="s">
        <v>1641</v>
      </c>
      <c r="AA143" s="2" t="s">
        <v>1511</v>
      </c>
      <c r="AB143" s="2" t="s">
        <v>1603</v>
      </c>
      <c r="AC143" s="2" t="s">
        <v>1513</v>
      </c>
      <c r="AD143" s="2" t="s">
        <v>2611</v>
      </c>
    </row>
    <row r="144" spans="1:30" x14ac:dyDescent="0.45">
      <c r="A144" s="2" t="s">
        <v>3673</v>
      </c>
      <c r="B144" s="2" t="s">
        <v>3674</v>
      </c>
      <c r="C144" s="2" t="s">
        <v>3675</v>
      </c>
      <c r="D144" s="2" t="s">
        <v>3676</v>
      </c>
      <c r="E144" s="2">
        <v>2022</v>
      </c>
      <c r="F144" s="2" t="s">
        <v>3677</v>
      </c>
      <c r="G144" s="2">
        <v>12</v>
      </c>
      <c r="H144" s="2">
        <v>2</v>
      </c>
      <c r="I144" s="2"/>
      <c r="J144" s="2">
        <v>822</v>
      </c>
      <c r="K144" s="2">
        <v>833</v>
      </c>
      <c r="L144" s="2">
        <v>12</v>
      </c>
      <c r="M144" s="2" t="s">
        <v>3678</v>
      </c>
      <c r="N144" s="2" t="s">
        <v>3679</v>
      </c>
      <c r="O144" s="2" t="s">
        <v>3621</v>
      </c>
      <c r="P144" s="2" t="s">
        <v>3680</v>
      </c>
      <c r="Q144" s="2" t="s">
        <v>3681</v>
      </c>
      <c r="R144" s="2"/>
      <c r="S144" s="2" t="s">
        <v>1884</v>
      </c>
      <c r="T144" s="2"/>
      <c r="U144" s="2"/>
      <c r="V144" s="2" t="s">
        <v>3682</v>
      </c>
      <c r="W144" s="2"/>
      <c r="X144" s="2" t="s">
        <v>1508</v>
      </c>
      <c r="Y144" s="2" t="s">
        <v>3683</v>
      </c>
      <c r="Z144" s="2" t="s">
        <v>1510</v>
      </c>
      <c r="AA144" s="2" t="s">
        <v>1511</v>
      </c>
      <c r="AB144" s="2" t="s">
        <v>1591</v>
      </c>
      <c r="AC144" s="2" t="s">
        <v>1513</v>
      </c>
      <c r="AD144" s="2" t="s">
        <v>3684</v>
      </c>
    </row>
    <row r="145" spans="1:30" x14ac:dyDescent="0.45">
      <c r="A145" s="2" t="s">
        <v>3894</v>
      </c>
      <c r="B145" s="2" t="s">
        <v>3895</v>
      </c>
      <c r="C145" s="2" t="s">
        <v>3896</v>
      </c>
      <c r="D145" s="2" t="s">
        <v>3897</v>
      </c>
      <c r="E145" s="2">
        <v>2021</v>
      </c>
      <c r="F145" s="2" t="s">
        <v>3898</v>
      </c>
      <c r="G145" s="2">
        <v>37</v>
      </c>
      <c r="H145" s="2">
        <v>4</v>
      </c>
      <c r="I145" s="2"/>
      <c r="J145" s="2">
        <v>509</v>
      </c>
      <c r="K145" s="2">
        <v>525</v>
      </c>
      <c r="L145" s="2">
        <v>12</v>
      </c>
      <c r="M145" s="2" t="s">
        <v>3899</v>
      </c>
      <c r="N145" s="2" t="s">
        <v>3900</v>
      </c>
      <c r="O145" s="2" t="s">
        <v>3901</v>
      </c>
      <c r="P145" s="2" t="s">
        <v>3902</v>
      </c>
      <c r="Q145" s="2" t="s">
        <v>3903</v>
      </c>
      <c r="R145" s="2"/>
      <c r="S145" s="2" t="s">
        <v>3904</v>
      </c>
      <c r="T145" s="2">
        <v>25149369</v>
      </c>
      <c r="U145" s="2"/>
      <c r="V145" s="2"/>
      <c r="W145" s="2"/>
      <c r="X145" s="2" t="s">
        <v>1508</v>
      </c>
      <c r="Y145" s="2" t="s">
        <v>3905</v>
      </c>
      <c r="Z145" s="2" t="s">
        <v>1510</v>
      </c>
      <c r="AA145" s="2" t="s">
        <v>1511</v>
      </c>
      <c r="AB145" s="2"/>
      <c r="AC145" s="2" t="s">
        <v>1513</v>
      </c>
      <c r="AD145" s="2" t="s">
        <v>3906</v>
      </c>
    </row>
    <row r="146" spans="1:30" x14ac:dyDescent="0.45">
      <c r="A146" s="2" t="s">
        <v>4264</v>
      </c>
      <c r="B146" s="2" t="s">
        <v>4265</v>
      </c>
      <c r="C146" s="2" t="s">
        <v>4266</v>
      </c>
      <c r="D146" s="2" t="s">
        <v>748</v>
      </c>
      <c r="E146" s="2">
        <v>2021</v>
      </c>
      <c r="F146" s="2" t="s">
        <v>4267</v>
      </c>
      <c r="G146" s="2">
        <v>125</v>
      </c>
      <c r="H146" s="2">
        <v>1</v>
      </c>
      <c r="I146" s="2"/>
      <c r="J146" s="2">
        <v>536</v>
      </c>
      <c r="K146" s="2">
        <v>545</v>
      </c>
      <c r="L146" s="2">
        <v>12</v>
      </c>
      <c r="M146" s="2" t="s">
        <v>4268</v>
      </c>
      <c r="N146" s="2" t="s">
        <v>4269</v>
      </c>
      <c r="O146" s="2" t="s">
        <v>4270</v>
      </c>
      <c r="P146" s="2" t="s">
        <v>4271</v>
      </c>
      <c r="Q146" s="2" t="s">
        <v>4272</v>
      </c>
      <c r="R146" s="2"/>
      <c r="S146" s="2" t="s">
        <v>1783</v>
      </c>
      <c r="T146" s="2">
        <v>19327447</v>
      </c>
      <c r="U146" s="2"/>
      <c r="V146" s="2"/>
      <c r="W146" s="2"/>
      <c r="X146" s="2" t="s">
        <v>1508</v>
      </c>
      <c r="Y146" s="2" t="s">
        <v>4273</v>
      </c>
      <c r="Z146" s="2" t="s">
        <v>1510</v>
      </c>
      <c r="AA146" s="2" t="s">
        <v>1511</v>
      </c>
      <c r="AB146" s="2"/>
      <c r="AC146" s="2" t="s">
        <v>1513</v>
      </c>
      <c r="AD146" s="2" t="s">
        <v>4274</v>
      </c>
    </row>
    <row r="147" spans="1:30" x14ac:dyDescent="0.45">
      <c r="A147" s="2" t="s">
        <v>4663</v>
      </c>
      <c r="B147" s="2" t="s">
        <v>4664</v>
      </c>
      <c r="C147" s="2" t="s">
        <v>4665</v>
      </c>
      <c r="D147" s="2" t="s">
        <v>4666</v>
      </c>
      <c r="E147" s="2">
        <v>2020</v>
      </c>
      <c r="F147" s="2" t="s">
        <v>4081</v>
      </c>
      <c r="G147" s="2">
        <v>142</v>
      </c>
      <c r="H147" s="2">
        <v>9</v>
      </c>
      <c r="I147" s="2">
        <v>91010</v>
      </c>
      <c r="J147" s="2"/>
      <c r="K147" s="2"/>
      <c r="L147" s="2">
        <v>12</v>
      </c>
      <c r="M147" s="2" t="s">
        <v>4667</v>
      </c>
      <c r="N147" s="2" t="s">
        <v>4668</v>
      </c>
      <c r="O147" s="2" t="s">
        <v>4669</v>
      </c>
      <c r="P147" s="2" t="s">
        <v>4670</v>
      </c>
      <c r="Q147" s="2"/>
      <c r="R147" s="2"/>
      <c r="S147" s="2" t="s">
        <v>2263</v>
      </c>
      <c r="T147" s="2" t="s">
        <v>4087</v>
      </c>
      <c r="U147" s="2"/>
      <c r="V147" s="2"/>
      <c r="W147" s="2"/>
      <c r="X147" s="2" t="s">
        <v>1508</v>
      </c>
      <c r="Y147" s="2" t="s">
        <v>4088</v>
      </c>
      <c r="Z147" s="2" t="s">
        <v>1510</v>
      </c>
      <c r="AA147" s="2" t="s">
        <v>1511</v>
      </c>
      <c r="AB147" s="2"/>
      <c r="AC147" s="2" t="s">
        <v>1513</v>
      </c>
      <c r="AD147" s="2" t="s">
        <v>4671</v>
      </c>
    </row>
    <row r="148" spans="1:30" x14ac:dyDescent="0.45">
      <c r="A148" s="2" t="s">
        <v>2762</v>
      </c>
      <c r="B148" s="2" t="s">
        <v>2763</v>
      </c>
      <c r="C148" s="2" t="s">
        <v>2764</v>
      </c>
      <c r="D148" s="2" t="s">
        <v>2765</v>
      </c>
      <c r="E148" s="2">
        <v>2023</v>
      </c>
      <c r="F148" s="2" t="s">
        <v>2766</v>
      </c>
      <c r="G148" s="2">
        <v>23</v>
      </c>
      <c r="H148" s="2">
        <v>7</v>
      </c>
      <c r="I148" s="2"/>
      <c r="J148" s="2">
        <v>7895</v>
      </c>
      <c r="K148" s="2">
        <v>7901</v>
      </c>
      <c r="L148" s="2">
        <v>11</v>
      </c>
      <c r="M148" s="2" t="s">
        <v>2767</v>
      </c>
      <c r="N148" s="2" t="s">
        <v>2768</v>
      </c>
      <c r="O148" s="2" t="s">
        <v>1561</v>
      </c>
      <c r="P148" s="2" t="s">
        <v>2769</v>
      </c>
      <c r="Q148" s="2" t="s">
        <v>2770</v>
      </c>
      <c r="R148" s="2"/>
      <c r="S148" s="2" t="s">
        <v>2226</v>
      </c>
      <c r="T148" s="2" t="s">
        <v>2771</v>
      </c>
      <c r="U148" s="2"/>
      <c r="V148" s="2"/>
      <c r="W148" s="2"/>
      <c r="X148" s="2" t="s">
        <v>1508</v>
      </c>
      <c r="Y148" s="2" t="s">
        <v>2772</v>
      </c>
      <c r="Z148" s="2" t="s">
        <v>1510</v>
      </c>
      <c r="AA148" s="2" t="s">
        <v>1511</v>
      </c>
      <c r="AB148" s="2"/>
      <c r="AC148" s="2" t="s">
        <v>1513</v>
      </c>
      <c r="AD148" s="2" t="s">
        <v>2773</v>
      </c>
    </row>
    <row r="149" spans="1:30" x14ac:dyDescent="0.45">
      <c r="A149" s="2" t="s">
        <v>3472</v>
      </c>
      <c r="B149" s="2" t="s">
        <v>3473</v>
      </c>
      <c r="C149" s="2" t="s">
        <v>3474</v>
      </c>
      <c r="D149" s="2" t="s">
        <v>3475</v>
      </c>
      <c r="E149" s="2">
        <v>2022</v>
      </c>
      <c r="F149" s="2" t="s">
        <v>3476</v>
      </c>
      <c r="G149" s="2">
        <v>9</v>
      </c>
      <c r="H149" s="2">
        <v>7</v>
      </c>
      <c r="I149" s="2" t="s">
        <v>3477</v>
      </c>
      <c r="J149" s="2"/>
      <c r="K149" s="2"/>
      <c r="L149" s="2">
        <v>11</v>
      </c>
      <c r="M149" s="2" t="s">
        <v>3478</v>
      </c>
      <c r="N149" s="2" t="s">
        <v>3479</v>
      </c>
      <c r="O149" s="2" t="s">
        <v>3480</v>
      </c>
      <c r="P149" s="2" t="s">
        <v>3481</v>
      </c>
      <c r="Q149" s="2" t="s">
        <v>2709</v>
      </c>
      <c r="R149" s="2"/>
      <c r="S149" s="2" t="s">
        <v>1715</v>
      </c>
      <c r="T149" s="2"/>
      <c r="U149" s="2"/>
      <c r="V149" s="2"/>
      <c r="W149" s="2"/>
      <c r="X149" s="2" t="s">
        <v>1508</v>
      </c>
      <c r="Y149" s="2" t="s">
        <v>3476</v>
      </c>
      <c r="Z149" s="2" t="s">
        <v>1510</v>
      </c>
      <c r="AA149" s="2" t="s">
        <v>1511</v>
      </c>
      <c r="AB149" s="2"/>
      <c r="AC149" s="2" t="s">
        <v>1513</v>
      </c>
      <c r="AD149" s="2" t="s">
        <v>3482</v>
      </c>
    </row>
    <row r="150" spans="1:30" x14ac:dyDescent="0.45">
      <c r="A150" s="2" t="s">
        <v>3519</v>
      </c>
      <c r="B150" s="2" t="s">
        <v>3520</v>
      </c>
      <c r="C150" s="2" t="s">
        <v>3521</v>
      </c>
      <c r="D150" s="2" t="s">
        <v>3522</v>
      </c>
      <c r="E150" s="2">
        <v>2022</v>
      </c>
      <c r="F150" s="2" t="s">
        <v>3523</v>
      </c>
      <c r="G150" s="2">
        <v>31</v>
      </c>
      <c r="H150" s="2">
        <v>3</v>
      </c>
      <c r="I150" s="2"/>
      <c r="J150" s="2">
        <v>1191</v>
      </c>
      <c r="K150" s="2">
        <v>1215</v>
      </c>
      <c r="L150" s="2">
        <v>11</v>
      </c>
      <c r="M150" s="2" t="s">
        <v>3524</v>
      </c>
      <c r="N150" s="2" t="s">
        <v>3525</v>
      </c>
      <c r="O150" s="2" t="s">
        <v>3526</v>
      </c>
      <c r="P150" s="2" t="s">
        <v>3527</v>
      </c>
      <c r="Q150" s="2" t="s">
        <v>3528</v>
      </c>
      <c r="R150" s="2"/>
      <c r="S150" s="2" t="s">
        <v>1715</v>
      </c>
      <c r="T150" s="2">
        <v>10591478</v>
      </c>
      <c r="U150" s="2"/>
      <c r="V150" s="2"/>
      <c r="W150" s="2"/>
      <c r="X150" s="2" t="s">
        <v>1508</v>
      </c>
      <c r="Y150" s="2" t="s">
        <v>3529</v>
      </c>
      <c r="Z150" s="2" t="s">
        <v>1510</v>
      </c>
      <c r="AA150" s="2" t="s">
        <v>1511</v>
      </c>
      <c r="AB150" s="2"/>
      <c r="AC150" s="2" t="s">
        <v>1513</v>
      </c>
      <c r="AD150" s="2" t="s">
        <v>3530</v>
      </c>
    </row>
    <row r="151" spans="1:30" x14ac:dyDescent="0.45">
      <c r="A151" s="2" t="s">
        <v>3615</v>
      </c>
      <c r="B151" s="2" t="s">
        <v>3616</v>
      </c>
      <c r="C151" s="2" t="s">
        <v>3617</v>
      </c>
      <c r="D151" s="2" t="s">
        <v>3618</v>
      </c>
      <c r="E151" s="2">
        <v>2022</v>
      </c>
      <c r="F151" s="2" t="s">
        <v>3419</v>
      </c>
      <c r="G151" s="2">
        <v>105</v>
      </c>
      <c r="H151" s="2">
        <v>2</v>
      </c>
      <c r="I151" s="2"/>
      <c r="J151" s="2">
        <v>1450</v>
      </c>
      <c r="K151" s="2">
        <v>1458</v>
      </c>
      <c r="L151" s="2">
        <v>11</v>
      </c>
      <c r="M151" s="2" t="s">
        <v>3619</v>
      </c>
      <c r="N151" s="2" t="s">
        <v>3620</v>
      </c>
      <c r="O151" s="2" t="s">
        <v>3621</v>
      </c>
      <c r="P151" s="2" t="s">
        <v>3622</v>
      </c>
      <c r="Q151" s="2" t="s">
        <v>3623</v>
      </c>
      <c r="R151" s="2"/>
      <c r="S151" s="2" t="s">
        <v>1715</v>
      </c>
      <c r="T151" s="2">
        <v>27820</v>
      </c>
      <c r="U151" s="2"/>
      <c r="V151" s="2" t="s">
        <v>3425</v>
      </c>
      <c r="W151" s="2"/>
      <c r="X151" s="2" t="s">
        <v>1508</v>
      </c>
      <c r="Y151" s="2" t="s">
        <v>3426</v>
      </c>
      <c r="Z151" s="2" t="s">
        <v>1510</v>
      </c>
      <c r="AA151" s="2" t="s">
        <v>1511</v>
      </c>
      <c r="AB151" s="2"/>
      <c r="AC151" s="2" t="s">
        <v>1513</v>
      </c>
      <c r="AD151" s="2" t="s">
        <v>3624</v>
      </c>
    </row>
    <row r="152" spans="1:30" x14ac:dyDescent="0.45">
      <c r="A152" s="2" t="s">
        <v>3625</v>
      </c>
      <c r="B152" s="2" t="s">
        <v>3626</v>
      </c>
      <c r="C152" s="2" t="s">
        <v>3627</v>
      </c>
      <c r="D152" s="2" t="s">
        <v>3628</v>
      </c>
      <c r="E152" s="2">
        <v>2022</v>
      </c>
      <c r="F152" s="2" t="s">
        <v>3629</v>
      </c>
      <c r="G152" s="2">
        <v>25</v>
      </c>
      <c r="H152" s="2">
        <v>2</v>
      </c>
      <c r="I152" s="2"/>
      <c r="J152" s="2">
        <v>167</v>
      </c>
      <c r="K152" s="2">
        <v>172</v>
      </c>
      <c r="L152" s="2">
        <v>11</v>
      </c>
      <c r="M152" s="2" t="s">
        <v>3630</v>
      </c>
      <c r="N152" s="2" t="s">
        <v>3631</v>
      </c>
      <c r="O152" s="2" t="s">
        <v>3632</v>
      </c>
      <c r="P152" s="2" t="s">
        <v>3633</v>
      </c>
      <c r="Q152" s="2" t="s">
        <v>3634</v>
      </c>
      <c r="R152" s="2"/>
      <c r="S152" s="2" t="s">
        <v>1524</v>
      </c>
      <c r="T152" s="2">
        <v>14402440</v>
      </c>
      <c r="U152" s="2"/>
      <c r="V152" s="2" t="s">
        <v>3635</v>
      </c>
      <c r="W152" s="2">
        <v>34538564</v>
      </c>
      <c r="X152" s="2" t="s">
        <v>1508</v>
      </c>
      <c r="Y152" s="2" t="s">
        <v>3636</v>
      </c>
      <c r="Z152" s="2" t="s">
        <v>1510</v>
      </c>
      <c r="AA152" s="2" t="s">
        <v>1511</v>
      </c>
      <c r="AB152" s="2"/>
      <c r="AC152" s="2" t="s">
        <v>1513</v>
      </c>
      <c r="AD152" s="2" t="s">
        <v>3637</v>
      </c>
    </row>
    <row r="153" spans="1:30" x14ac:dyDescent="0.45">
      <c r="A153" s="2" t="s">
        <v>4446</v>
      </c>
      <c r="B153" s="2" t="s">
        <v>4447</v>
      </c>
      <c r="C153" s="2" t="s">
        <v>4448</v>
      </c>
      <c r="D153" s="2" t="s">
        <v>533</v>
      </c>
      <c r="E153" s="2">
        <v>2020</v>
      </c>
      <c r="F153" s="2" t="s">
        <v>4449</v>
      </c>
      <c r="G153" s="2">
        <v>1</v>
      </c>
      <c r="H153" s="2"/>
      <c r="I153" s="2">
        <v>100024</v>
      </c>
      <c r="J153" s="2"/>
      <c r="K153" s="2"/>
      <c r="L153" s="2">
        <v>11</v>
      </c>
      <c r="M153" s="2" t="s">
        <v>4450</v>
      </c>
      <c r="N153" s="2" t="s">
        <v>4451</v>
      </c>
      <c r="O153" s="2" t="s">
        <v>1561</v>
      </c>
      <c r="P153" s="2" t="s">
        <v>4452</v>
      </c>
      <c r="Q153" s="2" t="s">
        <v>3611</v>
      </c>
      <c r="R153" s="2"/>
      <c r="S153" s="2" t="s">
        <v>1524</v>
      </c>
      <c r="T153" s="2"/>
      <c r="U153" s="2"/>
      <c r="V153" s="2"/>
      <c r="W153" s="2"/>
      <c r="X153" s="2" t="s">
        <v>1508</v>
      </c>
      <c r="Y153" s="2" t="s">
        <v>4453</v>
      </c>
      <c r="Z153" s="2" t="s">
        <v>1510</v>
      </c>
      <c r="AA153" s="2" t="s">
        <v>1511</v>
      </c>
      <c r="AB153" s="2" t="s">
        <v>1591</v>
      </c>
      <c r="AC153" s="2" t="s">
        <v>1513</v>
      </c>
      <c r="AD153" s="2" t="s">
        <v>4454</v>
      </c>
    </row>
    <row r="154" spans="1:30" x14ac:dyDescent="0.45">
      <c r="A154" s="2" t="s">
        <v>4883</v>
      </c>
      <c r="B154" s="2" t="s">
        <v>4884</v>
      </c>
      <c r="C154" s="2" t="s">
        <v>4885</v>
      </c>
      <c r="D154" s="2" t="s">
        <v>853</v>
      </c>
      <c r="E154" s="2">
        <v>2020</v>
      </c>
      <c r="F154" s="2" t="s">
        <v>4886</v>
      </c>
      <c r="G154" s="2">
        <v>368</v>
      </c>
      <c r="H154" s="2"/>
      <c r="I154" s="2"/>
      <c r="J154" s="2">
        <v>125</v>
      </c>
      <c r="K154" s="2">
        <v>129</v>
      </c>
      <c r="L154" s="2">
        <v>11</v>
      </c>
      <c r="M154" s="2" t="s">
        <v>4887</v>
      </c>
      <c r="N154" s="2" t="s">
        <v>4888</v>
      </c>
      <c r="O154" s="2" t="s">
        <v>4889</v>
      </c>
      <c r="P154" s="2" t="s">
        <v>4890</v>
      </c>
      <c r="Q154" s="2" t="s">
        <v>4891</v>
      </c>
      <c r="R154" s="2"/>
      <c r="S154" s="2" t="s">
        <v>1506</v>
      </c>
      <c r="T154" s="2">
        <v>325910</v>
      </c>
      <c r="U154" s="2"/>
      <c r="V154" s="2" t="s">
        <v>4892</v>
      </c>
      <c r="W154" s="2"/>
      <c r="X154" s="2" t="s">
        <v>1508</v>
      </c>
      <c r="Y154" s="2" t="s">
        <v>4893</v>
      </c>
      <c r="Z154" s="2" t="s">
        <v>1510</v>
      </c>
      <c r="AA154" s="2" t="s">
        <v>1511</v>
      </c>
      <c r="AB154" s="2"/>
      <c r="AC154" s="2" t="s">
        <v>1513</v>
      </c>
      <c r="AD154" s="2" t="s">
        <v>4894</v>
      </c>
    </row>
    <row r="155" spans="1:30" x14ac:dyDescent="0.45">
      <c r="A155" s="2" t="s">
        <v>1497</v>
      </c>
      <c r="B155" s="2" t="s">
        <v>1498</v>
      </c>
      <c r="C155" s="2" t="s">
        <v>1499</v>
      </c>
      <c r="D155" s="2" t="s">
        <v>627</v>
      </c>
      <c r="E155" s="2">
        <v>2024</v>
      </c>
      <c r="F155" s="2" t="s">
        <v>1500</v>
      </c>
      <c r="G155" s="2">
        <v>624</v>
      </c>
      <c r="H155" s="2"/>
      <c r="I155" s="2">
        <v>235537</v>
      </c>
      <c r="J155" s="2"/>
      <c r="K155" s="2"/>
      <c r="L155" s="2">
        <v>10</v>
      </c>
      <c r="M155" s="2" t="s">
        <v>1501</v>
      </c>
      <c r="N155" s="2" t="s">
        <v>1502</v>
      </c>
      <c r="O155" s="2" t="s">
        <v>1503</v>
      </c>
      <c r="P155" s="2" t="s">
        <v>1504</v>
      </c>
      <c r="Q155" s="2" t="s">
        <v>1505</v>
      </c>
      <c r="R155" s="2"/>
      <c r="S155" s="2" t="s">
        <v>1506</v>
      </c>
      <c r="T155" s="2">
        <v>3787753</v>
      </c>
      <c r="U155" s="2">
        <v>444894810</v>
      </c>
      <c r="V155" s="2" t="s">
        <v>1507</v>
      </c>
      <c r="W155" s="2"/>
      <c r="X155" s="2" t="s">
        <v>1508</v>
      </c>
      <c r="Y155" s="2" t="s">
        <v>1509</v>
      </c>
      <c r="Z155" s="2" t="s">
        <v>1510</v>
      </c>
      <c r="AA155" s="2" t="s">
        <v>1511</v>
      </c>
      <c r="AB155" s="2" t="s">
        <v>1512</v>
      </c>
      <c r="AC155" s="2" t="s">
        <v>1513</v>
      </c>
      <c r="AD155" s="2" t="s">
        <v>1514</v>
      </c>
    </row>
    <row r="156" spans="1:30" x14ac:dyDescent="0.45">
      <c r="A156" s="2" t="s">
        <v>2880</v>
      </c>
      <c r="B156" s="2" t="s">
        <v>2881</v>
      </c>
      <c r="C156" s="2" t="s">
        <v>2882</v>
      </c>
      <c r="D156" s="2" t="s">
        <v>2883</v>
      </c>
      <c r="E156" s="2">
        <v>2023</v>
      </c>
      <c r="F156" s="2" t="s">
        <v>2043</v>
      </c>
      <c r="G156" s="2">
        <v>170</v>
      </c>
      <c r="H156" s="2">
        <v>11</v>
      </c>
      <c r="I156" s="2">
        <v>114527</v>
      </c>
      <c r="J156" s="2"/>
      <c r="K156" s="2"/>
      <c r="L156" s="2">
        <v>10</v>
      </c>
      <c r="M156" s="2" t="s">
        <v>2884</v>
      </c>
      <c r="N156" s="2" t="s">
        <v>2885</v>
      </c>
      <c r="O156" s="2" t="s">
        <v>2886</v>
      </c>
      <c r="P156" s="2" t="s">
        <v>2887</v>
      </c>
      <c r="Q156" s="2" t="s">
        <v>2048</v>
      </c>
      <c r="R156" s="2"/>
      <c r="S156" s="2" t="s">
        <v>1551</v>
      </c>
      <c r="T156" s="2">
        <v>134651</v>
      </c>
      <c r="U156" s="2"/>
      <c r="V156" s="2" t="s">
        <v>2049</v>
      </c>
      <c r="W156" s="2"/>
      <c r="X156" s="2" t="s">
        <v>1508</v>
      </c>
      <c r="Y156" s="2" t="s">
        <v>2050</v>
      </c>
      <c r="Z156" s="2" t="s">
        <v>1510</v>
      </c>
      <c r="AA156" s="2" t="s">
        <v>1511</v>
      </c>
      <c r="AB156" s="2" t="s">
        <v>1539</v>
      </c>
      <c r="AC156" s="2" t="s">
        <v>1513</v>
      </c>
      <c r="AD156" s="2" t="s">
        <v>2888</v>
      </c>
    </row>
    <row r="157" spans="1:30" x14ac:dyDescent="0.45">
      <c r="A157" s="2" t="s">
        <v>3124</v>
      </c>
      <c r="B157" s="2" t="s">
        <v>3125</v>
      </c>
      <c r="C157" s="2" t="s">
        <v>3126</v>
      </c>
      <c r="D157" s="2" t="s">
        <v>3127</v>
      </c>
      <c r="E157" s="2">
        <v>2022</v>
      </c>
      <c r="F157" s="2" t="s">
        <v>3128</v>
      </c>
      <c r="G157" s="2">
        <v>16</v>
      </c>
      <c r="H157" s="2">
        <v>3</v>
      </c>
      <c r="I157" s="2"/>
      <c r="J157" s="2">
        <v>77</v>
      </c>
      <c r="K157" s="2">
        <v>95</v>
      </c>
      <c r="L157" s="2">
        <v>10</v>
      </c>
      <c r="M157" s="2" t="s">
        <v>3129</v>
      </c>
      <c r="N157" s="2" t="s">
        <v>3130</v>
      </c>
      <c r="O157" s="2" t="s">
        <v>3131</v>
      </c>
      <c r="P157" s="2" t="s">
        <v>3132</v>
      </c>
      <c r="Q157" s="2" t="s">
        <v>3133</v>
      </c>
      <c r="R157" s="2"/>
      <c r="S157" s="2" t="s">
        <v>3134</v>
      </c>
      <c r="T157" s="2">
        <v>19913761</v>
      </c>
      <c r="U157" s="2"/>
      <c r="V157" s="2"/>
      <c r="W157" s="2"/>
      <c r="X157" s="2" t="s">
        <v>1508</v>
      </c>
      <c r="Y157" s="2" t="s">
        <v>3135</v>
      </c>
      <c r="Z157" s="2" t="s">
        <v>1510</v>
      </c>
      <c r="AA157" s="2" t="s">
        <v>1511</v>
      </c>
      <c r="AB157" s="2"/>
      <c r="AC157" s="2" t="s">
        <v>1513</v>
      </c>
      <c r="AD157" s="2" t="s">
        <v>3136</v>
      </c>
    </row>
    <row r="158" spans="1:30" x14ac:dyDescent="0.45">
      <c r="A158" s="2" t="s">
        <v>3265</v>
      </c>
      <c r="B158" s="2" t="s">
        <v>3266</v>
      </c>
      <c r="C158" s="2" t="s">
        <v>3267</v>
      </c>
      <c r="D158" s="2" t="s">
        <v>3268</v>
      </c>
      <c r="E158" s="2">
        <v>2022</v>
      </c>
      <c r="F158" s="2" t="s">
        <v>3269</v>
      </c>
      <c r="G158" s="2">
        <v>26</v>
      </c>
      <c r="H158" s="2"/>
      <c r="I158" s="2"/>
      <c r="J158" s="2">
        <v>4</v>
      </c>
      <c r="K158" s="2">
        <v>14</v>
      </c>
      <c r="L158" s="2">
        <v>10</v>
      </c>
      <c r="M158" s="2" t="s">
        <v>3270</v>
      </c>
      <c r="N158" s="2" t="s">
        <v>3271</v>
      </c>
      <c r="O158" s="2" t="s">
        <v>3272</v>
      </c>
      <c r="P158" s="2" t="s">
        <v>3273</v>
      </c>
      <c r="Q158" s="2" t="s">
        <v>3274</v>
      </c>
      <c r="R158" s="2"/>
      <c r="S158" s="2" t="s">
        <v>3275</v>
      </c>
      <c r="T158" s="2"/>
      <c r="U158" s="2"/>
      <c r="V158" s="2"/>
      <c r="W158" s="2"/>
      <c r="X158" s="2" t="s">
        <v>1508</v>
      </c>
      <c r="Y158" s="2" t="s">
        <v>3276</v>
      </c>
      <c r="Z158" s="2" t="s">
        <v>1510</v>
      </c>
      <c r="AA158" s="2" t="s">
        <v>1511</v>
      </c>
      <c r="AB158" s="2" t="s">
        <v>1591</v>
      </c>
      <c r="AC158" s="2" t="s">
        <v>1513</v>
      </c>
      <c r="AD158" s="2" t="s">
        <v>3277</v>
      </c>
    </row>
    <row r="159" spans="1:30" x14ac:dyDescent="0.45">
      <c r="A159" s="2" t="s">
        <v>3506</v>
      </c>
      <c r="B159" s="2" t="s">
        <v>3507</v>
      </c>
      <c r="C159" s="2" t="s">
        <v>3508</v>
      </c>
      <c r="D159" s="2" t="s">
        <v>3509</v>
      </c>
      <c r="E159" s="2">
        <v>2022</v>
      </c>
      <c r="F159" s="2" t="s">
        <v>3510</v>
      </c>
      <c r="G159" s="2">
        <v>12</v>
      </c>
      <c r="H159" s="2">
        <v>2</v>
      </c>
      <c r="I159" s="2"/>
      <c r="J159" s="2">
        <v>597</v>
      </c>
      <c r="K159" s="2">
        <v>606</v>
      </c>
      <c r="L159" s="2">
        <v>10</v>
      </c>
      <c r="M159" s="2" t="s">
        <v>3511</v>
      </c>
      <c r="N159" s="2" t="s">
        <v>3512</v>
      </c>
      <c r="O159" s="2" t="s">
        <v>3513</v>
      </c>
      <c r="P159" s="2" t="s">
        <v>3514</v>
      </c>
      <c r="Q159" s="2" t="s">
        <v>3515</v>
      </c>
      <c r="R159" s="2"/>
      <c r="S159" s="2" t="s">
        <v>1577</v>
      </c>
      <c r="T159" s="2">
        <v>21907188</v>
      </c>
      <c r="U159" s="2"/>
      <c r="V159" s="2"/>
      <c r="W159" s="2"/>
      <c r="X159" s="2" t="s">
        <v>1508</v>
      </c>
      <c r="Y159" s="2" t="s">
        <v>3516</v>
      </c>
      <c r="Z159" s="2" t="s">
        <v>1510</v>
      </c>
      <c r="AA159" s="2" t="s">
        <v>1511</v>
      </c>
      <c r="AB159" s="2" t="s">
        <v>3517</v>
      </c>
      <c r="AC159" s="2" t="s">
        <v>1513</v>
      </c>
      <c r="AD159" s="2" t="s">
        <v>3518</v>
      </c>
    </row>
    <row r="160" spans="1:30" x14ac:dyDescent="0.45">
      <c r="A160" s="2" t="s">
        <v>4044</v>
      </c>
      <c r="B160" s="2" t="s">
        <v>4045</v>
      </c>
      <c r="C160" s="2" t="s">
        <v>4046</v>
      </c>
      <c r="D160" s="2" t="s">
        <v>4047</v>
      </c>
      <c r="E160" s="2">
        <v>2021</v>
      </c>
      <c r="F160" s="2" t="s">
        <v>4048</v>
      </c>
      <c r="G160" s="2">
        <v>8</v>
      </c>
      <c r="H160" s="2">
        <v>7</v>
      </c>
      <c r="I160" s="2"/>
      <c r="J160" s="2">
        <v>1922</v>
      </c>
      <c r="K160" s="2">
        <v>1926</v>
      </c>
      <c r="L160" s="2">
        <v>10</v>
      </c>
      <c r="M160" s="2" t="s">
        <v>4049</v>
      </c>
      <c r="N160" s="2" t="s">
        <v>4050</v>
      </c>
      <c r="O160" s="2" t="s">
        <v>4051</v>
      </c>
      <c r="P160" s="2" t="s">
        <v>4052</v>
      </c>
      <c r="Q160" s="2" t="s">
        <v>4053</v>
      </c>
      <c r="R160" s="2"/>
      <c r="S160" s="2" t="s">
        <v>1783</v>
      </c>
      <c r="T160" s="2"/>
      <c r="U160" s="2"/>
      <c r="V160" s="2"/>
      <c r="W160" s="2"/>
      <c r="X160" s="2" t="s">
        <v>1508</v>
      </c>
      <c r="Y160" s="2" t="s">
        <v>4048</v>
      </c>
      <c r="Z160" s="2" t="s">
        <v>1510</v>
      </c>
      <c r="AA160" s="2" t="s">
        <v>1511</v>
      </c>
      <c r="AB160" s="2"/>
      <c r="AC160" s="2" t="s">
        <v>1513</v>
      </c>
      <c r="AD160" s="2" t="s">
        <v>4054</v>
      </c>
    </row>
    <row r="161" spans="1:30" x14ac:dyDescent="0.45">
      <c r="A161" s="2" t="s">
        <v>1752</v>
      </c>
      <c r="B161" s="2" t="s">
        <v>1753</v>
      </c>
      <c r="C161" s="2" t="s">
        <v>1754</v>
      </c>
      <c r="D161" s="2" t="s">
        <v>1755</v>
      </c>
      <c r="E161" s="2">
        <v>2024</v>
      </c>
      <c r="F161" s="2" t="s">
        <v>1732</v>
      </c>
      <c r="G161" s="2"/>
      <c r="H161" s="2"/>
      <c r="I161" s="2">
        <v>16</v>
      </c>
      <c r="J161" s="2"/>
      <c r="K161" s="2"/>
      <c r="L161" s="2">
        <v>9</v>
      </c>
      <c r="M161" s="2" t="s">
        <v>1756</v>
      </c>
      <c r="N161" s="2" t="s">
        <v>1757</v>
      </c>
      <c r="O161" s="2" t="s">
        <v>1758</v>
      </c>
      <c r="P161" s="2" t="s">
        <v>1759</v>
      </c>
      <c r="Q161" s="2"/>
      <c r="R161" s="2"/>
      <c r="S161" s="2" t="s">
        <v>1738</v>
      </c>
      <c r="T161" s="2"/>
      <c r="U161" s="2" t="s">
        <v>1739</v>
      </c>
      <c r="V161" s="2"/>
      <c r="W161" s="2"/>
      <c r="X161" s="2" t="s">
        <v>1508</v>
      </c>
      <c r="Y161" s="2" t="s">
        <v>1740</v>
      </c>
      <c r="Z161" s="2" t="s">
        <v>1741</v>
      </c>
      <c r="AA161" s="2" t="s">
        <v>1511</v>
      </c>
      <c r="AB161" s="2" t="s">
        <v>1603</v>
      </c>
      <c r="AC161" s="2" t="s">
        <v>1513</v>
      </c>
      <c r="AD161" s="2" t="s">
        <v>1760</v>
      </c>
    </row>
    <row r="162" spans="1:30" x14ac:dyDescent="0.45">
      <c r="A162" s="2" t="s">
        <v>1843</v>
      </c>
      <c r="B162" s="2" t="s">
        <v>1844</v>
      </c>
      <c r="C162" s="2" t="s">
        <v>1845</v>
      </c>
      <c r="D162" s="2" t="s">
        <v>149</v>
      </c>
      <c r="E162" s="2">
        <v>2024</v>
      </c>
      <c r="F162" s="2" t="s">
        <v>1633</v>
      </c>
      <c r="G162" s="2">
        <v>995</v>
      </c>
      <c r="H162" s="2"/>
      <c r="I162" s="2">
        <v>174816</v>
      </c>
      <c r="J162" s="2"/>
      <c r="K162" s="2"/>
      <c r="L162" s="2">
        <v>9</v>
      </c>
      <c r="M162" s="2" t="s">
        <v>1846</v>
      </c>
      <c r="N162" s="2" t="s">
        <v>1847</v>
      </c>
      <c r="O162" s="2" t="s">
        <v>1848</v>
      </c>
      <c r="P162" s="2" t="s">
        <v>1849</v>
      </c>
      <c r="Q162" s="2" t="s">
        <v>1850</v>
      </c>
      <c r="R162" s="2"/>
      <c r="S162" s="2" t="s">
        <v>1524</v>
      </c>
      <c r="T162" s="2">
        <v>9258388</v>
      </c>
      <c r="U162" s="2"/>
      <c r="V162" s="2" t="s">
        <v>1639</v>
      </c>
      <c r="W162" s="2"/>
      <c r="X162" s="2" t="s">
        <v>1508</v>
      </c>
      <c r="Y162" s="2" t="s">
        <v>1640</v>
      </c>
      <c r="Z162" s="2" t="s">
        <v>1510</v>
      </c>
      <c r="AA162" s="2" t="s">
        <v>1511</v>
      </c>
      <c r="AB162" s="2"/>
      <c r="AC162" s="2" t="s">
        <v>1513</v>
      </c>
      <c r="AD162" s="2" t="s">
        <v>1851</v>
      </c>
    </row>
    <row r="163" spans="1:30" x14ac:dyDescent="0.45">
      <c r="A163" s="2" t="s">
        <v>2317</v>
      </c>
      <c r="B163" s="2" t="s">
        <v>2318</v>
      </c>
      <c r="C163" s="2" t="s">
        <v>2319</v>
      </c>
      <c r="D163" s="2" t="s">
        <v>2320</v>
      </c>
      <c r="E163" s="2">
        <v>2024</v>
      </c>
      <c r="F163" s="2" t="s">
        <v>2320</v>
      </c>
      <c r="G163" s="2"/>
      <c r="H163" s="2"/>
      <c r="I163" s="2"/>
      <c r="J163" s="2">
        <v>1</v>
      </c>
      <c r="K163" s="2">
        <v>240</v>
      </c>
      <c r="L163" s="2">
        <v>9</v>
      </c>
      <c r="M163" s="2"/>
      <c r="N163" s="2" t="s">
        <v>2321</v>
      </c>
      <c r="O163" s="2" t="s">
        <v>2322</v>
      </c>
      <c r="P163" s="2" t="s">
        <v>2323</v>
      </c>
      <c r="Q163" s="2"/>
      <c r="R163" s="2"/>
      <c r="S163" s="2" t="s">
        <v>2324</v>
      </c>
      <c r="T163" s="2"/>
      <c r="U163" s="2" t="s">
        <v>2325</v>
      </c>
      <c r="V163" s="2"/>
      <c r="W163" s="2"/>
      <c r="X163" s="2" t="s">
        <v>1508</v>
      </c>
      <c r="Y163" s="2" t="s">
        <v>2320</v>
      </c>
      <c r="Z163" s="2" t="s">
        <v>2326</v>
      </c>
      <c r="AA163" s="2" t="s">
        <v>1511</v>
      </c>
      <c r="AB163" s="2"/>
      <c r="AC163" s="2" t="s">
        <v>1513</v>
      </c>
      <c r="AD163" s="2" t="s">
        <v>2327</v>
      </c>
    </row>
    <row r="164" spans="1:30" x14ac:dyDescent="0.45">
      <c r="A164" s="2" t="s">
        <v>2369</v>
      </c>
      <c r="B164" s="2" t="s">
        <v>2370</v>
      </c>
      <c r="C164" s="2" t="s">
        <v>2371</v>
      </c>
      <c r="D164" s="2" t="s">
        <v>2372</v>
      </c>
      <c r="E164" s="2">
        <v>2023</v>
      </c>
      <c r="F164" s="2" t="s">
        <v>2373</v>
      </c>
      <c r="G164" s="2">
        <v>129</v>
      </c>
      <c r="H164" s="4">
        <v>46275</v>
      </c>
      <c r="I164" s="2"/>
      <c r="J164" s="2">
        <v>4663</v>
      </c>
      <c r="K164" s="2">
        <v>4675</v>
      </c>
      <c r="L164" s="2">
        <v>9</v>
      </c>
      <c r="M164" s="2" t="s">
        <v>2374</v>
      </c>
      <c r="N164" s="2" t="s">
        <v>2375</v>
      </c>
      <c r="O164" s="2" t="s">
        <v>2376</v>
      </c>
      <c r="P164" s="2" t="s">
        <v>2377</v>
      </c>
      <c r="Q164" s="2" t="s">
        <v>2378</v>
      </c>
      <c r="R164" s="2"/>
      <c r="S164" s="2" t="s">
        <v>1577</v>
      </c>
      <c r="T164" s="2">
        <v>2683768</v>
      </c>
      <c r="U164" s="2"/>
      <c r="V164" s="2" t="s">
        <v>2379</v>
      </c>
      <c r="W164" s="2"/>
      <c r="X164" s="2" t="s">
        <v>1508</v>
      </c>
      <c r="Y164" s="2" t="s">
        <v>2380</v>
      </c>
      <c r="Z164" s="2" t="s">
        <v>1510</v>
      </c>
      <c r="AA164" s="2" t="s">
        <v>1511</v>
      </c>
      <c r="AB164" s="2"/>
      <c r="AC164" s="2" t="s">
        <v>1513</v>
      </c>
      <c r="AD164" s="2" t="s">
        <v>2381</v>
      </c>
    </row>
    <row r="165" spans="1:30" x14ac:dyDescent="0.45">
      <c r="A165" s="2" t="s">
        <v>2393</v>
      </c>
      <c r="B165" s="2" t="s">
        <v>2394</v>
      </c>
      <c r="C165" s="2" t="s">
        <v>2395</v>
      </c>
      <c r="D165" s="2" t="s">
        <v>814</v>
      </c>
      <c r="E165" s="2">
        <v>2023</v>
      </c>
      <c r="F165" s="2" t="s">
        <v>2396</v>
      </c>
      <c r="G165" s="2">
        <v>7</v>
      </c>
      <c r="H165" s="2">
        <v>1</v>
      </c>
      <c r="I165" s="2">
        <v>70</v>
      </c>
      <c r="J165" s="2"/>
      <c r="K165" s="2"/>
      <c r="L165" s="2">
        <v>9</v>
      </c>
      <c r="M165" s="2" t="s">
        <v>2397</v>
      </c>
      <c r="N165" s="2" t="s">
        <v>2398</v>
      </c>
      <c r="O165" s="2" t="s">
        <v>2399</v>
      </c>
      <c r="P165" s="2" t="s">
        <v>2400</v>
      </c>
      <c r="Q165" s="2" t="s">
        <v>2401</v>
      </c>
      <c r="R165" s="2"/>
      <c r="S165" s="2" t="s">
        <v>1589</v>
      </c>
      <c r="T165" s="2"/>
      <c r="U165" s="2"/>
      <c r="V165" s="2"/>
      <c r="W165" s="2"/>
      <c r="X165" s="2" t="s">
        <v>1508</v>
      </c>
      <c r="Y165" s="2" t="s">
        <v>2402</v>
      </c>
      <c r="Z165" s="2" t="s">
        <v>1510</v>
      </c>
      <c r="AA165" s="2" t="s">
        <v>1511</v>
      </c>
      <c r="AB165" s="2" t="s">
        <v>1591</v>
      </c>
      <c r="AC165" s="2" t="s">
        <v>1513</v>
      </c>
      <c r="AD165" s="2" t="s">
        <v>2403</v>
      </c>
    </row>
    <row r="166" spans="1:30" x14ac:dyDescent="0.45">
      <c r="A166" s="2" t="s">
        <v>2808</v>
      </c>
      <c r="B166" s="2" t="s">
        <v>2809</v>
      </c>
      <c r="C166" s="2" t="s">
        <v>2810</v>
      </c>
      <c r="D166" s="2" t="s">
        <v>253</v>
      </c>
      <c r="E166" s="2">
        <v>2023</v>
      </c>
      <c r="F166" s="2" t="s">
        <v>1545</v>
      </c>
      <c r="G166" s="2">
        <v>8</v>
      </c>
      <c r="H166" s="2">
        <v>1</v>
      </c>
      <c r="I166" s="2">
        <v>15013</v>
      </c>
      <c r="J166" s="2"/>
      <c r="K166" s="2"/>
      <c r="L166" s="2">
        <v>9</v>
      </c>
      <c r="M166" s="2" t="s">
        <v>2811</v>
      </c>
      <c r="N166" s="2" t="s">
        <v>2812</v>
      </c>
      <c r="O166" s="2" t="s">
        <v>2101</v>
      </c>
      <c r="P166" s="2" t="s">
        <v>2813</v>
      </c>
      <c r="Q166" s="2" t="s">
        <v>1601</v>
      </c>
      <c r="R166" s="2"/>
      <c r="S166" s="2" t="s">
        <v>1551</v>
      </c>
      <c r="T166" s="2"/>
      <c r="U166" s="2"/>
      <c r="V166" s="2"/>
      <c r="W166" s="2"/>
      <c r="X166" s="2" t="s">
        <v>1508</v>
      </c>
      <c r="Y166" s="2" t="s">
        <v>1552</v>
      </c>
      <c r="Z166" s="2" t="s">
        <v>1510</v>
      </c>
      <c r="AA166" s="2" t="s">
        <v>1511</v>
      </c>
      <c r="AB166" s="2" t="s">
        <v>1539</v>
      </c>
      <c r="AC166" s="2" t="s">
        <v>1513</v>
      </c>
      <c r="AD166" s="2" t="s">
        <v>2814</v>
      </c>
    </row>
    <row r="167" spans="1:30" x14ac:dyDescent="0.45">
      <c r="A167" s="2" t="s">
        <v>4485</v>
      </c>
      <c r="B167" s="2" t="s">
        <v>4486</v>
      </c>
      <c r="C167" s="2" t="s">
        <v>4487</v>
      </c>
      <c r="D167" s="2" t="s">
        <v>4488</v>
      </c>
      <c r="E167" s="2">
        <v>2020</v>
      </c>
      <c r="F167" s="2" t="s">
        <v>4489</v>
      </c>
      <c r="G167" s="2">
        <v>20</v>
      </c>
      <c r="H167" s="2">
        <v>1</v>
      </c>
      <c r="I167" s="2">
        <v>992</v>
      </c>
      <c r="J167" s="2"/>
      <c r="K167" s="2"/>
      <c r="L167" s="2">
        <v>9</v>
      </c>
      <c r="M167" s="2" t="s">
        <v>4490</v>
      </c>
      <c r="N167" s="2" t="s">
        <v>4491</v>
      </c>
      <c r="O167" s="2" t="s">
        <v>4492</v>
      </c>
      <c r="P167" s="2" t="s">
        <v>4493</v>
      </c>
      <c r="Q167" s="2" t="s">
        <v>4494</v>
      </c>
      <c r="R167" s="2"/>
      <c r="S167" s="2" t="s">
        <v>1615</v>
      </c>
      <c r="T167" s="2">
        <v>14712407</v>
      </c>
      <c r="U167" s="2"/>
      <c r="V167" s="2" t="s">
        <v>4495</v>
      </c>
      <c r="W167" s="2">
        <v>33050897</v>
      </c>
      <c r="X167" s="2" t="s">
        <v>1508</v>
      </c>
      <c r="Y167" s="2" t="s">
        <v>4489</v>
      </c>
      <c r="Z167" s="2" t="s">
        <v>1510</v>
      </c>
      <c r="AA167" s="2" t="s">
        <v>1511</v>
      </c>
      <c r="AB167" s="2" t="s">
        <v>3156</v>
      </c>
      <c r="AC167" s="2" t="s">
        <v>1513</v>
      </c>
      <c r="AD167" s="2" t="s">
        <v>4496</v>
      </c>
    </row>
    <row r="168" spans="1:30" x14ac:dyDescent="0.45">
      <c r="A168" s="2" t="s">
        <v>4509</v>
      </c>
      <c r="B168" s="2" t="s">
        <v>4510</v>
      </c>
      <c r="C168" s="2" t="s">
        <v>4511</v>
      </c>
      <c r="D168" s="2" t="s">
        <v>4512</v>
      </c>
      <c r="E168" s="2">
        <v>2020</v>
      </c>
      <c r="F168" s="2" t="s">
        <v>4513</v>
      </c>
      <c r="G168" s="2">
        <v>20</v>
      </c>
      <c r="H168" s="2">
        <v>4</v>
      </c>
      <c r="I168" s="2"/>
      <c r="J168" s="2">
        <v>2427</v>
      </c>
      <c r="K168" s="2">
        <v>2466</v>
      </c>
      <c r="L168" s="2">
        <v>9</v>
      </c>
      <c r="M168" s="2" t="s">
        <v>4514</v>
      </c>
      <c r="N168" s="2" t="s">
        <v>4515</v>
      </c>
      <c r="O168" s="2" t="s">
        <v>4516</v>
      </c>
      <c r="P168" s="2" t="s">
        <v>4517</v>
      </c>
      <c r="Q168" s="2" t="s">
        <v>4518</v>
      </c>
      <c r="R168" s="2"/>
      <c r="S168" s="2" t="s">
        <v>4519</v>
      </c>
      <c r="T168" s="2">
        <v>11092858</v>
      </c>
      <c r="U168" s="2"/>
      <c r="V168" s="2"/>
      <c r="W168" s="2"/>
      <c r="X168" s="2" t="s">
        <v>1508</v>
      </c>
      <c r="Y168" s="2" t="s">
        <v>4520</v>
      </c>
      <c r="Z168" s="2" t="s">
        <v>1510</v>
      </c>
      <c r="AA168" s="2" t="s">
        <v>1511</v>
      </c>
      <c r="AB168" s="2"/>
      <c r="AC168" s="2" t="s">
        <v>1513</v>
      </c>
      <c r="AD168" s="2" t="s">
        <v>4521</v>
      </c>
    </row>
    <row r="169" spans="1:30" x14ac:dyDescent="0.45">
      <c r="A169" s="2" t="s">
        <v>1911</v>
      </c>
      <c r="B169" s="2" t="s">
        <v>1912</v>
      </c>
      <c r="C169" s="2" t="s">
        <v>1913</v>
      </c>
      <c r="D169" s="2" t="s">
        <v>1914</v>
      </c>
      <c r="E169" s="2">
        <v>2024</v>
      </c>
      <c r="F169" s="2" t="s">
        <v>1915</v>
      </c>
      <c r="G169" s="2">
        <v>17</v>
      </c>
      <c r="H169" s="2">
        <v>13</v>
      </c>
      <c r="I169" s="2" t="s">
        <v>1916</v>
      </c>
      <c r="J169" s="2"/>
      <c r="K169" s="2"/>
      <c r="L169" s="2">
        <v>8</v>
      </c>
      <c r="M169" s="2" t="s">
        <v>1917</v>
      </c>
      <c r="N169" s="2" t="s">
        <v>1918</v>
      </c>
      <c r="O169" s="2" t="s">
        <v>1919</v>
      </c>
      <c r="P169" s="2" t="s">
        <v>1920</v>
      </c>
      <c r="Q169" s="2" t="s">
        <v>1921</v>
      </c>
      <c r="R169" s="2"/>
      <c r="S169" s="2" t="s">
        <v>1715</v>
      </c>
      <c r="T169" s="2">
        <v>18645631</v>
      </c>
      <c r="U169" s="2"/>
      <c r="V169" s="2" t="s">
        <v>1922</v>
      </c>
      <c r="W169" s="2">
        <v>38381851</v>
      </c>
      <c r="X169" s="2" t="s">
        <v>1508</v>
      </c>
      <c r="Y169" s="2" t="s">
        <v>1915</v>
      </c>
      <c r="Z169" s="2" t="s">
        <v>1510</v>
      </c>
      <c r="AA169" s="2" t="s">
        <v>1511</v>
      </c>
      <c r="AB169" s="2" t="s">
        <v>1539</v>
      </c>
      <c r="AC169" s="2" t="s">
        <v>1513</v>
      </c>
      <c r="AD169" s="2" t="s">
        <v>1923</v>
      </c>
    </row>
    <row r="170" spans="1:30" x14ac:dyDescent="0.45">
      <c r="A170" s="2" t="s">
        <v>2687</v>
      </c>
      <c r="B170" s="2" t="s">
        <v>2688</v>
      </c>
      <c r="C170" s="2" t="s">
        <v>2689</v>
      </c>
      <c r="D170" s="2" t="s">
        <v>2690</v>
      </c>
      <c r="E170" s="2">
        <v>2023</v>
      </c>
      <c r="F170" s="2" t="s">
        <v>2691</v>
      </c>
      <c r="G170" s="2">
        <v>5</v>
      </c>
      <c r="H170" s="2">
        <v>3</v>
      </c>
      <c r="I170" s="2">
        <v>33022</v>
      </c>
      <c r="J170" s="2"/>
      <c r="K170" s="2"/>
      <c r="L170" s="2">
        <v>8</v>
      </c>
      <c r="M170" s="2" t="s">
        <v>2692</v>
      </c>
      <c r="N170" s="2" t="s">
        <v>2693</v>
      </c>
      <c r="O170" s="2" t="s">
        <v>2694</v>
      </c>
      <c r="P170" s="2" t="s">
        <v>2695</v>
      </c>
      <c r="Q170" s="2"/>
      <c r="R170" s="2"/>
      <c r="S170" s="2" t="s">
        <v>2696</v>
      </c>
      <c r="T170" s="2">
        <v>20967187</v>
      </c>
      <c r="U170" s="2"/>
      <c r="V170" s="2"/>
      <c r="W170" s="2"/>
      <c r="X170" s="2" t="s">
        <v>2697</v>
      </c>
      <c r="Y170" s="2" t="s">
        <v>2698</v>
      </c>
      <c r="Z170" s="2" t="s">
        <v>1510</v>
      </c>
      <c r="AA170" s="2" t="s">
        <v>1511</v>
      </c>
      <c r="AB170" s="2"/>
      <c r="AC170" s="2" t="s">
        <v>1513</v>
      </c>
      <c r="AD170" s="2" t="s">
        <v>2699</v>
      </c>
    </row>
    <row r="171" spans="1:30" x14ac:dyDescent="0.45">
      <c r="A171" s="2" t="s">
        <v>3347</v>
      </c>
      <c r="B171" s="2" t="s">
        <v>3348</v>
      </c>
      <c r="C171" s="2" t="s">
        <v>3349</v>
      </c>
      <c r="D171" s="2" t="s">
        <v>3350</v>
      </c>
      <c r="E171" s="2">
        <v>2022</v>
      </c>
      <c r="F171" s="2" t="s">
        <v>3351</v>
      </c>
      <c r="G171" s="2">
        <v>22</v>
      </c>
      <c r="H171" s="2">
        <v>3</v>
      </c>
      <c r="I171" s="2"/>
      <c r="J171" s="2">
        <v>371</v>
      </c>
      <c r="K171" s="2">
        <v>380</v>
      </c>
      <c r="L171" s="2">
        <v>8</v>
      </c>
      <c r="M171" s="2" t="s">
        <v>3352</v>
      </c>
      <c r="N171" s="2" t="s">
        <v>3353</v>
      </c>
      <c r="O171" s="2" t="s">
        <v>3354</v>
      </c>
      <c r="P171" s="2" t="s">
        <v>3355</v>
      </c>
      <c r="Q171" s="2" t="s">
        <v>3356</v>
      </c>
      <c r="R171" s="2"/>
      <c r="S171" s="2" t="s">
        <v>2226</v>
      </c>
      <c r="T171" s="2">
        <v>15304388</v>
      </c>
      <c r="U171" s="2"/>
      <c r="V171" s="2"/>
      <c r="W171" s="2"/>
      <c r="X171" s="2" t="s">
        <v>1508</v>
      </c>
      <c r="Y171" s="2" t="s">
        <v>3357</v>
      </c>
      <c r="Z171" s="2" t="s">
        <v>1510</v>
      </c>
      <c r="AA171" s="2" t="s">
        <v>1511</v>
      </c>
      <c r="AB171" s="2"/>
      <c r="AC171" s="2" t="s">
        <v>1513</v>
      </c>
      <c r="AD171" s="2" t="s">
        <v>3358</v>
      </c>
    </row>
    <row r="172" spans="1:30" x14ac:dyDescent="0.45">
      <c r="A172" s="2" t="s">
        <v>3845</v>
      </c>
      <c r="B172" s="2" t="s">
        <v>3846</v>
      </c>
      <c r="C172" s="2" t="s">
        <v>3847</v>
      </c>
      <c r="D172" s="2" t="s">
        <v>925</v>
      </c>
      <c r="E172" s="2">
        <v>2021</v>
      </c>
      <c r="F172" s="2" t="s">
        <v>3848</v>
      </c>
      <c r="G172" s="2">
        <v>54</v>
      </c>
      <c r="H172" s="2">
        <v>21</v>
      </c>
      <c r="I172" s="2"/>
      <c r="J172" s="2">
        <v>10017</v>
      </c>
      <c r="K172" s="2">
        <v>10030</v>
      </c>
      <c r="L172" s="2">
        <v>8</v>
      </c>
      <c r="M172" s="2" t="s">
        <v>3849</v>
      </c>
      <c r="N172" s="2" t="s">
        <v>3850</v>
      </c>
      <c r="O172" s="2" t="s">
        <v>3851</v>
      </c>
      <c r="P172" s="2" t="s">
        <v>3852</v>
      </c>
      <c r="Q172" s="2" t="s">
        <v>3853</v>
      </c>
      <c r="R172" s="2"/>
      <c r="S172" s="2" t="s">
        <v>1783</v>
      </c>
      <c r="T172" s="2">
        <v>249297</v>
      </c>
      <c r="U172" s="2"/>
      <c r="V172" s="2" t="s">
        <v>3854</v>
      </c>
      <c r="W172" s="2"/>
      <c r="X172" s="2" t="s">
        <v>1508</v>
      </c>
      <c r="Y172" s="2" t="s">
        <v>3848</v>
      </c>
      <c r="Z172" s="2" t="s">
        <v>1510</v>
      </c>
      <c r="AA172" s="2" t="s">
        <v>1511</v>
      </c>
      <c r="AB172" s="2"/>
      <c r="AC172" s="2" t="s">
        <v>1513</v>
      </c>
      <c r="AD172" s="2" t="s">
        <v>3855</v>
      </c>
    </row>
    <row r="173" spans="1:30" x14ac:dyDescent="0.45">
      <c r="A173" s="2" t="s">
        <v>4858</v>
      </c>
      <c r="B173" s="2" t="s">
        <v>4859</v>
      </c>
      <c r="C173" s="2" t="s">
        <v>4860</v>
      </c>
      <c r="D173" s="2" t="s">
        <v>4861</v>
      </c>
      <c r="E173" s="2">
        <v>2020</v>
      </c>
      <c r="F173" s="2" t="s">
        <v>4862</v>
      </c>
      <c r="G173" s="2">
        <v>12</v>
      </c>
      <c r="H173" s="2">
        <v>2</v>
      </c>
      <c r="I173" s="2"/>
      <c r="J173" s="2">
        <v>171</v>
      </c>
      <c r="K173" s="2">
        <v>188</v>
      </c>
      <c r="L173" s="2">
        <v>8</v>
      </c>
      <c r="M173" s="2" t="s">
        <v>4863</v>
      </c>
      <c r="N173" s="2" t="s">
        <v>4864</v>
      </c>
      <c r="O173" s="2" t="s">
        <v>4865</v>
      </c>
      <c r="P173" s="2" t="s">
        <v>4866</v>
      </c>
      <c r="Q173" s="2"/>
      <c r="R173" s="2"/>
      <c r="S173" s="2" t="s">
        <v>4867</v>
      </c>
      <c r="T173" s="2" t="s">
        <v>4868</v>
      </c>
      <c r="U173" s="2"/>
      <c r="V173" s="2"/>
      <c r="W173" s="2"/>
      <c r="X173" s="2" t="s">
        <v>1508</v>
      </c>
      <c r="Y173" s="2" t="s">
        <v>4869</v>
      </c>
      <c r="Z173" s="2" t="s">
        <v>1510</v>
      </c>
      <c r="AA173" s="2" t="s">
        <v>1511</v>
      </c>
      <c r="AB173" s="2"/>
      <c r="AC173" s="2" t="s">
        <v>1513</v>
      </c>
      <c r="AD173" s="2" t="s">
        <v>4870</v>
      </c>
    </row>
    <row r="174" spans="1:30" x14ac:dyDescent="0.45">
      <c r="A174" s="2" t="s">
        <v>1554</v>
      </c>
      <c r="B174" s="2" t="s">
        <v>1555</v>
      </c>
      <c r="C174" s="2" t="s">
        <v>1556</v>
      </c>
      <c r="D174" s="2" t="s">
        <v>1557</v>
      </c>
      <c r="E174" s="2">
        <v>2024</v>
      </c>
      <c r="F174" s="2" t="s">
        <v>1558</v>
      </c>
      <c r="G174" s="2">
        <v>257</v>
      </c>
      <c r="H174" s="2"/>
      <c r="I174" s="2">
        <v>124281</v>
      </c>
      <c r="J174" s="2"/>
      <c r="K174" s="2"/>
      <c r="L174" s="2">
        <v>7</v>
      </c>
      <c r="M174" s="2" t="s">
        <v>1559</v>
      </c>
      <c r="N174" s="2" t="s">
        <v>1560</v>
      </c>
      <c r="O174" s="2" t="s">
        <v>1561</v>
      </c>
      <c r="P174" s="2" t="s">
        <v>1562</v>
      </c>
      <c r="Q174" s="2" t="s">
        <v>1563</v>
      </c>
      <c r="R174" s="2"/>
      <c r="S174" s="2" t="s">
        <v>1524</v>
      </c>
      <c r="T174" s="2">
        <v>13594311</v>
      </c>
      <c r="U174" s="2"/>
      <c r="V174" s="2" t="s">
        <v>1564</v>
      </c>
      <c r="W174" s="2"/>
      <c r="X174" s="2" t="s">
        <v>1508</v>
      </c>
      <c r="Y174" s="2" t="s">
        <v>1565</v>
      </c>
      <c r="Z174" s="2" t="s">
        <v>1510</v>
      </c>
      <c r="AA174" s="2" t="s">
        <v>1511</v>
      </c>
      <c r="AB174" s="2" t="s">
        <v>1539</v>
      </c>
      <c r="AC174" s="2" t="s">
        <v>1513</v>
      </c>
      <c r="AD174" s="2" t="s">
        <v>1566</v>
      </c>
    </row>
    <row r="175" spans="1:30" x14ac:dyDescent="0.45">
      <c r="A175" s="2" t="s">
        <v>2347</v>
      </c>
      <c r="B175" s="2" t="s">
        <v>2348</v>
      </c>
      <c r="C175" s="2" t="s">
        <v>2349</v>
      </c>
      <c r="D175" s="2" t="s">
        <v>2350</v>
      </c>
      <c r="E175" s="2">
        <v>2023</v>
      </c>
      <c r="F175" s="2" t="s">
        <v>2136</v>
      </c>
      <c r="G175" s="2">
        <v>108</v>
      </c>
      <c r="H175" s="2"/>
      <c r="I175" s="2"/>
      <c r="J175" s="2">
        <v>529</v>
      </c>
      <c r="K175" s="2">
        <v>550</v>
      </c>
      <c r="L175" s="2">
        <v>7</v>
      </c>
      <c r="M175" s="2" t="s">
        <v>2351</v>
      </c>
      <c r="N175" s="2" t="s">
        <v>2352</v>
      </c>
      <c r="O175" s="2" t="s">
        <v>2353</v>
      </c>
      <c r="P175" s="2" t="s">
        <v>2354</v>
      </c>
      <c r="Q175" s="2" t="s">
        <v>2355</v>
      </c>
      <c r="R175" s="2"/>
      <c r="S175" s="2" t="s">
        <v>1524</v>
      </c>
      <c r="T175" s="2">
        <v>15266125</v>
      </c>
      <c r="U175" s="2"/>
      <c r="V175" s="2"/>
      <c r="W175" s="2"/>
      <c r="X175" s="2" t="s">
        <v>1508</v>
      </c>
      <c r="Y175" s="2" t="s">
        <v>2142</v>
      </c>
      <c r="Z175" s="2" t="s">
        <v>1510</v>
      </c>
      <c r="AA175" s="2" t="s">
        <v>1511</v>
      </c>
      <c r="AB175" s="2"/>
      <c r="AC175" s="2" t="s">
        <v>1513</v>
      </c>
      <c r="AD175" s="2" t="s">
        <v>2356</v>
      </c>
    </row>
    <row r="176" spans="1:30" x14ac:dyDescent="0.45">
      <c r="A176" s="2" t="s">
        <v>2382</v>
      </c>
      <c r="B176" s="2" t="s">
        <v>2383</v>
      </c>
      <c r="C176" s="2" t="s">
        <v>2384</v>
      </c>
      <c r="D176" s="2" t="s">
        <v>917</v>
      </c>
      <c r="E176" s="2">
        <v>2023</v>
      </c>
      <c r="F176" s="2" t="s">
        <v>2385</v>
      </c>
      <c r="G176" s="2">
        <v>363</v>
      </c>
      <c r="H176" s="2"/>
      <c r="I176" s="2">
        <v>114728</v>
      </c>
      <c r="J176" s="2"/>
      <c r="K176" s="2"/>
      <c r="L176" s="2">
        <v>7</v>
      </c>
      <c r="M176" s="2" t="s">
        <v>2386</v>
      </c>
      <c r="N176" s="2" t="s">
        <v>2387</v>
      </c>
      <c r="O176" s="2" t="s">
        <v>1969</v>
      </c>
      <c r="P176" s="2" t="s">
        <v>2388</v>
      </c>
      <c r="Q176" s="2" t="s">
        <v>2389</v>
      </c>
      <c r="R176" s="2"/>
      <c r="S176" s="2" t="s">
        <v>1506</v>
      </c>
      <c r="T176" s="2">
        <v>9244247</v>
      </c>
      <c r="U176" s="2"/>
      <c r="V176" s="2" t="s">
        <v>2390</v>
      </c>
      <c r="W176" s="2"/>
      <c r="X176" s="2" t="s">
        <v>1508</v>
      </c>
      <c r="Y176" s="2" t="s">
        <v>2391</v>
      </c>
      <c r="Z176" s="2" t="s">
        <v>1510</v>
      </c>
      <c r="AA176" s="2" t="s">
        <v>1511</v>
      </c>
      <c r="AB176" s="2"/>
      <c r="AC176" s="2" t="s">
        <v>1513</v>
      </c>
      <c r="AD176" s="2" t="s">
        <v>2392</v>
      </c>
    </row>
    <row r="177" spans="1:30" x14ac:dyDescent="0.45">
      <c r="A177" s="2" t="s">
        <v>2439</v>
      </c>
      <c r="B177" s="2" t="s">
        <v>2440</v>
      </c>
      <c r="C177" s="2" t="s">
        <v>2441</v>
      </c>
      <c r="D177" s="2" t="s">
        <v>2442</v>
      </c>
      <c r="E177" s="2">
        <v>2023</v>
      </c>
      <c r="F177" s="2" t="s">
        <v>1583</v>
      </c>
      <c r="G177" s="2">
        <v>14</v>
      </c>
      <c r="H177" s="2">
        <v>1</v>
      </c>
      <c r="I177" s="2">
        <v>1904</v>
      </c>
      <c r="J177" s="2"/>
      <c r="K177" s="2"/>
      <c r="L177" s="2">
        <v>7</v>
      </c>
      <c r="M177" s="2" t="s">
        <v>2443</v>
      </c>
      <c r="N177" s="2" t="s">
        <v>2444</v>
      </c>
      <c r="O177" s="2" t="s">
        <v>1735</v>
      </c>
      <c r="P177" s="2" t="s">
        <v>2445</v>
      </c>
      <c r="Q177" s="2" t="s">
        <v>2446</v>
      </c>
      <c r="R177" s="2"/>
      <c r="S177" s="2" t="s">
        <v>1589</v>
      </c>
      <c r="T177" s="2"/>
      <c r="U177" s="2"/>
      <c r="V177" s="2"/>
      <c r="W177" s="2">
        <v>37019928</v>
      </c>
      <c r="X177" s="2" t="s">
        <v>1508</v>
      </c>
      <c r="Y177" s="2" t="s">
        <v>1590</v>
      </c>
      <c r="Z177" s="2" t="s">
        <v>1510</v>
      </c>
      <c r="AA177" s="2" t="s">
        <v>1511</v>
      </c>
      <c r="AB177" s="2" t="s">
        <v>1591</v>
      </c>
      <c r="AC177" s="2" t="s">
        <v>1513</v>
      </c>
      <c r="AD177" s="2" t="s">
        <v>2447</v>
      </c>
    </row>
    <row r="178" spans="1:30" x14ac:dyDescent="0.45">
      <c r="A178" s="2" t="s">
        <v>2856</v>
      </c>
      <c r="B178" s="2" t="s">
        <v>2857</v>
      </c>
      <c r="C178" s="2" t="s">
        <v>2858</v>
      </c>
      <c r="D178" s="2" t="s">
        <v>2859</v>
      </c>
      <c r="E178" s="2">
        <v>2023</v>
      </c>
      <c r="F178" s="2" t="s">
        <v>2860</v>
      </c>
      <c r="G178" s="2">
        <v>10</v>
      </c>
      <c r="H178" s="2" t="s">
        <v>2861</v>
      </c>
      <c r="I178" s="2"/>
      <c r="J178" s="2">
        <v>25</v>
      </c>
      <c r="K178" s="2">
        <v>30</v>
      </c>
      <c r="L178" s="2">
        <v>7</v>
      </c>
      <c r="M178" s="2" t="s">
        <v>2862</v>
      </c>
      <c r="N178" s="2" t="s">
        <v>2863</v>
      </c>
      <c r="O178" s="2" t="s">
        <v>2864</v>
      </c>
      <c r="P178" s="2" t="s">
        <v>2865</v>
      </c>
      <c r="Q178" s="2" t="s">
        <v>2866</v>
      </c>
      <c r="R178" s="2" t="s">
        <v>2867</v>
      </c>
      <c r="S178" s="2" t="s">
        <v>2868</v>
      </c>
      <c r="T178" s="2">
        <v>21949042</v>
      </c>
      <c r="U178" s="2"/>
      <c r="V178" s="2"/>
      <c r="W178" s="2"/>
      <c r="X178" s="2" t="s">
        <v>1508</v>
      </c>
      <c r="Y178" s="2" t="s">
        <v>2869</v>
      </c>
      <c r="Z178" s="2" t="s">
        <v>1741</v>
      </c>
      <c r="AA178" s="2" t="s">
        <v>1511</v>
      </c>
      <c r="AB178" s="2" t="s">
        <v>1591</v>
      </c>
      <c r="AC178" s="2" t="s">
        <v>1513</v>
      </c>
      <c r="AD178" s="2" t="s">
        <v>2870</v>
      </c>
    </row>
    <row r="179" spans="1:30" x14ac:dyDescent="0.45">
      <c r="A179" s="2" t="s">
        <v>3052</v>
      </c>
      <c r="B179" s="2" t="s">
        <v>3053</v>
      </c>
      <c r="C179" s="2" t="s">
        <v>3054</v>
      </c>
      <c r="D179" s="2" t="s">
        <v>978</v>
      </c>
      <c r="E179" s="2">
        <v>2023</v>
      </c>
      <c r="F179" s="2" t="s">
        <v>3055</v>
      </c>
      <c r="G179" s="2">
        <v>13</v>
      </c>
      <c r="H179" s="2">
        <v>1</v>
      </c>
      <c r="I179" s="2">
        <v>18</v>
      </c>
      <c r="J179" s="2"/>
      <c r="K179" s="2"/>
      <c r="L179" s="2">
        <v>7</v>
      </c>
      <c r="M179" s="2" t="s">
        <v>3056</v>
      </c>
      <c r="N179" s="2" t="s">
        <v>3057</v>
      </c>
      <c r="O179" s="2" t="s">
        <v>3058</v>
      </c>
      <c r="P179" s="2" t="s">
        <v>3059</v>
      </c>
      <c r="Q179" s="2" t="s">
        <v>3060</v>
      </c>
      <c r="R179" s="2"/>
      <c r="S179" s="2" t="s">
        <v>2805</v>
      </c>
      <c r="T179" s="2"/>
      <c r="U179" s="2"/>
      <c r="V179" s="2"/>
      <c r="W179" s="2"/>
      <c r="X179" s="2" t="s">
        <v>1508</v>
      </c>
      <c r="Y179" s="2" t="s">
        <v>3055</v>
      </c>
      <c r="Z179" s="2" t="s">
        <v>1510</v>
      </c>
      <c r="AA179" s="2" t="s">
        <v>1511</v>
      </c>
      <c r="AB179" s="2" t="s">
        <v>1591</v>
      </c>
      <c r="AC179" s="2" t="s">
        <v>1513</v>
      </c>
      <c r="AD179" s="2" t="s">
        <v>3061</v>
      </c>
    </row>
    <row r="180" spans="1:30" x14ac:dyDescent="0.45">
      <c r="A180" s="2" t="s">
        <v>3137</v>
      </c>
      <c r="B180" s="2" t="s">
        <v>3138</v>
      </c>
      <c r="C180" s="2" t="s">
        <v>3139</v>
      </c>
      <c r="D180" s="2" t="s">
        <v>3140</v>
      </c>
      <c r="E180" s="2">
        <v>2022</v>
      </c>
      <c r="F180" s="2" t="s">
        <v>2161</v>
      </c>
      <c r="G180" s="2">
        <v>17</v>
      </c>
      <c r="H180" s="2">
        <v>12</v>
      </c>
      <c r="I180" s="2" t="s">
        <v>3141</v>
      </c>
      <c r="J180" s="2"/>
      <c r="K180" s="2"/>
      <c r="L180" s="2">
        <v>7</v>
      </c>
      <c r="M180" s="2" t="s">
        <v>3142</v>
      </c>
      <c r="N180" s="2" t="s">
        <v>3143</v>
      </c>
      <c r="O180" s="2" t="s">
        <v>3144</v>
      </c>
      <c r="P180" s="2" t="s">
        <v>3145</v>
      </c>
      <c r="Q180" s="2" t="s">
        <v>3146</v>
      </c>
      <c r="R180" s="2"/>
      <c r="S180" s="2" t="s">
        <v>1551</v>
      </c>
      <c r="T180" s="2">
        <v>17480221</v>
      </c>
      <c r="U180" s="2"/>
      <c r="V180" s="2"/>
      <c r="W180" s="2"/>
      <c r="X180" s="2" t="s">
        <v>1508</v>
      </c>
      <c r="Y180" s="2" t="s">
        <v>2168</v>
      </c>
      <c r="Z180" s="2" t="s">
        <v>1741</v>
      </c>
      <c r="AA180" s="2" t="s">
        <v>1511</v>
      </c>
      <c r="AB180" s="2"/>
      <c r="AC180" s="2" t="s">
        <v>1513</v>
      </c>
      <c r="AD180" s="2" t="s">
        <v>3147</v>
      </c>
    </row>
    <row r="181" spans="1:30" x14ac:dyDescent="0.45">
      <c r="A181" s="2" t="s">
        <v>3326</v>
      </c>
      <c r="B181" s="2" t="s">
        <v>3327</v>
      </c>
      <c r="C181" s="2" t="s">
        <v>3328</v>
      </c>
      <c r="D181" s="2" t="s">
        <v>3329</v>
      </c>
      <c r="E181" s="2">
        <v>2022</v>
      </c>
      <c r="F181" s="2" t="s">
        <v>3281</v>
      </c>
      <c r="G181" s="2">
        <v>38</v>
      </c>
      <c r="H181" s="2">
        <v>3</v>
      </c>
      <c r="I181" s="2"/>
      <c r="J181" s="2">
        <v>287</v>
      </c>
      <c r="K181" s="2">
        <v>309</v>
      </c>
      <c r="L181" s="2">
        <v>7</v>
      </c>
      <c r="M181" s="2" t="s">
        <v>3330</v>
      </c>
      <c r="N181" s="2" t="s">
        <v>3331</v>
      </c>
      <c r="O181" s="2" t="s">
        <v>3332</v>
      </c>
      <c r="P181" s="2" t="s">
        <v>3333</v>
      </c>
      <c r="Q181" s="2" t="s">
        <v>3316</v>
      </c>
      <c r="R181" s="2"/>
      <c r="S181" s="2" t="s">
        <v>2071</v>
      </c>
      <c r="T181" s="2" t="s">
        <v>3287</v>
      </c>
      <c r="U181" s="2"/>
      <c r="V181" s="2"/>
      <c r="W181" s="2"/>
      <c r="X181" s="2" t="s">
        <v>1508</v>
      </c>
      <c r="Y181" s="2" t="s">
        <v>3288</v>
      </c>
      <c r="Z181" s="2" t="s">
        <v>1510</v>
      </c>
      <c r="AA181" s="2" t="s">
        <v>1511</v>
      </c>
      <c r="AB181" s="2" t="s">
        <v>1539</v>
      </c>
      <c r="AC181" s="2" t="s">
        <v>1513</v>
      </c>
      <c r="AD181" s="2" t="s">
        <v>3334</v>
      </c>
    </row>
    <row r="182" spans="1:30" x14ac:dyDescent="0.45">
      <c r="A182" s="2" t="s">
        <v>3964</v>
      </c>
      <c r="B182" s="2" t="s">
        <v>3965</v>
      </c>
      <c r="C182" s="2" t="s">
        <v>3966</v>
      </c>
      <c r="D182" s="2" t="s">
        <v>3967</v>
      </c>
      <c r="E182" s="2">
        <v>2021</v>
      </c>
      <c r="F182" s="2" t="s">
        <v>3968</v>
      </c>
      <c r="G182" s="2">
        <v>31</v>
      </c>
      <c r="H182" s="2">
        <v>5</v>
      </c>
      <c r="I182" s="2"/>
      <c r="J182" s="2">
        <v>758</v>
      </c>
      <c r="K182" s="2">
        <v>769</v>
      </c>
      <c r="L182" s="2">
        <v>7</v>
      </c>
      <c r="M182" s="2" t="s">
        <v>3969</v>
      </c>
      <c r="N182" s="2" t="s">
        <v>3970</v>
      </c>
      <c r="O182" s="2" t="s">
        <v>3971</v>
      </c>
      <c r="P182" s="2" t="s">
        <v>3972</v>
      </c>
      <c r="Q182" s="2" t="s">
        <v>3973</v>
      </c>
      <c r="R182" s="2"/>
      <c r="S182" s="2" t="s">
        <v>3880</v>
      </c>
      <c r="T182" s="2" t="s">
        <v>3974</v>
      </c>
      <c r="U182" s="2"/>
      <c r="V182" s="2" t="s">
        <v>3975</v>
      </c>
      <c r="W182" s="2"/>
      <c r="X182" s="2" t="s">
        <v>1508</v>
      </c>
      <c r="Y182" s="2" t="s">
        <v>3976</v>
      </c>
      <c r="Z182" s="2" t="s">
        <v>1510</v>
      </c>
      <c r="AA182" s="2" t="s">
        <v>1511</v>
      </c>
      <c r="AB182" s="2"/>
      <c r="AC182" s="2" t="s">
        <v>1513</v>
      </c>
      <c r="AD182" s="2" t="s">
        <v>3977</v>
      </c>
    </row>
    <row r="183" spans="1:30" x14ac:dyDescent="0.45">
      <c r="A183" s="2" t="s">
        <v>4206</v>
      </c>
      <c r="B183" s="2" t="s">
        <v>4207</v>
      </c>
      <c r="C183" s="2" t="s">
        <v>4208</v>
      </c>
      <c r="D183" s="2" t="s">
        <v>4209</v>
      </c>
      <c r="E183" s="2">
        <v>2021</v>
      </c>
      <c r="F183" s="2" t="s">
        <v>1797</v>
      </c>
      <c r="G183" s="2">
        <v>103</v>
      </c>
      <c r="H183" s="2">
        <v>5</v>
      </c>
      <c r="I183" s="2">
        <v>54201</v>
      </c>
      <c r="J183" s="2"/>
      <c r="K183" s="2"/>
      <c r="L183" s="2">
        <v>7</v>
      </c>
      <c r="M183" s="2" t="s">
        <v>4210</v>
      </c>
      <c r="N183" s="2" t="s">
        <v>4211</v>
      </c>
      <c r="O183" s="2" t="s">
        <v>4212</v>
      </c>
      <c r="P183" s="2" t="s">
        <v>4213</v>
      </c>
      <c r="Q183" s="2" t="s">
        <v>4214</v>
      </c>
      <c r="R183" s="2"/>
      <c r="S183" s="2" t="s">
        <v>1803</v>
      </c>
      <c r="T183" s="2">
        <v>24699950</v>
      </c>
      <c r="U183" s="2"/>
      <c r="V183" s="2"/>
      <c r="W183" s="2"/>
      <c r="X183" s="2" t="s">
        <v>1508</v>
      </c>
      <c r="Y183" s="2" t="s">
        <v>1804</v>
      </c>
      <c r="Z183" s="2" t="s">
        <v>1510</v>
      </c>
      <c r="AA183" s="2" t="s">
        <v>1511</v>
      </c>
      <c r="AB183" s="2"/>
      <c r="AC183" s="2" t="s">
        <v>1513</v>
      </c>
      <c r="AD183" s="2" t="s">
        <v>4215</v>
      </c>
    </row>
    <row r="184" spans="1:30" x14ac:dyDescent="0.45">
      <c r="A184" s="2" t="s">
        <v>3673</v>
      </c>
      <c r="B184" s="2" t="s">
        <v>3674</v>
      </c>
      <c r="C184" s="2" t="s">
        <v>3675</v>
      </c>
      <c r="D184" s="2" t="s">
        <v>4235</v>
      </c>
      <c r="E184" s="2">
        <v>2021</v>
      </c>
      <c r="F184" s="2" t="s">
        <v>4236</v>
      </c>
      <c r="G184" s="2">
        <v>13</v>
      </c>
      <c r="H184" s="2">
        <v>5</v>
      </c>
      <c r="I184" s="2"/>
      <c r="J184" s="2">
        <v>3214</v>
      </c>
      <c r="K184" s="2">
        <v>3226</v>
      </c>
      <c r="L184" s="2">
        <v>7</v>
      </c>
      <c r="M184" s="2" t="s">
        <v>4237</v>
      </c>
      <c r="N184" s="2" t="s">
        <v>4238</v>
      </c>
      <c r="O184" s="2" t="s">
        <v>3621</v>
      </c>
      <c r="P184" s="2" t="s">
        <v>3680</v>
      </c>
      <c r="Q184" s="2" t="s">
        <v>4017</v>
      </c>
      <c r="R184" s="2"/>
      <c r="S184" s="2" t="s">
        <v>1884</v>
      </c>
      <c r="T184" s="2">
        <v>20403364</v>
      </c>
      <c r="U184" s="2"/>
      <c r="V184" s="2"/>
      <c r="W184" s="2">
        <v>33528486</v>
      </c>
      <c r="X184" s="2" t="s">
        <v>1508</v>
      </c>
      <c r="Y184" s="2" t="s">
        <v>4236</v>
      </c>
      <c r="Z184" s="2" t="s">
        <v>1510</v>
      </c>
      <c r="AA184" s="2" t="s">
        <v>1511</v>
      </c>
      <c r="AB184" s="2"/>
      <c r="AC184" s="2" t="s">
        <v>1513</v>
      </c>
      <c r="AD184" s="2" t="s">
        <v>4239</v>
      </c>
    </row>
    <row r="185" spans="1:30" x14ac:dyDescent="0.45">
      <c r="A185" s="2" t="s">
        <v>4254</v>
      </c>
      <c r="B185" s="2" t="s">
        <v>4255</v>
      </c>
      <c r="C185" s="2" t="s">
        <v>4256</v>
      </c>
      <c r="D185" s="2" t="s">
        <v>4257</v>
      </c>
      <c r="E185" s="2">
        <v>2021</v>
      </c>
      <c r="F185" s="2" t="s">
        <v>2829</v>
      </c>
      <c r="G185" s="2">
        <v>35</v>
      </c>
      <c r="H185" s="2"/>
      <c r="I185" s="2">
        <v>102741</v>
      </c>
      <c r="J185" s="2"/>
      <c r="K185" s="2"/>
      <c r="L185" s="2">
        <v>7</v>
      </c>
      <c r="M185" s="2" t="s">
        <v>4258</v>
      </c>
      <c r="N185" s="2" t="s">
        <v>4259</v>
      </c>
      <c r="O185" s="2" t="s">
        <v>4260</v>
      </c>
      <c r="P185" s="2" t="s">
        <v>4261</v>
      </c>
      <c r="Q185" s="2" t="s">
        <v>4262</v>
      </c>
      <c r="R185" s="2"/>
      <c r="S185" s="2" t="s">
        <v>1524</v>
      </c>
      <c r="T185" s="2" t="s">
        <v>2834</v>
      </c>
      <c r="U185" s="2"/>
      <c r="V185" s="2"/>
      <c r="W185" s="2"/>
      <c r="X185" s="2" t="s">
        <v>1508</v>
      </c>
      <c r="Y185" s="2" t="s">
        <v>2835</v>
      </c>
      <c r="Z185" s="2" t="s">
        <v>1510</v>
      </c>
      <c r="AA185" s="2" t="s">
        <v>1511</v>
      </c>
      <c r="AB185" s="2"/>
      <c r="AC185" s="2" t="s">
        <v>1513</v>
      </c>
      <c r="AD185" s="2" t="s">
        <v>4263</v>
      </c>
    </row>
    <row r="186" spans="1:30" x14ac:dyDescent="0.45">
      <c r="A186" s="2" t="s">
        <v>4685</v>
      </c>
      <c r="B186" s="2" t="s">
        <v>4686</v>
      </c>
      <c r="C186" s="2" t="s">
        <v>4687</v>
      </c>
      <c r="D186" s="2" t="s">
        <v>262</v>
      </c>
      <c r="E186" s="2">
        <v>2020</v>
      </c>
      <c r="F186" s="2" t="s">
        <v>4688</v>
      </c>
      <c r="G186" s="2">
        <v>709</v>
      </c>
      <c r="H186" s="2"/>
      <c r="I186" s="2">
        <v>138206</v>
      </c>
      <c r="J186" s="2"/>
      <c r="K186" s="2"/>
      <c r="L186" s="2">
        <v>7</v>
      </c>
      <c r="M186" s="2" t="s">
        <v>4689</v>
      </c>
      <c r="N186" s="2" t="s">
        <v>4690</v>
      </c>
      <c r="O186" s="2" t="s">
        <v>4691</v>
      </c>
      <c r="P186" s="2" t="s">
        <v>4692</v>
      </c>
      <c r="Q186" s="2" t="s">
        <v>3376</v>
      </c>
      <c r="R186" s="2"/>
      <c r="S186" s="2" t="s">
        <v>1506</v>
      </c>
      <c r="T186" s="2">
        <v>406090</v>
      </c>
      <c r="U186" s="2"/>
      <c r="V186" s="2" t="s">
        <v>4693</v>
      </c>
      <c r="W186" s="2"/>
      <c r="X186" s="2" t="s">
        <v>1508</v>
      </c>
      <c r="Y186" s="2" t="s">
        <v>4688</v>
      </c>
      <c r="Z186" s="2" t="s">
        <v>1510</v>
      </c>
      <c r="AA186" s="2" t="s">
        <v>1511</v>
      </c>
      <c r="AB186" s="2"/>
      <c r="AC186" s="2" t="s">
        <v>1513</v>
      </c>
      <c r="AD186" s="2" t="s">
        <v>4694</v>
      </c>
    </row>
    <row r="187" spans="1:30" x14ac:dyDescent="0.45">
      <c r="A187" s="2" t="s">
        <v>1705</v>
      </c>
      <c r="B187" s="2" t="s">
        <v>1706</v>
      </c>
      <c r="C187" s="2" t="s">
        <v>1707</v>
      </c>
      <c r="D187" s="2" t="s">
        <v>1708</v>
      </c>
      <c r="E187" s="2">
        <v>2024</v>
      </c>
      <c r="F187" s="2" t="s">
        <v>1709</v>
      </c>
      <c r="G187" s="2">
        <v>61</v>
      </c>
      <c r="H187" s="2">
        <v>7</v>
      </c>
      <c r="I187" s="2"/>
      <c r="J187" s="2">
        <v>3108</v>
      </c>
      <c r="K187" s="2">
        <v>3147</v>
      </c>
      <c r="L187" s="2">
        <v>6</v>
      </c>
      <c r="M187" s="2" t="s">
        <v>1710</v>
      </c>
      <c r="N187" s="2" t="s">
        <v>1711</v>
      </c>
      <c r="O187" s="2" t="s">
        <v>1712</v>
      </c>
      <c r="P187" s="2" t="s">
        <v>1713</v>
      </c>
      <c r="Q187" s="2" t="s">
        <v>1714</v>
      </c>
      <c r="R187" s="2"/>
      <c r="S187" s="2" t="s">
        <v>1715</v>
      </c>
      <c r="T187" s="2">
        <v>222380</v>
      </c>
      <c r="U187" s="2"/>
      <c r="V187" s="2"/>
      <c r="W187" s="2"/>
      <c r="X187" s="2" t="s">
        <v>1508</v>
      </c>
      <c r="Y187" s="2" t="s">
        <v>1716</v>
      </c>
      <c r="Z187" s="2" t="s">
        <v>1510</v>
      </c>
      <c r="AA187" s="2" t="s">
        <v>1511</v>
      </c>
      <c r="AB187" s="2"/>
      <c r="AC187" s="2" t="s">
        <v>1513</v>
      </c>
      <c r="AD187" s="2" t="s">
        <v>1717</v>
      </c>
    </row>
    <row r="188" spans="1:30" x14ac:dyDescent="0.45">
      <c r="A188" s="2" t="s">
        <v>1852</v>
      </c>
      <c r="B188" s="2" t="s">
        <v>1853</v>
      </c>
      <c r="C188" s="2" t="s">
        <v>1854</v>
      </c>
      <c r="D188" s="2" t="s">
        <v>947</v>
      </c>
      <c r="E188" s="2">
        <v>2024</v>
      </c>
      <c r="F188" s="2" t="s">
        <v>1855</v>
      </c>
      <c r="G188" s="2">
        <v>32</v>
      </c>
      <c r="H188" s="2">
        <v>8</v>
      </c>
      <c r="I188" s="2"/>
      <c r="J188" s="2">
        <v>757</v>
      </c>
      <c r="K188" s="2">
        <v>766</v>
      </c>
      <c r="L188" s="2">
        <v>6</v>
      </c>
      <c r="M188" s="2" t="s">
        <v>1856</v>
      </c>
      <c r="N188" s="2" t="s">
        <v>1857</v>
      </c>
      <c r="O188" s="2" t="s">
        <v>1858</v>
      </c>
      <c r="P188" s="2" t="s">
        <v>1859</v>
      </c>
      <c r="Q188" s="2" t="s">
        <v>1860</v>
      </c>
      <c r="R188" s="2"/>
      <c r="S188" s="2" t="s">
        <v>1861</v>
      </c>
      <c r="T188" s="2">
        <v>15985032</v>
      </c>
      <c r="U188" s="2"/>
      <c r="V188" s="2"/>
      <c r="W188" s="2"/>
      <c r="X188" s="2" t="s">
        <v>1508</v>
      </c>
      <c r="Y188" s="2" t="s">
        <v>1862</v>
      </c>
      <c r="Z188" s="2" t="s">
        <v>1510</v>
      </c>
      <c r="AA188" s="2" t="s">
        <v>1511</v>
      </c>
      <c r="AB188" s="2"/>
      <c r="AC188" s="2" t="s">
        <v>1513</v>
      </c>
      <c r="AD188" s="2" t="s">
        <v>1863</v>
      </c>
    </row>
    <row r="189" spans="1:30" x14ac:dyDescent="0.45">
      <c r="A189" s="2" t="s">
        <v>2404</v>
      </c>
      <c r="B189" s="2" t="s">
        <v>2405</v>
      </c>
      <c r="C189" s="2" t="s">
        <v>2406</v>
      </c>
      <c r="D189" s="2" t="s">
        <v>2407</v>
      </c>
      <c r="E189" s="2">
        <v>2023</v>
      </c>
      <c r="F189" s="2" t="s">
        <v>2408</v>
      </c>
      <c r="G189" s="2">
        <v>67</v>
      </c>
      <c r="H189" s="2"/>
      <c r="I189" s="2"/>
      <c r="J189" s="2">
        <v>336</v>
      </c>
      <c r="K189" s="2">
        <v>346</v>
      </c>
      <c r="L189" s="2">
        <v>6</v>
      </c>
      <c r="M189" s="2" t="s">
        <v>2409</v>
      </c>
      <c r="N189" s="2" t="s">
        <v>2410</v>
      </c>
      <c r="O189" s="2" t="s">
        <v>2411</v>
      </c>
      <c r="P189" s="2" t="s">
        <v>2412</v>
      </c>
      <c r="Q189" s="2" t="s">
        <v>2413</v>
      </c>
      <c r="R189" s="2"/>
      <c r="S189" s="2" t="s">
        <v>1506</v>
      </c>
      <c r="T189" s="2" t="s">
        <v>2414</v>
      </c>
      <c r="U189" s="2"/>
      <c r="V189" s="2"/>
      <c r="W189" s="2"/>
      <c r="X189" s="2" t="s">
        <v>1508</v>
      </c>
      <c r="Y189" s="2" t="s">
        <v>2415</v>
      </c>
      <c r="Z189" s="2" t="s">
        <v>1510</v>
      </c>
      <c r="AA189" s="2" t="s">
        <v>1511</v>
      </c>
      <c r="AB189" s="2"/>
      <c r="AC189" s="2" t="s">
        <v>1513</v>
      </c>
      <c r="AD189" s="2" t="s">
        <v>2416</v>
      </c>
    </row>
    <row r="190" spans="1:30" x14ac:dyDescent="0.45">
      <c r="A190" s="2" t="s">
        <v>2917</v>
      </c>
      <c r="B190" s="2" t="s">
        <v>2918</v>
      </c>
      <c r="C190" s="2" t="s">
        <v>2919</v>
      </c>
      <c r="D190" s="2" t="s">
        <v>2920</v>
      </c>
      <c r="E190" s="2">
        <v>2023</v>
      </c>
      <c r="F190" s="2" t="s">
        <v>2921</v>
      </c>
      <c r="G190" s="2"/>
      <c r="H190" s="2"/>
      <c r="I190" s="2"/>
      <c r="J190" s="2">
        <v>1</v>
      </c>
      <c r="K190" s="2">
        <v>372</v>
      </c>
      <c r="L190" s="2">
        <v>6</v>
      </c>
      <c r="M190" s="2" t="s">
        <v>2922</v>
      </c>
      <c r="N190" s="2" t="s">
        <v>2923</v>
      </c>
      <c r="O190" s="2" t="s">
        <v>2924</v>
      </c>
      <c r="P190" s="2" t="s">
        <v>2925</v>
      </c>
      <c r="Q190" s="2"/>
      <c r="R190" s="2"/>
      <c r="S190" s="2" t="s">
        <v>2276</v>
      </c>
      <c r="T190" s="2"/>
      <c r="U190" s="2" t="s">
        <v>2926</v>
      </c>
      <c r="V190" s="2"/>
      <c r="W190" s="2"/>
      <c r="X190" s="2" t="s">
        <v>1508</v>
      </c>
      <c r="Y190" s="2" t="s">
        <v>2927</v>
      </c>
      <c r="Z190" s="2" t="s">
        <v>2326</v>
      </c>
      <c r="AA190" s="2" t="s">
        <v>1511</v>
      </c>
      <c r="AB190" s="2"/>
      <c r="AC190" s="2" t="s">
        <v>1513</v>
      </c>
      <c r="AD190" s="2" t="s">
        <v>2928</v>
      </c>
    </row>
    <row r="191" spans="1:30" x14ac:dyDescent="0.45">
      <c r="A191" s="2" t="s">
        <v>3650</v>
      </c>
      <c r="B191" s="2" t="s">
        <v>3651</v>
      </c>
      <c r="C191" s="2" t="s">
        <v>3652</v>
      </c>
      <c r="D191" s="2" t="s">
        <v>3653</v>
      </c>
      <c r="E191" s="2">
        <v>2022</v>
      </c>
      <c r="F191" s="2" t="s">
        <v>3654</v>
      </c>
      <c r="G191" s="2">
        <v>27</v>
      </c>
      <c r="H191" s="2">
        <v>1</v>
      </c>
      <c r="I191" s="2"/>
      <c r="J191" s="2">
        <v>150</v>
      </c>
      <c r="K191" s="2">
        <v>162</v>
      </c>
      <c r="L191" s="2">
        <v>6</v>
      </c>
      <c r="M191" s="2" t="s">
        <v>3655</v>
      </c>
      <c r="N191" s="2" t="s">
        <v>3656</v>
      </c>
      <c r="O191" s="2" t="s">
        <v>3657</v>
      </c>
      <c r="P191" s="2" t="s">
        <v>3658</v>
      </c>
      <c r="Q191" s="2" t="s">
        <v>3659</v>
      </c>
      <c r="R191" s="2"/>
      <c r="S191" s="2" t="s">
        <v>3660</v>
      </c>
      <c r="T191" s="2">
        <v>10068961</v>
      </c>
      <c r="U191" s="2"/>
      <c r="V191" s="2"/>
      <c r="W191" s="2"/>
      <c r="X191" s="2" t="s">
        <v>2697</v>
      </c>
      <c r="Y191" s="2" t="s">
        <v>3661</v>
      </c>
      <c r="Z191" s="2" t="s">
        <v>1641</v>
      </c>
      <c r="AA191" s="2" t="s">
        <v>1511</v>
      </c>
      <c r="AB191" s="2"/>
      <c r="AC191" s="2" t="s">
        <v>1513</v>
      </c>
      <c r="AD191" s="2" t="s">
        <v>3662</v>
      </c>
    </row>
    <row r="192" spans="1:30" x14ac:dyDescent="0.45">
      <c r="A192" s="2" t="s">
        <v>4285</v>
      </c>
      <c r="B192" s="2" t="s">
        <v>4286</v>
      </c>
      <c r="C192" s="2" t="s">
        <v>4287</v>
      </c>
      <c r="D192" s="2" t="s">
        <v>4288</v>
      </c>
      <c r="E192" s="2">
        <v>2021</v>
      </c>
      <c r="F192" s="2" t="s">
        <v>4288</v>
      </c>
      <c r="G192" s="2"/>
      <c r="H192" s="2"/>
      <c r="I192" s="2"/>
      <c r="J192" s="2">
        <v>1</v>
      </c>
      <c r="K192" s="2">
        <v>462</v>
      </c>
      <c r="L192" s="2">
        <v>6</v>
      </c>
      <c r="M192" s="2" t="s">
        <v>4289</v>
      </c>
      <c r="N192" s="2" t="s">
        <v>4290</v>
      </c>
      <c r="O192" s="2" t="s">
        <v>4291</v>
      </c>
      <c r="P192" s="2" t="s">
        <v>4292</v>
      </c>
      <c r="Q192" s="2"/>
      <c r="R192" s="2"/>
      <c r="S192" s="2" t="s">
        <v>3028</v>
      </c>
      <c r="T192" s="2"/>
      <c r="U192" s="3">
        <v>9780440000000</v>
      </c>
      <c r="V192" s="2"/>
      <c r="W192" s="2"/>
      <c r="X192" s="2" t="s">
        <v>1508</v>
      </c>
      <c r="Y192" s="2" t="s">
        <v>4288</v>
      </c>
      <c r="Z192" s="2" t="s">
        <v>2326</v>
      </c>
      <c r="AA192" s="2" t="s">
        <v>1511</v>
      </c>
      <c r="AB192" s="2"/>
      <c r="AC192" s="2" t="s">
        <v>1513</v>
      </c>
      <c r="AD192" s="2" t="s">
        <v>4293</v>
      </c>
    </row>
    <row r="193" spans="1:30" x14ac:dyDescent="0.45">
      <c r="A193" s="2" t="s">
        <v>4317</v>
      </c>
      <c r="B193" s="2" t="s">
        <v>4318</v>
      </c>
      <c r="C193" s="2" t="s">
        <v>4319</v>
      </c>
      <c r="D193" s="2" t="s">
        <v>236</v>
      </c>
      <c r="E193" s="2">
        <v>2021</v>
      </c>
      <c r="F193" s="2" t="s">
        <v>4320</v>
      </c>
      <c r="G193" s="2"/>
      <c r="H193" s="2"/>
      <c r="I193" s="2"/>
      <c r="J193" s="2"/>
      <c r="K193" s="2"/>
      <c r="L193" s="2">
        <v>6</v>
      </c>
      <c r="M193" s="2" t="s">
        <v>4321</v>
      </c>
      <c r="N193" s="2" t="s">
        <v>4322</v>
      </c>
      <c r="O193" s="2" t="s">
        <v>2758</v>
      </c>
      <c r="P193" s="2" t="s">
        <v>4323</v>
      </c>
      <c r="Q193" s="2"/>
      <c r="R193" s="2"/>
      <c r="S193" s="2" t="s">
        <v>2226</v>
      </c>
      <c r="T193" s="2"/>
      <c r="U193" s="3">
        <v>9781670000000</v>
      </c>
      <c r="V193" s="2"/>
      <c r="W193" s="2"/>
      <c r="X193" s="2" t="s">
        <v>1508</v>
      </c>
      <c r="Y193" s="2" t="s">
        <v>4324</v>
      </c>
      <c r="Z193" s="2" t="s">
        <v>1741</v>
      </c>
      <c r="AA193" s="2" t="s">
        <v>1511</v>
      </c>
      <c r="AB193" s="2"/>
      <c r="AC193" s="2" t="s">
        <v>1513</v>
      </c>
      <c r="AD193" s="2" t="s">
        <v>4325</v>
      </c>
    </row>
    <row r="194" spans="1:30" x14ac:dyDescent="0.45">
      <c r="A194" s="2" t="s">
        <v>4579</v>
      </c>
      <c r="B194" s="2" t="s">
        <v>4580</v>
      </c>
      <c r="C194" s="2" t="s">
        <v>4581</v>
      </c>
      <c r="D194" s="2" t="s">
        <v>4582</v>
      </c>
      <c r="E194" s="2">
        <v>2020</v>
      </c>
      <c r="F194" s="2" t="s">
        <v>4583</v>
      </c>
      <c r="G194" s="2">
        <v>53</v>
      </c>
      <c r="H194" s="2">
        <v>11</v>
      </c>
      <c r="I194" s="2"/>
      <c r="J194" s="2">
        <v>5005</v>
      </c>
      <c r="K194" s="2">
        <v>5027</v>
      </c>
      <c r="L194" s="2">
        <v>6</v>
      </c>
      <c r="M194" s="2" t="s">
        <v>4584</v>
      </c>
      <c r="N194" s="2" t="s">
        <v>4585</v>
      </c>
      <c r="O194" s="2" t="s">
        <v>4586</v>
      </c>
      <c r="P194" s="2" t="s">
        <v>4587</v>
      </c>
      <c r="Q194" s="2" t="s">
        <v>4588</v>
      </c>
      <c r="R194" s="2"/>
      <c r="S194" s="2" t="s">
        <v>4589</v>
      </c>
      <c r="T194" s="2">
        <v>7232632</v>
      </c>
      <c r="U194" s="2"/>
      <c r="V194" s="2" t="s">
        <v>4590</v>
      </c>
      <c r="W194" s="2"/>
      <c r="X194" s="2" t="s">
        <v>1508</v>
      </c>
      <c r="Y194" s="2" t="s">
        <v>4591</v>
      </c>
      <c r="Z194" s="2" t="s">
        <v>1510</v>
      </c>
      <c r="AA194" s="2" t="s">
        <v>1511</v>
      </c>
      <c r="AB194" s="2"/>
      <c r="AC194" s="2" t="s">
        <v>1513</v>
      </c>
      <c r="AD194" s="2" t="s">
        <v>4592</v>
      </c>
    </row>
    <row r="195" spans="1:30" x14ac:dyDescent="0.45">
      <c r="A195" s="2" t="s">
        <v>4732</v>
      </c>
      <c r="B195" s="2" t="s">
        <v>4733</v>
      </c>
      <c r="C195" s="2" t="s">
        <v>4734</v>
      </c>
      <c r="D195" s="2" t="s">
        <v>845</v>
      </c>
      <c r="E195" s="2">
        <v>2020</v>
      </c>
      <c r="F195" s="2" t="s">
        <v>4735</v>
      </c>
      <c r="G195" s="2">
        <v>311</v>
      </c>
      <c r="H195" s="2"/>
      <c r="I195" s="2">
        <v>112045</v>
      </c>
      <c r="J195" s="2"/>
      <c r="K195" s="2"/>
      <c r="L195" s="2">
        <v>6</v>
      </c>
      <c r="M195" s="2" t="s">
        <v>4736</v>
      </c>
      <c r="N195" s="2" t="s">
        <v>4737</v>
      </c>
      <c r="O195" s="2" t="s">
        <v>2607</v>
      </c>
      <c r="P195" s="2" t="s">
        <v>4738</v>
      </c>
      <c r="Q195" s="2" t="s">
        <v>4739</v>
      </c>
      <c r="R195" s="2"/>
      <c r="S195" s="2" t="s">
        <v>1506</v>
      </c>
      <c r="T195" s="2">
        <v>9244247</v>
      </c>
      <c r="U195" s="2"/>
      <c r="V195" s="2" t="s">
        <v>2390</v>
      </c>
      <c r="W195" s="2"/>
      <c r="X195" s="2" t="s">
        <v>1508</v>
      </c>
      <c r="Y195" s="2" t="s">
        <v>2391</v>
      </c>
      <c r="Z195" s="2" t="s">
        <v>1510</v>
      </c>
      <c r="AA195" s="2" t="s">
        <v>1511</v>
      </c>
      <c r="AB195" s="2"/>
      <c r="AC195" s="2" t="s">
        <v>1513</v>
      </c>
      <c r="AD195" s="2" t="s">
        <v>4740</v>
      </c>
    </row>
    <row r="196" spans="1:30" x14ac:dyDescent="0.45">
      <c r="A196" s="2" t="s">
        <v>4906</v>
      </c>
      <c r="B196" s="2" t="s">
        <v>4907</v>
      </c>
      <c r="C196" s="2" t="s">
        <v>4908</v>
      </c>
      <c r="D196" s="2" t="s">
        <v>4909</v>
      </c>
      <c r="E196" s="2">
        <v>2020</v>
      </c>
      <c r="F196" s="2" t="s">
        <v>4910</v>
      </c>
      <c r="G196" s="2">
        <v>142</v>
      </c>
      <c r="H196" s="2">
        <v>5</v>
      </c>
      <c r="I196" s="2">
        <v>52901</v>
      </c>
      <c r="J196" s="2"/>
      <c r="K196" s="2"/>
      <c r="L196" s="2">
        <v>6</v>
      </c>
      <c r="M196" s="2" t="s">
        <v>4911</v>
      </c>
      <c r="N196" s="2" t="s">
        <v>4912</v>
      </c>
      <c r="O196" s="2" t="s">
        <v>4913</v>
      </c>
      <c r="P196" s="2" t="s">
        <v>4914</v>
      </c>
      <c r="Q196" s="2" t="s">
        <v>4915</v>
      </c>
      <c r="R196" s="2"/>
      <c r="S196" s="2" t="s">
        <v>2263</v>
      </c>
      <c r="T196" s="2">
        <v>221481</v>
      </c>
      <c r="U196" s="2"/>
      <c r="V196" s="2" t="s">
        <v>4916</v>
      </c>
      <c r="W196" s="2"/>
      <c r="X196" s="2" t="s">
        <v>1508</v>
      </c>
      <c r="Y196" s="2" t="s">
        <v>4917</v>
      </c>
      <c r="Z196" s="2" t="s">
        <v>1510</v>
      </c>
      <c r="AA196" s="2" t="s">
        <v>1511</v>
      </c>
      <c r="AB196" s="2"/>
      <c r="AC196" s="2" t="s">
        <v>1513</v>
      </c>
      <c r="AD196" s="2" t="s">
        <v>4918</v>
      </c>
    </row>
    <row r="197" spans="1:30" x14ac:dyDescent="0.45">
      <c r="A197" s="2" t="s">
        <v>4929</v>
      </c>
      <c r="B197" s="2" t="s">
        <v>4930</v>
      </c>
      <c r="C197" s="2" t="s">
        <v>4931</v>
      </c>
      <c r="D197" s="2" t="s">
        <v>399</v>
      </c>
      <c r="E197" s="2">
        <v>2020</v>
      </c>
      <c r="F197" s="2" t="s">
        <v>1867</v>
      </c>
      <c r="G197" s="2">
        <v>12</v>
      </c>
      <c r="H197" s="2">
        <v>15</v>
      </c>
      <c r="I197" s="2"/>
      <c r="J197" s="2">
        <v>17949</v>
      </c>
      <c r="K197" s="2">
        <v>17956</v>
      </c>
      <c r="L197" s="2">
        <v>6</v>
      </c>
      <c r="M197" s="2" t="s">
        <v>4932</v>
      </c>
      <c r="N197" s="2" t="s">
        <v>4933</v>
      </c>
      <c r="O197" s="2" t="s">
        <v>1735</v>
      </c>
      <c r="P197" s="2" t="s">
        <v>4934</v>
      </c>
      <c r="Q197" s="2" t="s">
        <v>2673</v>
      </c>
      <c r="R197" s="2"/>
      <c r="S197" s="2" t="s">
        <v>4825</v>
      </c>
      <c r="T197" s="2">
        <v>19448244</v>
      </c>
      <c r="U197" s="2"/>
      <c r="V197" s="2"/>
      <c r="W197" s="2">
        <v>32207971</v>
      </c>
      <c r="X197" s="2" t="s">
        <v>1508</v>
      </c>
      <c r="Y197" s="2" t="s">
        <v>1873</v>
      </c>
      <c r="Z197" s="2" t="s">
        <v>1510</v>
      </c>
      <c r="AA197" s="2" t="s">
        <v>1511</v>
      </c>
      <c r="AB197" s="2"/>
      <c r="AC197" s="2" t="s">
        <v>1513</v>
      </c>
      <c r="AD197" s="2" t="s">
        <v>4935</v>
      </c>
    </row>
    <row r="198" spans="1:30" x14ac:dyDescent="0.45">
      <c r="A198" s="2" t="s">
        <v>1605</v>
      </c>
      <c r="B198" s="2" t="s">
        <v>1606</v>
      </c>
      <c r="C198" s="2" t="s">
        <v>1607</v>
      </c>
      <c r="D198" s="2" t="s">
        <v>1608</v>
      </c>
      <c r="E198" s="2">
        <v>2024</v>
      </c>
      <c r="F198" s="2" t="s">
        <v>1609</v>
      </c>
      <c r="G198" s="2">
        <v>21</v>
      </c>
      <c r="H198" s="2">
        <v>1</v>
      </c>
      <c r="I198" s="2">
        <v>63</v>
      </c>
      <c r="J198" s="2"/>
      <c r="K198" s="2"/>
      <c r="L198" s="2">
        <v>5</v>
      </c>
      <c r="M198" s="2" t="s">
        <v>1610</v>
      </c>
      <c r="N198" s="2" t="s">
        <v>1611</v>
      </c>
      <c r="O198" s="2" t="s">
        <v>1612</v>
      </c>
      <c r="P198" s="2" t="s">
        <v>1613</v>
      </c>
      <c r="Q198" s="2" t="s">
        <v>1614</v>
      </c>
      <c r="R198" s="2"/>
      <c r="S198" s="2" t="s">
        <v>1615</v>
      </c>
      <c r="T198" s="2">
        <v>14777517</v>
      </c>
      <c r="U198" s="2"/>
      <c r="V198" s="2"/>
      <c r="W198" s="2">
        <v>38491435</v>
      </c>
      <c r="X198" s="2" t="s">
        <v>1508</v>
      </c>
      <c r="Y198" s="2" t="s">
        <v>1616</v>
      </c>
      <c r="Z198" s="2" t="s">
        <v>1510</v>
      </c>
      <c r="AA198" s="2" t="s">
        <v>1511</v>
      </c>
      <c r="AB198" s="2" t="s">
        <v>1591</v>
      </c>
      <c r="AC198" s="2" t="s">
        <v>1513</v>
      </c>
      <c r="AD198" s="2" t="s">
        <v>1617</v>
      </c>
    </row>
    <row r="199" spans="1:30" x14ac:dyDescent="0.45">
      <c r="A199" s="2" t="s">
        <v>1823</v>
      </c>
      <c r="B199" s="2" t="s">
        <v>1824</v>
      </c>
      <c r="C199" s="2" t="s">
        <v>1825</v>
      </c>
      <c r="D199" s="2" t="s">
        <v>970</v>
      </c>
      <c r="E199" s="2">
        <v>2024</v>
      </c>
      <c r="F199" s="2" t="s">
        <v>1826</v>
      </c>
      <c r="G199" s="2">
        <v>40</v>
      </c>
      <c r="H199" s="2"/>
      <c r="I199" s="2">
        <v>109928</v>
      </c>
      <c r="J199" s="2"/>
      <c r="K199" s="2"/>
      <c r="L199" s="2">
        <v>5</v>
      </c>
      <c r="M199" s="2" t="s">
        <v>1827</v>
      </c>
      <c r="N199" s="2" t="s">
        <v>1828</v>
      </c>
      <c r="O199" s="2" t="s">
        <v>1829</v>
      </c>
      <c r="P199" s="2" t="s">
        <v>1830</v>
      </c>
      <c r="Q199" s="2" t="s">
        <v>1831</v>
      </c>
      <c r="R199" s="2"/>
      <c r="S199" s="2" t="s">
        <v>1524</v>
      </c>
      <c r="T199" s="2"/>
      <c r="U199" s="2"/>
      <c r="V199" s="2"/>
      <c r="W199" s="2"/>
      <c r="X199" s="2" t="s">
        <v>1508</v>
      </c>
      <c r="Y199" s="2" t="s">
        <v>1832</v>
      </c>
      <c r="Z199" s="2" t="s">
        <v>1510</v>
      </c>
      <c r="AA199" s="2" t="s">
        <v>1511</v>
      </c>
      <c r="AB199" s="2" t="s">
        <v>1539</v>
      </c>
      <c r="AC199" s="2" t="s">
        <v>1513</v>
      </c>
      <c r="AD199" s="2" t="s">
        <v>1833</v>
      </c>
    </row>
    <row r="200" spans="1:30" x14ac:dyDescent="0.45">
      <c r="A200" s="2" t="s">
        <v>2170</v>
      </c>
      <c r="B200" s="2" t="s">
        <v>2171</v>
      </c>
      <c r="C200" s="2" t="s">
        <v>2172</v>
      </c>
      <c r="D200" s="2" t="s">
        <v>962</v>
      </c>
      <c r="E200" s="2">
        <v>2024</v>
      </c>
      <c r="F200" s="2" t="s">
        <v>2173</v>
      </c>
      <c r="G200" s="2">
        <v>7</v>
      </c>
      <c r="H200" s="2">
        <v>2</v>
      </c>
      <c r="I200" s="2" t="s">
        <v>2174</v>
      </c>
      <c r="J200" s="2"/>
      <c r="K200" s="2"/>
      <c r="L200" s="2">
        <v>5</v>
      </c>
      <c r="M200" s="2" t="s">
        <v>2175</v>
      </c>
      <c r="N200" s="2" t="s">
        <v>2176</v>
      </c>
      <c r="O200" s="2" t="s">
        <v>2177</v>
      </c>
      <c r="P200" s="2" t="s">
        <v>2178</v>
      </c>
      <c r="Q200" s="2" t="s">
        <v>2179</v>
      </c>
      <c r="R200" s="2"/>
      <c r="S200" s="2" t="s">
        <v>1715</v>
      </c>
      <c r="T200" s="2"/>
      <c r="U200" s="2"/>
      <c r="V200" s="2"/>
      <c r="W200" s="2"/>
      <c r="X200" s="2" t="s">
        <v>1508</v>
      </c>
      <c r="Y200" s="2" t="s">
        <v>2173</v>
      </c>
      <c r="Z200" s="2" t="s">
        <v>1510</v>
      </c>
      <c r="AA200" s="2" t="s">
        <v>1511</v>
      </c>
      <c r="AB200" s="2" t="s">
        <v>1512</v>
      </c>
      <c r="AC200" s="2" t="s">
        <v>1513</v>
      </c>
      <c r="AD200" s="2" t="s">
        <v>2180</v>
      </c>
    </row>
    <row r="201" spans="1:30" x14ac:dyDescent="0.45">
      <c r="A201" s="2" t="s">
        <v>2417</v>
      </c>
      <c r="B201" s="2" t="s">
        <v>2418</v>
      </c>
      <c r="C201" s="2" t="s">
        <v>2419</v>
      </c>
      <c r="D201" s="2" t="s">
        <v>2420</v>
      </c>
      <c r="E201" s="2">
        <v>2023</v>
      </c>
      <c r="F201" s="2" t="s">
        <v>2421</v>
      </c>
      <c r="G201" s="2">
        <v>13</v>
      </c>
      <c r="H201" s="2">
        <v>1</v>
      </c>
      <c r="I201" s="2">
        <v>12745</v>
      </c>
      <c r="J201" s="2"/>
      <c r="K201" s="2"/>
      <c r="L201" s="2">
        <v>5</v>
      </c>
      <c r="M201" s="2" t="s">
        <v>2422</v>
      </c>
      <c r="N201" s="2" t="s">
        <v>2423</v>
      </c>
      <c r="O201" s="2" t="s">
        <v>2424</v>
      </c>
      <c r="P201" s="2" t="s">
        <v>2425</v>
      </c>
      <c r="Q201" s="2" t="s">
        <v>2426</v>
      </c>
      <c r="R201" s="2"/>
      <c r="S201" s="2" t="s">
        <v>1589</v>
      </c>
      <c r="T201" s="2"/>
      <c r="U201" s="2"/>
      <c r="V201" s="2"/>
      <c r="W201" s="2">
        <v>37550311</v>
      </c>
      <c r="X201" s="2" t="s">
        <v>1508</v>
      </c>
      <c r="Y201" s="2" t="s">
        <v>2427</v>
      </c>
      <c r="Z201" s="2" t="s">
        <v>1510</v>
      </c>
      <c r="AA201" s="2" t="s">
        <v>1511</v>
      </c>
      <c r="AB201" s="2" t="s">
        <v>1591</v>
      </c>
      <c r="AC201" s="2" t="s">
        <v>1513</v>
      </c>
      <c r="AD201" s="2" t="s">
        <v>2428</v>
      </c>
    </row>
    <row r="202" spans="1:30" x14ac:dyDescent="0.45">
      <c r="A202" s="2" t="s">
        <v>2588</v>
      </c>
      <c r="B202" s="2" t="s">
        <v>2589</v>
      </c>
      <c r="C202" s="2" t="s">
        <v>2590</v>
      </c>
      <c r="D202" s="2" t="s">
        <v>1169</v>
      </c>
      <c r="E202" s="2">
        <v>2023</v>
      </c>
      <c r="F202" s="2" t="s">
        <v>2591</v>
      </c>
      <c r="G202" s="2">
        <v>262</v>
      </c>
      <c r="H202" s="2"/>
      <c r="I202" s="2">
        <v>106640</v>
      </c>
      <c r="J202" s="2"/>
      <c r="K202" s="2"/>
      <c r="L202" s="2">
        <v>5</v>
      </c>
      <c r="M202" s="2" t="s">
        <v>2592</v>
      </c>
      <c r="N202" s="2" t="s">
        <v>2593</v>
      </c>
      <c r="O202" s="2" t="s">
        <v>2594</v>
      </c>
      <c r="P202" s="2" t="s">
        <v>2595</v>
      </c>
      <c r="Q202" s="2" t="s">
        <v>2596</v>
      </c>
      <c r="R202" s="2"/>
      <c r="S202" s="2" t="s">
        <v>1506</v>
      </c>
      <c r="T202" s="2" t="s">
        <v>2597</v>
      </c>
      <c r="U202" s="2"/>
      <c r="V202" s="2" t="s">
        <v>2598</v>
      </c>
      <c r="W202" s="2">
        <v>37595501</v>
      </c>
      <c r="X202" s="2" t="s">
        <v>1508</v>
      </c>
      <c r="Y202" s="2" t="s">
        <v>2599</v>
      </c>
      <c r="Z202" s="2" t="s">
        <v>1510</v>
      </c>
      <c r="AA202" s="2" t="s">
        <v>1511</v>
      </c>
      <c r="AB202" s="2"/>
      <c r="AC202" s="2" t="s">
        <v>1513</v>
      </c>
      <c r="AD202" s="2" t="s">
        <v>2600</v>
      </c>
    </row>
    <row r="203" spans="1:30" x14ac:dyDescent="0.45">
      <c r="A203" s="2" t="s">
        <v>2619</v>
      </c>
      <c r="B203" s="2" t="s">
        <v>2620</v>
      </c>
      <c r="C203" s="2" t="s">
        <v>2621</v>
      </c>
      <c r="D203" s="2" t="s">
        <v>2622</v>
      </c>
      <c r="E203" s="2">
        <v>2023</v>
      </c>
      <c r="F203" s="2" t="s">
        <v>2623</v>
      </c>
      <c r="G203" s="2">
        <v>541</v>
      </c>
      <c r="H203" s="2"/>
      <c r="I203" s="2"/>
      <c r="J203" s="2">
        <v>228</v>
      </c>
      <c r="K203" s="2">
        <v>231</v>
      </c>
      <c r="L203" s="2">
        <v>5</v>
      </c>
      <c r="M203" s="2" t="s">
        <v>2624</v>
      </c>
      <c r="N203" s="2" t="s">
        <v>2625</v>
      </c>
      <c r="O203" s="2" t="s">
        <v>2626</v>
      </c>
      <c r="P203" s="2" t="s">
        <v>2627</v>
      </c>
      <c r="Q203" s="2" t="s">
        <v>2628</v>
      </c>
      <c r="R203" s="2"/>
      <c r="S203" s="2" t="s">
        <v>1506</v>
      </c>
      <c r="T203" s="2" t="s">
        <v>2629</v>
      </c>
      <c r="U203" s="2"/>
      <c r="V203" s="2" t="s">
        <v>2630</v>
      </c>
      <c r="W203" s="2"/>
      <c r="X203" s="2" t="s">
        <v>1508</v>
      </c>
      <c r="Y203" s="2" t="s">
        <v>2631</v>
      </c>
      <c r="Z203" s="2" t="s">
        <v>1510</v>
      </c>
      <c r="AA203" s="2" t="s">
        <v>1511</v>
      </c>
      <c r="AB203" s="2"/>
      <c r="AC203" s="2" t="s">
        <v>1513</v>
      </c>
      <c r="AD203" s="2" t="s">
        <v>2632</v>
      </c>
    </row>
    <row r="204" spans="1:30" x14ac:dyDescent="0.45">
      <c r="A204" s="2" t="s">
        <v>3062</v>
      </c>
      <c r="B204" s="2" t="s">
        <v>3063</v>
      </c>
      <c r="C204" s="2" t="s">
        <v>3064</v>
      </c>
      <c r="D204" s="2" t="s">
        <v>308</v>
      </c>
      <c r="E204" s="2">
        <v>2023</v>
      </c>
      <c r="F204" s="2" t="s">
        <v>3065</v>
      </c>
      <c r="G204" s="2">
        <v>145</v>
      </c>
      <c r="H204" s="2">
        <v>1</v>
      </c>
      <c r="I204" s="2">
        <v>12001</v>
      </c>
      <c r="J204" s="2"/>
      <c r="K204" s="2"/>
      <c r="L204" s="2">
        <v>5</v>
      </c>
      <c r="M204" s="2" t="s">
        <v>3066</v>
      </c>
      <c r="N204" s="2" t="s">
        <v>3067</v>
      </c>
      <c r="O204" s="2" t="s">
        <v>1561</v>
      </c>
      <c r="P204" s="2" t="s">
        <v>3068</v>
      </c>
      <c r="Q204" s="2" t="s">
        <v>3069</v>
      </c>
      <c r="R204" s="2"/>
      <c r="S204" s="2" t="s">
        <v>2263</v>
      </c>
      <c r="T204" s="2">
        <v>10500472</v>
      </c>
      <c r="U204" s="2"/>
      <c r="V204" s="2" t="s">
        <v>3070</v>
      </c>
      <c r="W204" s="2"/>
      <c r="X204" s="2" t="s">
        <v>1508</v>
      </c>
      <c r="Y204" s="2" t="s">
        <v>3071</v>
      </c>
      <c r="Z204" s="2" t="s">
        <v>1510</v>
      </c>
      <c r="AA204" s="2" t="s">
        <v>1511</v>
      </c>
      <c r="AB204" s="2" t="s">
        <v>2216</v>
      </c>
      <c r="AC204" s="2" t="s">
        <v>1513</v>
      </c>
      <c r="AD204" s="2" t="s">
        <v>3072</v>
      </c>
    </row>
    <row r="205" spans="1:30" x14ac:dyDescent="0.45">
      <c r="A205" s="2" t="s">
        <v>3185</v>
      </c>
      <c r="B205" s="2" t="s">
        <v>3186</v>
      </c>
      <c r="C205" s="2" t="s">
        <v>3187</v>
      </c>
      <c r="D205" s="2" t="s">
        <v>3188</v>
      </c>
      <c r="E205" s="2">
        <v>2022</v>
      </c>
      <c r="F205" s="2" t="s">
        <v>3189</v>
      </c>
      <c r="G205" s="2">
        <v>5</v>
      </c>
      <c r="H205" s="2">
        <v>11</v>
      </c>
      <c r="I205" s="2"/>
      <c r="J205" s="2">
        <v>13222</v>
      </c>
      <c r="K205" s="2">
        <v>13233</v>
      </c>
      <c r="L205" s="2">
        <v>5</v>
      </c>
      <c r="M205" s="2" t="s">
        <v>3190</v>
      </c>
      <c r="N205" s="2" t="s">
        <v>3191</v>
      </c>
      <c r="O205" s="2" t="s">
        <v>3192</v>
      </c>
      <c r="P205" s="2" t="s">
        <v>3193</v>
      </c>
      <c r="Q205" s="2" t="s">
        <v>1921</v>
      </c>
      <c r="R205" s="2"/>
      <c r="S205" s="2" t="s">
        <v>1783</v>
      </c>
      <c r="T205" s="2"/>
      <c r="U205" s="2"/>
      <c r="V205" s="2"/>
      <c r="W205" s="2"/>
      <c r="X205" s="2" t="s">
        <v>1508</v>
      </c>
      <c r="Y205" s="2" t="s">
        <v>3194</v>
      </c>
      <c r="Z205" s="2" t="s">
        <v>1510</v>
      </c>
      <c r="AA205" s="2" t="s">
        <v>1511</v>
      </c>
      <c r="AB205" s="2"/>
      <c r="AC205" s="2" t="s">
        <v>1513</v>
      </c>
      <c r="AD205" s="2" t="s">
        <v>3195</v>
      </c>
    </row>
    <row r="206" spans="1:30" x14ac:dyDescent="0.45">
      <c r="A206" s="2" t="s">
        <v>3255</v>
      </c>
      <c r="B206" s="2" t="s">
        <v>3256</v>
      </c>
      <c r="C206" s="2" t="s">
        <v>3257</v>
      </c>
      <c r="D206" s="2" t="s">
        <v>3258</v>
      </c>
      <c r="E206" s="2">
        <v>2022</v>
      </c>
      <c r="F206" s="2" t="s">
        <v>1646</v>
      </c>
      <c r="G206" s="2">
        <v>121</v>
      </c>
      <c r="H206" s="2">
        <v>13</v>
      </c>
      <c r="I206" s="2">
        <v>132903</v>
      </c>
      <c r="J206" s="2"/>
      <c r="K206" s="2"/>
      <c r="L206" s="2">
        <v>5</v>
      </c>
      <c r="M206" s="2" t="s">
        <v>3259</v>
      </c>
      <c r="N206" s="2" t="s">
        <v>3260</v>
      </c>
      <c r="O206" s="2" t="s">
        <v>3261</v>
      </c>
      <c r="P206" s="2" t="s">
        <v>3262</v>
      </c>
      <c r="Q206" s="2" t="s">
        <v>3263</v>
      </c>
      <c r="R206" s="2"/>
      <c r="S206" s="2" t="s">
        <v>2489</v>
      </c>
      <c r="T206" s="2">
        <v>36951</v>
      </c>
      <c r="U206" s="2"/>
      <c r="V206" s="2" t="s">
        <v>1653</v>
      </c>
      <c r="W206" s="2"/>
      <c r="X206" s="2" t="s">
        <v>1508</v>
      </c>
      <c r="Y206" s="2" t="s">
        <v>1654</v>
      </c>
      <c r="Z206" s="2" t="s">
        <v>1510</v>
      </c>
      <c r="AA206" s="2" t="s">
        <v>1511</v>
      </c>
      <c r="AB206" s="2"/>
      <c r="AC206" s="2" t="s">
        <v>1513</v>
      </c>
      <c r="AD206" s="2" t="s">
        <v>3264</v>
      </c>
    </row>
    <row r="207" spans="1:30" x14ac:dyDescent="0.45">
      <c r="A207" s="2" t="s">
        <v>3368</v>
      </c>
      <c r="B207" s="2" t="s">
        <v>3369</v>
      </c>
      <c r="C207" s="2" t="s">
        <v>3370</v>
      </c>
      <c r="D207" s="2" t="s">
        <v>985</v>
      </c>
      <c r="E207" s="2">
        <v>2022</v>
      </c>
      <c r="F207" s="2" t="s">
        <v>3371</v>
      </c>
      <c r="G207" s="2">
        <v>287</v>
      </c>
      <c r="H207" s="2"/>
      <c r="I207" s="2">
        <v>126272</v>
      </c>
      <c r="J207" s="2"/>
      <c r="K207" s="2"/>
      <c r="L207" s="2">
        <v>5</v>
      </c>
      <c r="M207" s="2" t="s">
        <v>3372</v>
      </c>
      <c r="N207" s="2" t="s">
        <v>3373</v>
      </c>
      <c r="O207" s="2" t="s">
        <v>3374</v>
      </c>
      <c r="P207" s="2" t="s">
        <v>3375</v>
      </c>
      <c r="Q207" s="2" t="s">
        <v>3376</v>
      </c>
      <c r="R207" s="2"/>
      <c r="S207" s="2" t="s">
        <v>1524</v>
      </c>
      <c r="T207" s="2">
        <v>2540584</v>
      </c>
      <c r="U207" s="2"/>
      <c r="V207" s="2" t="s">
        <v>3377</v>
      </c>
      <c r="W207" s="2"/>
      <c r="X207" s="2" t="s">
        <v>1508</v>
      </c>
      <c r="Y207" s="2" t="s">
        <v>3378</v>
      </c>
      <c r="Z207" s="2" t="s">
        <v>1510</v>
      </c>
      <c r="AA207" s="2" t="s">
        <v>1511</v>
      </c>
      <c r="AB207" s="2"/>
      <c r="AC207" s="2" t="s">
        <v>1513</v>
      </c>
      <c r="AD207" s="2" t="s">
        <v>3379</v>
      </c>
    </row>
    <row r="208" spans="1:30" x14ac:dyDescent="0.45">
      <c r="A208" s="2" t="s">
        <v>3557</v>
      </c>
      <c r="B208" s="2" t="s">
        <v>3558</v>
      </c>
      <c r="C208" s="2" t="s">
        <v>3559</v>
      </c>
      <c r="D208" s="2" t="s">
        <v>3560</v>
      </c>
      <c r="E208" s="2">
        <v>2022</v>
      </c>
      <c r="F208" s="2" t="s">
        <v>3561</v>
      </c>
      <c r="G208" s="2">
        <v>3</v>
      </c>
      <c r="H208" s="2">
        <v>5</v>
      </c>
      <c r="I208" s="2"/>
      <c r="J208" s="2">
        <v>2515</v>
      </c>
      <c r="K208" s="2">
        <v>2523</v>
      </c>
      <c r="L208" s="2">
        <v>5</v>
      </c>
      <c r="M208" s="2" t="s">
        <v>3562</v>
      </c>
      <c r="N208" s="2" t="s">
        <v>3563</v>
      </c>
      <c r="O208" s="2" t="s">
        <v>1870</v>
      </c>
      <c r="P208" s="2" t="s">
        <v>3564</v>
      </c>
      <c r="Q208" s="2" t="s">
        <v>3565</v>
      </c>
      <c r="R208" s="2"/>
      <c r="S208" s="2" t="s">
        <v>1884</v>
      </c>
      <c r="T208" s="2"/>
      <c r="U208" s="2"/>
      <c r="V208" s="2"/>
      <c r="W208" s="2"/>
      <c r="X208" s="2" t="s">
        <v>1508</v>
      </c>
      <c r="Y208" s="2" t="s">
        <v>3566</v>
      </c>
      <c r="Z208" s="2" t="s">
        <v>1510</v>
      </c>
      <c r="AA208" s="2" t="s">
        <v>1511</v>
      </c>
      <c r="AB208" s="2" t="s">
        <v>1603</v>
      </c>
      <c r="AC208" s="2" t="s">
        <v>1513</v>
      </c>
      <c r="AD208" s="2" t="s">
        <v>3567</v>
      </c>
    </row>
    <row r="209" spans="1:30" x14ac:dyDescent="0.45">
      <c r="A209" s="2" t="s">
        <v>3945</v>
      </c>
      <c r="B209" s="2" t="s">
        <v>3946</v>
      </c>
      <c r="C209" s="2" t="s">
        <v>3947</v>
      </c>
      <c r="D209" s="2" t="s">
        <v>3948</v>
      </c>
      <c r="E209" s="2">
        <v>2021</v>
      </c>
      <c r="F209" s="2" t="s">
        <v>1545</v>
      </c>
      <c r="G209" s="2">
        <v>6</v>
      </c>
      <c r="H209" s="2">
        <v>3</v>
      </c>
      <c r="I209" s="2">
        <v>35010</v>
      </c>
      <c r="J209" s="2"/>
      <c r="K209" s="2"/>
      <c r="L209" s="2">
        <v>5</v>
      </c>
      <c r="M209" s="2" t="s">
        <v>3949</v>
      </c>
      <c r="N209" s="2" t="s">
        <v>3950</v>
      </c>
      <c r="O209" s="2" t="s">
        <v>1561</v>
      </c>
      <c r="P209" s="2" t="s">
        <v>3951</v>
      </c>
      <c r="Q209" s="2" t="s">
        <v>1550</v>
      </c>
      <c r="R209" s="2"/>
      <c r="S209" s="2" t="s">
        <v>3807</v>
      </c>
      <c r="T209" s="2"/>
      <c r="U209" s="2"/>
      <c r="V209" s="2"/>
      <c r="W209" s="2"/>
      <c r="X209" s="2" t="s">
        <v>1508</v>
      </c>
      <c r="Y209" s="2" t="s">
        <v>1552</v>
      </c>
      <c r="Z209" s="2" t="s">
        <v>1510</v>
      </c>
      <c r="AA209" s="2" t="s">
        <v>1511</v>
      </c>
      <c r="AB209" s="2"/>
      <c r="AC209" s="2" t="s">
        <v>1513</v>
      </c>
      <c r="AD209" s="2" t="s">
        <v>3952</v>
      </c>
    </row>
    <row r="210" spans="1:30" x14ac:dyDescent="0.45">
      <c r="A210" s="2" t="s">
        <v>4077</v>
      </c>
      <c r="B210" s="2" t="s">
        <v>4078</v>
      </c>
      <c r="C210" s="2" t="s">
        <v>4079</v>
      </c>
      <c r="D210" s="2" t="s">
        <v>4080</v>
      </c>
      <c r="E210" s="2">
        <v>2021</v>
      </c>
      <c r="F210" s="2" t="s">
        <v>4081</v>
      </c>
      <c r="G210" s="2">
        <v>143</v>
      </c>
      <c r="H210" s="2">
        <v>7</v>
      </c>
      <c r="I210" s="2">
        <v>4050363</v>
      </c>
      <c r="J210" s="2"/>
      <c r="K210" s="2"/>
      <c r="L210" s="2">
        <v>5</v>
      </c>
      <c r="M210" s="2" t="s">
        <v>4082</v>
      </c>
      <c r="N210" s="2" t="s">
        <v>4083</v>
      </c>
      <c r="O210" s="2" t="s">
        <v>4084</v>
      </c>
      <c r="P210" s="2" t="s">
        <v>4085</v>
      </c>
      <c r="Q210" s="2" t="s">
        <v>4086</v>
      </c>
      <c r="R210" s="2"/>
      <c r="S210" s="2" t="s">
        <v>2263</v>
      </c>
      <c r="T210" s="2" t="s">
        <v>4087</v>
      </c>
      <c r="U210" s="2"/>
      <c r="V210" s="2"/>
      <c r="W210" s="2"/>
      <c r="X210" s="2" t="s">
        <v>1508</v>
      </c>
      <c r="Y210" s="2" t="s">
        <v>4088</v>
      </c>
      <c r="Z210" s="2" t="s">
        <v>1510</v>
      </c>
      <c r="AA210" s="2" t="s">
        <v>1511</v>
      </c>
      <c r="AB210" s="2"/>
      <c r="AC210" s="2" t="s">
        <v>1513</v>
      </c>
      <c r="AD210" s="2" t="s">
        <v>4089</v>
      </c>
    </row>
    <row r="211" spans="1:30" x14ac:dyDescent="0.45">
      <c r="A211" s="2" t="s">
        <v>4055</v>
      </c>
      <c r="B211" s="2" t="s">
        <v>4056</v>
      </c>
      <c r="C211" s="2" t="s">
        <v>4057</v>
      </c>
      <c r="D211" s="2" t="s">
        <v>4227</v>
      </c>
      <c r="E211" s="2">
        <v>2021</v>
      </c>
      <c r="F211" s="2" t="s">
        <v>4228</v>
      </c>
      <c r="G211" s="2">
        <v>5</v>
      </c>
      <c r="H211" s="2">
        <v>3</v>
      </c>
      <c r="I211" s="2"/>
      <c r="J211" s="2">
        <v>1428</v>
      </c>
      <c r="K211" s="2">
        <v>1437</v>
      </c>
      <c r="L211" s="2">
        <v>5</v>
      </c>
      <c r="M211" s="2" t="s">
        <v>4229</v>
      </c>
      <c r="N211" s="2" t="s">
        <v>4230</v>
      </c>
      <c r="O211" s="2" t="s">
        <v>4231</v>
      </c>
      <c r="P211" s="2" t="s">
        <v>4232</v>
      </c>
      <c r="Q211" s="2" t="s">
        <v>3565</v>
      </c>
      <c r="R211" s="2"/>
      <c r="S211" s="2" t="s">
        <v>1884</v>
      </c>
      <c r="T211" s="2"/>
      <c r="U211" s="2"/>
      <c r="V211" s="2"/>
      <c r="W211" s="2"/>
      <c r="X211" s="2" t="s">
        <v>1508</v>
      </c>
      <c r="Y211" s="2" t="s">
        <v>4233</v>
      </c>
      <c r="Z211" s="2" t="s">
        <v>1510</v>
      </c>
      <c r="AA211" s="2" t="s">
        <v>1511</v>
      </c>
      <c r="AB211" s="2"/>
      <c r="AC211" s="2" t="s">
        <v>1513</v>
      </c>
      <c r="AD211" s="2" t="s">
        <v>4234</v>
      </c>
    </row>
    <row r="212" spans="1:30" x14ac:dyDescent="0.45">
      <c r="A212" s="2" t="s">
        <v>4337</v>
      </c>
      <c r="B212" s="2" t="s">
        <v>4338</v>
      </c>
      <c r="C212" s="2" t="s">
        <v>4339</v>
      </c>
      <c r="D212" s="2" t="s">
        <v>4340</v>
      </c>
      <c r="E212" s="2">
        <v>2021</v>
      </c>
      <c r="F212" s="2" t="s">
        <v>4341</v>
      </c>
      <c r="G212" s="2" t="s">
        <v>4342</v>
      </c>
      <c r="H212" s="2"/>
      <c r="I212" s="2"/>
      <c r="J212" s="2">
        <v>1119</v>
      </c>
      <c r="K212" s="2">
        <v>1126</v>
      </c>
      <c r="L212" s="2">
        <v>5</v>
      </c>
      <c r="M212" s="2"/>
      <c r="N212" s="2" t="s">
        <v>4343</v>
      </c>
      <c r="O212" s="2" t="s">
        <v>4344</v>
      </c>
      <c r="P212" s="2" t="s">
        <v>4345</v>
      </c>
      <c r="Q212" s="2" t="s">
        <v>4346</v>
      </c>
      <c r="R212" s="2"/>
      <c r="S212" s="2" t="s">
        <v>4347</v>
      </c>
      <c r="T212" s="2"/>
      <c r="U212" s="2" t="s">
        <v>4348</v>
      </c>
      <c r="V212" s="2"/>
      <c r="W212" s="2"/>
      <c r="X212" s="2" t="s">
        <v>1508</v>
      </c>
      <c r="Y212" s="2" t="s">
        <v>4349</v>
      </c>
      <c r="Z212" s="2" t="s">
        <v>1741</v>
      </c>
      <c r="AA212" s="2" t="s">
        <v>1511</v>
      </c>
      <c r="AB212" s="2"/>
      <c r="AC212" s="2" t="s">
        <v>1513</v>
      </c>
      <c r="AD212" s="2" t="s">
        <v>4350</v>
      </c>
    </row>
    <row r="213" spans="1:30" x14ac:dyDescent="0.45">
      <c r="A213" s="2" t="s">
        <v>4464</v>
      </c>
      <c r="B213" s="2" t="s">
        <v>4465</v>
      </c>
      <c r="C213" s="2" t="s">
        <v>4466</v>
      </c>
      <c r="D213" s="2" t="s">
        <v>4467</v>
      </c>
      <c r="E213" s="2">
        <v>2020</v>
      </c>
      <c r="F213" s="2" t="s">
        <v>4468</v>
      </c>
      <c r="G213" s="2">
        <v>10</v>
      </c>
      <c r="H213" s="2">
        <v>12</v>
      </c>
      <c r="I213" s="2">
        <v>1109</v>
      </c>
      <c r="J213" s="2">
        <v>1</v>
      </c>
      <c r="K213" s="2">
        <v>15</v>
      </c>
      <c r="L213" s="2">
        <v>5</v>
      </c>
      <c r="M213" s="2" t="s">
        <v>4469</v>
      </c>
      <c r="N213" s="2" t="s">
        <v>4470</v>
      </c>
      <c r="O213" s="2" t="s">
        <v>4471</v>
      </c>
      <c r="P213" s="2" t="s">
        <v>4472</v>
      </c>
      <c r="Q213" s="2" t="s">
        <v>4473</v>
      </c>
      <c r="R213" s="2"/>
      <c r="S213" s="2" t="s">
        <v>4373</v>
      </c>
      <c r="T213" s="2"/>
      <c r="U213" s="2"/>
      <c r="V213" s="2"/>
      <c r="W213" s="2"/>
      <c r="X213" s="2" t="s">
        <v>1508</v>
      </c>
      <c r="Y213" s="2" t="s">
        <v>4468</v>
      </c>
      <c r="Z213" s="2" t="s">
        <v>1510</v>
      </c>
      <c r="AA213" s="2" t="s">
        <v>1511</v>
      </c>
      <c r="AB213" s="2" t="s">
        <v>1591</v>
      </c>
      <c r="AC213" s="2" t="s">
        <v>1513</v>
      </c>
      <c r="AD213" s="2" t="s">
        <v>4474</v>
      </c>
    </row>
    <row r="214" spans="1:30" x14ac:dyDescent="0.45">
      <c r="A214" s="2" t="s">
        <v>4806</v>
      </c>
      <c r="B214" s="2" t="s">
        <v>4807</v>
      </c>
      <c r="C214" s="2" t="s">
        <v>4808</v>
      </c>
      <c r="D214" s="2" t="s">
        <v>764</v>
      </c>
      <c r="E214" s="2">
        <v>2020</v>
      </c>
      <c r="F214" s="2" t="s">
        <v>4809</v>
      </c>
      <c r="G214" s="2">
        <v>131</v>
      </c>
      <c r="H214" s="2">
        <v>1</v>
      </c>
      <c r="I214" s="2"/>
      <c r="J214" s="2">
        <v>113</v>
      </c>
      <c r="K214" s="2">
        <v>129</v>
      </c>
      <c r="L214" s="2">
        <v>5</v>
      </c>
      <c r="M214" s="2" t="s">
        <v>4810</v>
      </c>
      <c r="N214" s="2" t="s">
        <v>4811</v>
      </c>
      <c r="O214" s="2" t="s">
        <v>4812</v>
      </c>
      <c r="P214" s="2" t="s">
        <v>4813</v>
      </c>
      <c r="Q214" s="2" t="s">
        <v>4814</v>
      </c>
      <c r="R214" s="2"/>
      <c r="S214" s="2" t="s">
        <v>4815</v>
      </c>
      <c r="T214" s="2">
        <v>10637761</v>
      </c>
      <c r="U214" s="2"/>
      <c r="V214" s="2"/>
      <c r="W214" s="2"/>
      <c r="X214" s="2" t="s">
        <v>1508</v>
      </c>
      <c r="Y214" s="2" t="s">
        <v>4816</v>
      </c>
      <c r="Z214" s="2" t="s">
        <v>1510</v>
      </c>
      <c r="AA214" s="2" t="s">
        <v>1511</v>
      </c>
      <c r="AB214" s="2"/>
      <c r="AC214" s="2" t="s">
        <v>1513</v>
      </c>
      <c r="AD214" s="2" t="s">
        <v>4817</v>
      </c>
    </row>
    <row r="215" spans="1:30" x14ac:dyDescent="0.45">
      <c r="A215" s="2" t="s">
        <v>5062</v>
      </c>
      <c r="B215" s="2" t="s">
        <v>5063</v>
      </c>
      <c r="C215" s="2" t="s">
        <v>5064</v>
      </c>
      <c r="D215" s="2" t="s">
        <v>5065</v>
      </c>
      <c r="E215" s="2">
        <v>2020</v>
      </c>
      <c r="F215" s="2" t="s">
        <v>5066</v>
      </c>
      <c r="G215" s="2"/>
      <c r="H215" s="2"/>
      <c r="I215" s="2"/>
      <c r="J215" s="2">
        <v>9</v>
      </c>
      <c r="K215" s="2">
        <v>35</v>
      </c>
      <c r="L215" s="2">
        <v>5</v>
      </c>
      <c r="M215" s="2" t="s">
        <v>5067</v>
      </c>
      <c r="N215" s="2" t="s">
        <v>5068</v>
      </c>
      <c r="O215" s="2" t="s">
        <v>5069</v>
      </c>
      <c r="P215" s="2" t="s">
        <v>5070</v>
      </c>
      <c r="Q215" s="2"/>
      <c r="R215" s="2"/>
      <c r="S215" s="2" t="s">
        <v>3028</v>
      </c>
      <c r="T215" s="2"/>
      <c r="U215" s="3">
        <v>9780130000000</v>
      </c>
      <c r="V215" s="2"/>
      <c r="W215" s="2"/>
      <c r="X215" s="2" t="s">
        <v>1508</v>
      </c>
      <c r="Y215" s="2" t="s">
        <v>5066</v>
      </c>
      <c r="Z215" s="2" t="s">
        <v>2278</v>
      </c>
      <c r="AA215" s="2" t="s">
        <v>1511</v>
      </c>
      <c r="AB215" s="2"/>
      <c r="AC215" s="2" t="s">
        <v>1513</v>
      </c>
      <c r="AD215" s="2" t="s">
        <v>5071</v>
      </c>
    </row>
    <row r="216" spans="1:30" x14ac:dyDescent="0.45">
      <c r="A216" s="2" t="s">
        <v>1567</v>
      </c>
      <c r="B216" s="2" t="s">
        <v>1568</v>
      </c>
      <c r="C216" s="2" t="s">
        <v>1569</v>
      </c>
      <c r="D216" s="2" t="s">
        <v>1570</v>
      </c>
      <c r="E216" s="2">
        <v>2024</v>
      </c>
      <c r="F216" s="2" t="s">
        <v>1571</v>
      </c>
      <c r="G216" s="2">
        <v>21</v>
      </c>
      <c r="H216" s="2">
        <v>12</v>
      </c>
      <c r="I216" s="2"/>
      <c r="J216" s="2">
        <v>3029</v>
      </c>
      <c r="K216" s="2">
        <v>3047</v>
      </c>
      <c r="L216" s="2">
        <v>4</v>
      </c>
      <c r="M216" s="2" t="s">
        <v>1572</v>
      </c>
      <c r="N216" s="2" t="s">
        <v>1573</v>
      </c>
      <c r="O216" s="2" t="s">
        <v>1574</v>
      </c>
      <c r="P216" s="2" t="s">
        <v>1575</v>
      </c>
      <c r="Q216" s="2" t="s">
        <v>1576</v>
      </c>
      <c r="R216" s="2"/>
      <c r="S216" s="2" t="s">
        <v>1577</v>
      </c>
      <c r="T216" s="2" t="s">
        <v>1578</v>
      </c>
      <c r="U216" s="2"/>
      <c r="V216" s="2"/>
      <c r="W216" s="2"/>
      <c r="X216" s="2" t="s">
        <v>1508</v>
      </c>
      <c r="Y216" s="2" t="s">
        <v>1571</v>
      </c>
      <c r="Z216" s="2" t="s">
        <v>1510</v>
      </c>
      <c r="AA216" s="2" t="s">
        <v>1511</v>
      </c>
      <c r="AB216" s="2"/>
      <c r="AC216" s="2" t="s">
        <v>1513</v>
      </c>
      <c r="AD216" s="2" t="s">
        <v>1579</v>
      </c>
    </row>
    <row r="217" spans="1:30" x14ac:dyDescent="0.45">
      <c r="A217" s="2" t="s">
        <v>1580</v>
      </c>
      <c r="B217" s="2" t="s">
        <v>1581</v>
      </c>
      <c r="C217" s="2" t="s">
        <v>1582</v>
      </c>
      <c r="D217" s="2" t="s">
        <v>792</v>
      </c>
      <c r="E217" s="2">
        <v>2024</v>
      </c>
      <c r="F217" s="2" t="s">
        <v>1583</v>
      </c>
      <c r="G217" s="2">
        <v>15</v>
      </c>
      <c r="H217" s="2">
        <v>1</v>
      </c>
      <c r="I217" s="2">
        <v>6735</v>
      </c>
      <c r="J217" s="2"/>
      <c r="K217" s="2"/>
      <c r="L217" s="2">
        <v>4</v>
      </c>
      <c r="M217" s="2" t="s">
        <v>1584</v>
      </c>
      <c r="N217" s="2" t="s">
        <v>1585</v>
      </c>
      <c r="O217" s="2" t="s">
        <v>1586</v>
      </c>
      <c r="P217" s="2" t="s">
        <v>1587</v>
      </c>
      <c r="Q217" s="2" t="s">
        <v>1588</v>
      </c>
      <c r="R217" s="2"/>
      <c r="S217" s="2" t="s">
        <v>1589</v>
      </c>
      <c r="T217" s="2"/>
      <c r="U217" s="2"/>
      <c r="V217" s="2"/>
      <c r="W217" s="2">
        <v>39112446</v>
      </c>
      <c r="X217" s="2" t="s">
        <v>1508</v>
      </c>
      <c r="Y217" s="2" t="s">
        <v>1590</v>
      </c>
      <c r="Z217" s="2" t="s">
        <v>1510</v>
      </c>
      <c r="AA217" s="2" t="s">
        <v>1511</v>
      </c>
      <c r="AB217" s="2" t="s">
        <v>1591</v>
      </c>
      <c r="AC217" s="2" t="s">
        <v>1513</v>
      </c>
      <c r="AD217" s="2" t="s">
        <v>1592</v>
      </c>
    </row>
    <row r="218" spans="1:30" x14ac:dyDescent="0.45">
      <c r="A218" s="2" t="s">
        <v>1630</v>
      </c>
      <c r="B218" s="2" t="s">
        <v>1631</v>
      </c>
      <c r="C218" s="2" t="s">
        <v>1632</v>
      </c>
      <c r="D218" s="2" t="s">
        <v>1194</v>
      </c>
      <c r="E218" s="2">
        <v>2024</v>
      </c>
      <c r="F218" s="2" t="s">
        <v>1633</v>
      </c>
      <c r="G218" s="2">
        <v>1006</v>
      </c>
      <c r="H218" s="2"/>
      <c r="I218" s="2">
        <v>176341</v>
      </c>
      <c r="J218" s="2"/>
      <c r="K218" s="2"/>
      <c r="L218" s="2">
        <v>4</v>
      </c>
      <c r="M218" s="2" t="s">
        <v>1634</v>
      </c>
      <c r="N218" s="2" t="s">
        <v>1635</v>
      </c>
      <c r="O218" s="2" t="s">
        <v>1636</v>
      </c>
      <c r="P218" s="2" t="s">
        <v>1637</v>
      </c>
      <c r="Q218" s="2" t="s">
        <v>1638</v>
      </c>
      <c r="R218" s="2"/>
      <c r="S218" s="2" t="s">
        <v>1524</v>
      </c>
      <c r="T218" s="2">
        <v>9258388</v>
      </c>
      <c r="U218" s="2"/>
      <c r="V218" s="2" t="s">
        <v>1639</v>
      </c>
      <c r="W218" s="2"/>
      <c r="X218" s="2" t="s">
        <v>1508</v>
      </c>
      <c r="Y218" s="2" t="s">
        <v>1640</v>
      </c>
      <c r="Z218" s="2" t="s">
        <v>1641</v>
      </c>
      <c r="AA218" s="2" t="s">
        <v>1511</v>
      </c>
      <c r="AB218" s="2"/>
      <c r="AC218" s="2" t="s">
        <v>1513</v>
      </c>
      <c r="AD218" s="2" t="s">
        <v>1642</v>
      </c>
    </row>
    <row r="219" spans="1:30" x14ac:dyDescent="0.45">
      <c r="A219" s="2" t="s">
        <v>1963</v>
      </c>
      <c r="B219" s="2" t="s">
        <v>1964</v>
      </c>
      <c r="C219" s="2" t="s">
        <v>1965</v>
      </c>
      <c r="D219" s="2" t="s">
        <v>822</v>
      </c>
      <c r="E219" s="2">
        <v>2024</v>
      </c>
      <c r="F219" s="2" t="s">
        <v>1966</v>
      </c>
      <c r="G219" s="2">
        <v>6</v>
      </c>
      <c r="H219" s="2">
        <v>3</v>
      </c>
      <c r="I219" s="2">
        <v>33055</v>
      </c>
      <c r="J219" s="2"/>
      <c r="K219" s="2"/>
      <c r="L219" s="2">
        <v>4</v>
      </c>
      <c r="M219" s="2" t="s">
        <v>1967</v>
      </c>
      <c r="N219" s="2" t="s">
        <v>1968</v>
      </c>
      <c r="O219" s="2" t="s">
        <v>1969</v>
      </c>
      <c r="P219" s="2" t="s">
        <v>1970</v>
      </c>
      <c r="Q219" s="2" t="s">
        <v>1971</v>
      </c>
      <c r="R219" s="2"/>
      <c r="S219" s="2" t="s">
        <v>1803</v>
      </c>
      <c r="T219" s="2">
        <v>26431564</v>
      </c>
      <c r="U219" s="2"/>
      <c r="V219" s="2"/>
      <c r="W219" s="2"/>
      <c r="X219" s="2" t="s">
        <v>1508</v>
      </c>
      <c r="Y219" s="2" t="s">
        <v>1972</v>
      </c>
      <c r="Z219" s="2" t="s">
        <v>1510</v>
      </c>
      <c r="AA219" s="2" t="s">
        <v>1511</v>
      </c>
      <c r="AB219" s="2" t="s">
        <v>1591</v>
      </c>
      <c r="AC219" s="2" t="s">
        <v>1513</v>
      </c>
      <c r="AD219" s="2" t="s">
        <v>1973</v>
      </c>
    </row>
    <row r="220" spans="1:30" x14ac:dyDescent="0.45">
      <c r="A220" s="2" t="s">
        <v>2039</v>
      </c>
      <c r="B220" s="2" t="s">
        <v>2040</v>
      </c>
      <c r="C220" s="2" t="s">
        <v>2041</v>
      </c>
      <c r="D220" s="2" t="s">
        <v>2042</v>
      </c>
      <c r="E220" s="2">
        <v>2024</v>
      </c>
      <c r="F220" s="2" t="s">
        <v>2043</v>
      </c>
      <c r="G220" s="2">
        <v>171</v>
      </c>
      <c r="H220" s="2">
        <v>5</v>
      </c>
      <c r="I220" s="2">
        <v>54520</v>
      </c>
      <c r="J220" s="2"/>
      <c r="K220" s="2"/>
      <c r="L220" s="2">
        <v>4</v>
      </c>
      <c r="M220" s="2" t="s">
        <v>2044</v>
      </c>
      <c r="N220" s="2" t="s">
        <v>2045</v>
      </c>
      <c r="O220" s="2" t="s">
        <v>2046</v>
      </c>
      <c r="P220" s="2" t="s">
        <v>2047</v>
      </c>
      <c r="Q220" s="2" t="s">
        <v>2048</v>
      </c>
      <c r="R220" s="2"/>
      <c r="S220" s="2" t="s">
        <v>1551</v>
      </c>
      <c r="T220" s="2">
        <v>134651</v>
      </c>
      <c r="U220" s="2"/>
      <c r="V220" s="2" t="s">
        <v>2049</v>
      </c>
      <c r="W220" s="2"/>
      <c r="X220" s="2" t="s">
        <v>1508</v>
      </c>
      <c r="Y220" s="2" t="s">
        <v>2050</v>
      </c>
      <c r="Z220" s="2" t="s">
        <v>1510</v>
      </c>
      <c r="AA220" s="2" t="s">
        <v>1511</v>
      </c>
      <c r="AB220" s="2" t="s">
        <v>1539</v>
      </c>
      <c r="AC220" s="2" t="s">
        <v>1513</v>
      </c>
      <c r="AD220" s="2" t="s">
        <v>2051</v>
      </c>
    </row>
    <row r="221" spans="1:30" x14ac:dyDescent="0.45">
      <c r="A221" s="2" t="s">
        <v>2107</v>
      </c>
      <c r="B221" s="2" t="s">
        <v>2108</v>
      </c>
      <c r="C221" s="2" t="s">
        <v>2109</v>
      </c>
      <c r="D221" s="2" t="s">
        <v>2110</v>
      </c>
      <c r="E221" s="2">
        <v>2024</v>
      </c>
      <c r="F221" s="2" t="s">
        <v>2111</v>
      </c>
      <c r="G221" s="2">
        <v>12</v>
      </c>
      <c r="H221" s="2">
        <v>14</v>
      </c>
      <c r="I221" s="2"/>
      <c r="J221" s="2">
        <v>5083</v>
      </c>
      <c r="K221" s="2">
        <v>5087</v>
      </c>
      <c r="L221" s="2">
        <v>4</v>
      </c>
      <c r="M221" s="2" t="s">
        <v>2112</v>
      </c>
      <c r="N221" s="2" t="s">
        <v>2113</v>
      </c>
      <c r="O221" s="2" t="s">
        <v>2114</v>
      </c>
      <c r="P221" s="2" t="s">
        <v>2115</v>
      </c>
      <c r="Q221" s="2" t="s">
        <v>2116</v>
      </c>
      <c r="R221" s="2"/>
      <c r="S221" s="2" t="s">
        <v>1884</v>
      </c>
      <c r="T221" s="2" t="s">
        <v>2117</v>
      </c>
      <c r="U221" s="2"/>
      <c r="V221" s="2" t="s">
        <v>2118</v>
      </c>
      <c r="W221" s="2"/>
      <c r="X221" s="2" t="s">
        <v>1508</v>
      </c>
      <c r="Y221" s="2" t="s">
        <v>2119</v>
      </c>
      <c r="Z221" s="2" t="s">
        <v>1510</v>
      </c>
      <c r="AA221" s="2" t="s">
        <v>1511</v>
      </c>
      <c r="AB221" s="2"/>
      <c r="AC221" s="2" t="s">
        <v>1513</v>
      </c>
      <c r="AD221" s="2" t="s">
        <v>2120</v>
      </c>
    </row>
    <row r="222" spans="1:30" x14ac:dyDescent="0.45">
      <c r="A222" s="2" t="s">
        <v>1963</v>
      </c>
      <c r="B222" s="2" t="s">
        <v>1964</v>
      </c>
      <c r="C222" s="2" t="s">
        <v>1965</v>
      </c>
      <c r="D222" s="2" t="s">
        <v>2612</v>
      </c>
      <c r="E222" s="2">
        <v>2023</v>
      </c>
      <c r="F222" s="2" t="s">
        <v>2613</v>
      </c>
      <c r="G222" s="2">
        <v>5</v>
      </c>
      <c r="H222" s="2">
        <v>8</v>
      </c>
      <c r="I222" s="2">
        <v>2300015</v>
      </c>
      <c r="J222" s="2"/>
      <c r="K222" s="2"/>
      <c r="L222" s="2">
        <v>4</v>
      </c>
      <c r="M222" s="2" t="s">
        <v>2614</v>
      </c>
      <c r="N222" s="2" t="s">
        <v>2615</v>
      </c>
      <c r="O222" s="2" t="s">
        <v>1969</v>
      </c>
      <c r="P222" s="2" t="s">
        <v>1970</v>
      </c>
      <c r="Q222" s="2" t="s">
        <v>2616</v>
      </c>
      <c r="R222" s="2"/>
      <c r="S222" s="2" t="s">
        <v>1715</v>
      </c>
      <c r="T222" s="2"/>
      <c r="U222" s="2"/>
      <c r="V222" s="2"/>
      <c r="W222" s="2"/>
      <c r="X222" s="2" t="s">
        <v>1508</v>
      </c>
      <c r="Y222" s="2" t="s">
        <v>2617</v>
      </c>
      <c r="Z222" s="2" t="s">
        <v>1510</v>
      </c>
      <c r="AA222" s="2" t="s">
        <v>1511</v>
      </c>
      <c r="AB222" s="2" t="s">
        <v>1603</v>
      </c>
      <c r="AC222" s="2" t="s">
        <v>1513</v>
      </c>
      <c r="AD222" s="2" t="s">
        <v>2618</v>
      </c>
    </row>
    <row r="223" spans="1:30" x14ac:dyDescent="0.45">
      <c r="A223" s="2" t="s">
        <v>2753</v>
      </c>
      <c r="B223" s="2" t="s">
        <v>2754</v>
      </c>
      <c r="C223" s="2" t="s">
        <v>2755</v>
      </c>
      <c r="D223" s="2" t="s">
        <v>243</v>
      </c>
      <c r="E223" s="2">
        <v>2023</v>
      </c>
      <c r="F223" s="2" t="s">
        <v>2013</v>
      </c>
      <c r="G223" s="2"/>
      <c r="H223" s="2"/>
      <c r="I223" s="2">
        <v>420</v>
      </c>
      <c r="J223" s="2"/>
      <c r="K223" s="2"/>
      <c r="L223" s="2">
        <v>4</v>
      </c>
      <c r="M223" s="2" t="s">
        <v>2756</v>
      </c>
      <c r="N223" s="2" t="s">
        <v>2757</v>
      </c>
      <c r="O223" s="2" t="s">
        <v>2758</v>
      </c>
      <c r="P223" s="2" t="s">
        <v>2759</v>
      </c>
      <c r="Q223" s="2" t="s">
        <v>2760</v>
      </c>
      <c r="R223" s="2"/>
      <c r="S223" s="2" t="s">
        <v>1738</v>
      </c>
      <c r="T223" s="2"/>
      <c r="U223" s="2" t="s">
        <v>2018</v>
      </c>
      <c r="V223" s="2"/>
      <c r="W223" s="2"/>
      <c r="X223" s="2" t="s">
        <v>1508</v>
      </c>
      <c r="Y223" s="2" t="s">
        <v>2019</v>
      </c>
      <c r="Z223" s="2" t="s">
        <v>1741</v>
      </c>
      <c r="AA223" s="2" t="s">
        <v>1511</v>
      </c>
      <c r="AB223" s="2" t="s">
        <v>2007</v>
      </c>
      <c r="AC223" s="2" t="s">
        <v>1513</v>
      </c>
      <c r="AD223" s="2" t="s">
        <v>2761</v>
      </c>
    </row>
    <row r="224" spans="1:30" x14ac:dyDescent="0.45">
      <c r="A224" s="2" t="s">
        <v>3020</v>
      </c>
      <c r="B224" s="2" t="s">
        <v>3021</v>
      </c>
      <c r="C224" s="2" t="s">
        <v>3022</v>
      </c>
      <c r="D224" s="2" t="s">
        <v>992</v>
      </c>
      <c r="E224" s="2">
        <v>2023</v>
      </c>
      <c r="F224" s="2" t="s">
        <v>3023</v>
      </c>
      <c r="G224" s="2"/>
      <c r="H224" s="2"/>
      <c r="I224" s="2"/>
      <c r="J224" s="2">
        <v>73</v>
      </c>
      <c r="K224" s="2">
        <v>137</v>
      </c>
      <c r="L224" s="2">
        <v>4</v>
      </c>
      <c r="M224" s="2" t="s">
        <v>3024</v>
      </c>
      <c r="N224" s="2" t="s">
        <v>3025</v>
      </c>
      <c r="O224" s="2" t="s">
        <v>3026</v>
      </c>
      <c r="P224" s="2" t="s">
        <v>3027</v>
      </c>
      <c r="Q224" s="2"/>
      <c r="R224" s="2"/>
      <c r="S224" s="2" t="s">
        <v>3028</v>
      </c>
      <c r="T224" s="2"/>
      <c r="U224" s="2" t="s">
        <v>3029</v>
      </c>
      <c r="V224" s="2"/>
      <c r="W224" s="2"/>
      <c r="X224" s="2" t="s">
        <v>1508</v>
      </c>
      <c r="Y224" s="2" t="s">
        <v>3030</v>
      </c>
      <c r="Z224" s="2" t="s">
        <v>2278</v>
      </c>
      <c r="AA224" s="2" t="s">
        <v>1511</v>
      </c>
      <c r="AB224" s="2"/>
      <c r="AC224" s="2" t="s">
        <v>1513</v>
      </c>
      <c r="AD224" s="2" t="s">
        <v>3031</v>
      </c>
    </row>
    <row r="225" spans="1:30" x14ac:dyDescent="0.45">
      <c r="A225" s="2" t="s">
        <v>3206</v>
      </c>
      <c r="B225" s="2" t="s">
        <v>3207</v>
      </c>
      <c r="C225" s="2" t="s">
        <v>3208</v>
      </c>
      <c r="D225" s="2" t="s">
        <v>3209</v>
      </c>
      <c r="E225" s="2">
        <v>2022</v>
      </c>
      <c r="F225" s="2" t="s">
        <v>3210</v>
      </c>
      <c r="G225" s="2">
        <v>71</v>
      </c>
      <c r="H225" s="2">
        <v>5</v>
      </c>
      <c r="I225" s="2"/>
      <c r="J225" s="2">
        <v>1205</v>
      </c>
      <c r="K225" s="2">
        <v>1224</v>
      </c>
      <c r="L225" s="2">
        <v>4</v>
      </c>
      <c r="M225" s="2" t="s">
        <v>3211</v>
      </c>
      <c r="N225" s="2" t="s">
        <v>3212</v>
      </c>
      <c r="O225" s="2" t="s">
        <v>3213</v>
      </c>
      <c r="P225" s="2" t="s">
        <v>3214</v>
      </c>
      <c r="Q225" s="2" t="s">
        <v>3215</v>
      </c>
      <c r="R225" s="2"/>
      <c r="S225" s="2" t="s">
        <v>1715</v>
      </c>
      <c r="T225" s="2">
        <v>359254</v>
      </c>
      <c r="U225" s="2"/>
      <c r="V225" s="2"/>
      <c r="W225" s="2"/>
      <c r="X225" s="2" t="s">
        <v>1508</v>
      </c>
      <c r="Y225" s="2" t="s">
        <v>3216</v>
      </c>
      <c r="Z225" s="2" t="s">
        <v>1510</v>
      </c>
      <c r="AA225" s="2" t="s">
        <v>1511</v>
      </c>
      <c r="AB225" s="2" t="s">
        <v>1539</v>
      </c>
      <c r="AC225" s="2" t="s">
        <v>1513</v>
      </c>
      <c r="AD225" s="2" t="s">
        <v>3217</v>
      </c>
    </row>
    <row r="226" spans="1:30" x14ac:dyDescent="0.45">
      <c r="A226" s="2" t="s">
        <v>3318</v>
      </c>
      <c r="B226" s="2" t="s">
        <v>3319</v>
      </c>
      <c r="C226" s="2" t="s">
        <v>3320</v>
      </c>
      <c r="D226" s="2" t="s">
        <v>1007</v>
      </c>
      <c r="E226" s="2">
        <v>2022</v>
      </c>
      <c r="F226" s="2" t="s">
        <v>3281</v>
      </c>
      <c r="G226" s="2">
        <v>38</v>
      </c>
      <c r="H226" s="2">
        <v>3</v>
      </c>
      <c r="I226" s="2"/>
      <c r="J226" s="2">
        <v>310</v>
      </c>
      <c r="K226" s="2">
        <v>335</v>
      </c>
      <c r="L226" s="2">
        <v>4</v>
      </c>
      <c r="M226" s="2" t="s">
        <v>3321</v>
      </c>
      <c r="N226" s="2" t="s">
        <v>3322</v>
      </c>
      <c r="O226" s="2" t="s">
        <v>3323</v>
      </c>
      <c r="P226" s="2" t="s">
        <v>3324</v>
      </c>
      <c r="Q226" s="2" t="s">
        <v>3286</v>
      </c>
      <c r="R226" s="2"/>
      <c r="S226" s="2" t="s">
        <v>2071</v>
      </c>
      <c r="T226" s="2" t="s">
        <v>3287</v>
      </c>
      <c r="U226" s="2"/>
      <c r="V226" s="2"/>
      <c r="W226" s="2"/>
      <c r="X226" s="2" t="s">
        <v>1508</v>
      </c>
      <c r="Y226" s="2" t="s">
        <v>3288</v>
      </c>
      <c r="Z226" s="2" t="s">
        <v>1510</v>
      </c>
      <c r="AA226" s="2" t="s">
        <v>1511</v>
      </c>
      <c r="AB226" s="2" t="s">
        <v>1512</v>
      </c>
      <c r="AC226" s="2" t="s">
        <v>1513</v>
      </c>
      <c r="AD226" s="2" t="s">
        <v>3325</v>
      </c>
    </row>
    <row r="227" spans="1:30" x14ac:dyDescent="0.45">
      <c r="A227" s="2" t="s">
        <v>3493</v>
      </c>
      <c r="B227" s="2" t="s">
        <v>3494</v>
      </c>
      <c r="C227" s="2" t="s">
        <v>3495</v>
      </c>
      <c r="D227" s="2" t="s">
        <v>3496</v>
      </c>
      <c r="E227" s="2">
        <v>2022</v>
      </c>
      <c r="F227" s="2" t="s">
        <v>3497</v>
      </c>
      <c r="G227" s="2">
        <v>546</v>
      </c>
      <c r="H227" s="2"/>
      <c r="I227" s="2">
        <v>168646</v>
      </c>
      <c r="J227" s="2"/>
      <c r="K227" s="2"/>
      <c r="L227" s="2">
        <v>4</v>
      </c>
      <c r="M227" s="2" t="s">
        <v>3498</v>
      </c>
      <c r="N227" s="2" t="s">
        <v>3499</v>
      </c>
      <c r="O227" s="2" t="s">
        <v>3500</v>
      </c>
      <c r="P227" s="2" t="s">
        <v>3501</v>
      </c>
      <c r="Q227" s="2" t="s">
        <v>3502</v>
      </c>
      <c r="R227" s="2"/>
      <c r="S227" s="2" t="s">
        <v>1506</v>
      </c>
      <c r="T227" s="2">
        <v>3048853</v>
      </c>
      <c r="U227" s="2"/>
      <c r="V227" s="2" t="s">
        <v>3503</v>
      </c>
      <c r="W227" s="2"/>
      <c r="X227" s="2" t="s">
        <v>1508</v>
      </c>
      <c r="Y227" s="2" t="s">
        <v>3504</v>
      </c>
      <c r="Z227" s="2" t="s">
        <v>1510</v>
      </c>
      <c r="AA227" s="2" t="s">
        <v>1511</v>
      </c>
      <c r="AB227" s="2"/>
      <c r="AC227" s="2" t="s">
        <v>1513</v>
      </c>
      <c r="AD227" s="2" t="s">
        <v>3505</v>
      </c>
    </row>
    <row r="228" spans="1:30" x14ac:dyDescent="0.45">
      <c r="A228" s="2" t="s">
        <v>3428</v>
      </c>
      <c r="B228" s="2" t="s">
        <v>3429</v>
      </c>
      <c r="C228" s="2" t="s">
        <v>3430</v>
      </c>
      <c r="D228" s="2" t="s">
        <v>3731</v>
      </c>
      <c r="E228" s="2">
        <v>2022</v>
      </c>
      <c r="F228" s="2" t="s">
        <v>3732</v>
      </c>
      <c r="G228" s="2">
        <v>16</v>
      </c>
      <c r="H228" s="4">
        <v>46148</v>
      </c>
      <c r="I228" s="2"/>
      <c r="J228" s="2">
        <v>236</v>
      </c>
      <c r="K228" s="2">
        <v>252</v>
      </c>
      <c r="L228" s="2">
        <v>4</v>
      </c>
      <c r="M228" s="2" t="s">
        <v>3733</v>
      </c>
      <c r="N228" s="2" t="s">
        <v>3734</v>
      </c>
      <c r="O228" s="2" t="s">
        <v>3735</v>
      </c>
      <c r="P228" s="2" t="s">
        <v>3736</v>
      </c>
      <c r="Q228" s="2" t="s">
        <v>3737</v>
      </c>
      <c r="R228" s="2"/>
      <c r="S228" s="2" t="s">
        <v>3738</v>
      </c>
      <c r="T228" s="2">
        <v>17400600</v>
      </c>
      <c r="U228" s="2"/>
      <c r="V228" s="2"/>
      <c r="W228" s="2"/>
      <c r="X228" s="2" t="s">
        <v>1508</v>
      </c>
      <c r="Y228" s="2" t="s">
        <v>3739</v>
      </c>
      <c r="Z228" s="2" t="s">
        <v>1510</v>
      </c>
      <c r="AA228" s="2" t="s">
        <v>1511</v>
      </c>
      <c r="AB228" s="2"/>
      <c r="AC228" s="2" t="s">
        <v>1513</v>
      </c>
      <c r="AD228" s="2" t="s">
        <v>3740</v>
      </c>
    </row>
    <row r="229" spans="1:30" x14ac:dyDescent="0.45">
      <c r="A229" s="2" t="s">
        <v>4010</v>
      </c>
      <c r="B229" s="2" t="s">
        <v>4011</v>
      </c>
      <c r="C229" s="2" t="s">
        <v>4012</v>
      </c>
      <c r="D229" s="2" t="s">
        <v>276</v>
      </c>
      <c r="E229" s="2">
        <v>2021</v>
      </c>
      <c r="F229" s="2" t="s">
        <v>4013</v>
      </c>
      <c r="G229" s="2">
        <v>8</v>
      </c>
      <c r="H229" s="2">
        <v>8</v>
      </c>
      <c r="I229" s="2">
        <v>210141</v>
      </c>
      <c r="J229" s="2"/>
      <c r="K229" s="2"/>
      <c r="L229" s="2">
        <v>4</v>
      </c>
      <c r="M229" s="2" t="s">
        <v>4014</v>
      </c>
      <c r="N229" s="2" t="s">
        <v>4015</v>
      </c>
      <c r="O229" s="2" t="s">
        <v>3621</v>
      </c>
      <c r="P229" s="2" t="s">
        <v>4016</v>
      </c>
      <c r="Q229" s="2" t="s">
        <v>4017</v>
      </c>
      <c r="R229" s="2"/>
      <c r="S229" s="2" t="s">
        <v>4018</v>
      </c>
      <c r="T229" s="2"/>
      <c r="U229" s="2"/>
      <c r="V229" s="2"/>
      <c r="W229" s="2"/>
      <c r="X229" s="2" t="s">
        <v>1508</v>
      </c>
      <c r="Y229" s="2" t="s">
        <v>4019</v>
      </c>
      <c r="Z229" s="2" t="s">
        <v>1510</v>
      </c>
      <c r="AA229" s="2" t="s">
        <v>1511</v>
      </c>
      <c r="AB229" s="2" t="s">
        <v>3156</v>
      </c>
      <c r="AC229" s="2" t="s">
        <v>1513</v>
      </c>
      <c r="AD229" s="2" t="s">
        <v>4020</v>
      </c>
    </row>
    <row r="230" spans="1:30" x14ac:dyDescent="0.45">
      <c r="A230" s="2" t="s">
        <v>4176</v>
      </c>
      <c r="B230" s="2" t="s">
        <v>4177</v>
      </c>
      <c r="C230" s="2" t="s">
        <v>4178</v>
      </c>
      <c r="D230" s="2" t="s">
        <v>4179</v>
      </c>
      <c r="E230" s="2">
        <v>2021</v>
      </c>
      <c r="F230" s="2" t="s">
        <v>4180</v>
      </c>
      <c r="G230" s="2">
        <v>1802</v>
      </c>
      <c r="H230" s="2">
        <v>3</v>
      </c>
      <c r="I230" s="2">
        <v>32035</v>
      </c>
      <c r="J230" s="2"/>
      <c r="K230" s="2"/>
      <c r="L230" s="2">
        <v>4</v>
      </c>
      <c r="M230" s="2" t="s">
        <v>4181</v>
      </c>
      <c r="N230" s="2" t="s">
        <v>4182</v>
      </c>
      <c r="O230" s="2" t="s">
        <v>4183</v>
      </c>
      <c r="P230" s="2" t="s">
        <v>4184</v>
      </c>
      <c r="Q230" s="2" t="s">
        <v>4185</v>
      </c>
      <c r="R230" s="2"/>
      <c r="S230" s="2" t="s">
        <v>3807</v>
      </c>
      <c r="T230" s="2">
        <v>17551307</v>
      </c>
      <c r="U230" s="2"/>
      <c r="V230" s="2"/>
      <c r="W230" s="2"/>
      <c r="X230" s="2" t="s">
        <v>1508</v>
      </c>
      <c r="Y230" s="2" t="s">
        <v>4186</v>
      </c>
      <c r="Z230" s="2" t="s">
        <v>1741</v>
      </c>
      <c r="AA230" s="2" t="s">
        <v>1511</v>
      </c>
      <c r="AB230" s="2" t="s">
        <v>1591</v>
      </c>
      <c r="AC230" s="2" t="s">
        <v>1513</v>
      </c>
      <c r="AD230" s="2" t="s">
        <v>4187</v>
      </c>
    </row>
    <row r="231" spans="1:30" x14ac:dyDescent="0.45">
      <c r="A231" s="2" t="s">
        <v>4986</v>
      </c>
      <c r="B231" s="2" t="s">
        <v>4987</v>
      </c>
      <c r="C231" s="2" t="s">
        <v>4988</v>
      </c>
      <c r="D231" s="2" t="s">
        <v>4989</v>
      </c>
      <c r="E231" s="2">
        <v>2020</v>
      </c>
      <c r="F231" s="2" t="s">
        <v>4990</v>
      </c>
      <c r="G231" s="2"/>
      <c r="H231" s="2"/>
      <c r="I231" s="2">
        <v>9220040</v>
      </c>
      <c r="J231" s="2"/>
      <c r="K231" s="2"/>
      <c r="L231" s="2">
        <v>4</v>
      </c>
      <c r="M231" s="2" t="s">
        <v>4991</v>
      </c>
      <c r="N231" s="2" t="s">
        <v>4992</v>
      </c>
      <c r="O231" s="2" t="s">
        <v>1561</v>
      </c>
      <c r="P231" s="2" t="s">
        <v>4993</v>
      </c>
      <c r="Q231" s="2"/>
      <c r="R231" s="2"/>
      <c r="S231" s="2" t="s">
        <v>2226</v>
      </c>
      <c r="T231" s="2"/>
      <c r="U231" s="3">
        <v>9781730000000</v>
      </c>
      <c r="V231" s="2"/>
      <c r="W231" s="2"/>
      <c r="X231" s="2" t="s">
        <v>1508</v>
      </c>
      <c r="Y231" s="2" t="s">
        <v>4994</v>
      </c>
      <c r="Z231" s="2" t="s">
        <v>1741</v>
      </c>
      <c r="AA231" s="2" t="s">
        <v>1511</v>
      </c>
      <c r="AB231" s="2"/>
      <c r="AC231" s="2" t="s">
        <v>1513</v>
      </c>
      <c r="AD231" s="2" t="s">
        <v>4995</v>
      </c>
    </row>
    <row r="232" spans="1:30" x14ac:dyDescent="0.45">
      <c r="A232" s="2" t="s">
        <v>4996</v>
      </c>
      <c r="B232" s="2" t="s">
        <v>4997</v>
      </c>
      <c r="C232" s="2" t="s">
        <v>4998</v>
      </c>
      <c r="D232" s="2" t="s">
        <v>4999</v>
      </c>
      <c r="E232" s="2">
        <v>2020</v>
      </c>
      <c r="F232" s="2" t="s">
        <v>5000</v>
      </c>
      <c r="G232" s="2">
        <v>33</v>
      </c>
      <c r="H232" s="2"/>
      <c r="I232" s="2">
        <v>100635</v>
      </c>
      <c r="J232" s="2"/>
      <c r="K232" s="2"/>
      <c r="L232" s="2">
        <v>4</v>
      </c>
      <c r="M232" s="2" t="s">
        <v>5001</v>
      </c>
      <c r="N232" s="2" t="s">
        <v>5002</v>
      </c>
      <c r="O232" s="2" t="s">
        <v>5003</v>
      </c>
      <c r="P232" s="2" t="s">
        <v>5004</v>
      </c>
      <c r="Q232" s="2" t="s">
        <v>5005</v>
      </c>
      <c r="R232" s="2"/>
      <c r="S232" s="2" t="s">
        <v>4625</v>
      </c>
      <c r="T232" s="2" t="s">
        <v>5006</v>
      </c>
      <c r="U232" s="2"/>
      <c r="V232" s="2"/>
      <c r="W232" s="2">
        <v>31759287</v>
      </c>
      <c r="X232" s="2" t="s">
        <v>1508</v>
      </c>
      <c r="Y232" s="2" t="s">
        <v>5007</v>
      </c>
      <c r="Z232" s="2" t="s">
        <v>1510</v>
      </c>
      <c r="AA232" s="2" t="s">
        <v>1511</v>
      </c>
      <c r="AB232" s="2"/>
      <c r="AC232" s="2" t="s">
        <v>1513</v>
      </c>
      <c r="AD232" s="2" t="s">
        <v>5008</v>
      </c>
    </row>
    <row r="233" spans="1:30" x14ac:dyDescent="0.45">
      <c r="A233" s="2" t="s">
        <v>5072</v>
      </c>
      <c r="B233" s="2" t="s">
        <v>5073</v>
      </c>
      <c r="C233" s="2" t="s">
        <v>5074</v>
      </c>
      <c r="D233" s="2" t="s">
        <v>5075</v>
      </c>
      <c r="E233" s="2">
        <v>2020</v>
      </c>
      <c r="F233" s="2" t="s">
        <v>5076</v>
      </c>
      <c r="G233" s="2">
        <v>8</v>
      </c>
      <c r="H233" s="2"/>
      <c r="I233" s="2"/>
      <c r="J233" s="2">
        <v>185909</v>
      </c>
      <c r="K233" s="2">
        <v>185918</v>
      </c>
      <c r="L233" s="2">
        <v>4</v>
      </c>
      <c r="M233" s="2" t="s">
        <v>5077</v>
      </c>
      <c r="N233" s="2" t="s">
        <v>5078</v>
      </c>
      <c r="O233" s="2" t="s">
        <v>5079</v>
      </c>
      <c r="P233" s="2" t="s">
        <v>5080</v>
      </c>
      <c r="Q233" s="2" t="s">
        <v>5081</v>
      </c>
      <c r="R233" s="2"/>
      <c r="S233" s="2" t="s">
        <v>2226</v>
      </c>
      <c r="T233" s="2"/>
      <c r="U233" s="2"/>
      <c r="V233" s="2"/>
      <c r="W233" s="2"/>
      <c r="X233" s="2" t="s">
        <v>1508</v>
      </c>
      <c r="Y233" s="2" t="s">
        <v>5076</v>
      </c>
      <c r="Z233" s="2" t="s">
        <v>1510</v>
      </c>
      <c r="AA233" s="2" t="s">
        <v>1511</v>
      </c>
      <c r="AB233" s="2" t="s">
        <v>1591</v>
      </c>
      <c r="AC233" s="2" t="s">
        <v>1513</v>
      </c>
      <c r="AD233" s="2" t="s">
        <v>5082</v>
      </c>
    </row>
    <row r="234" spans="1:30" x14ac:dyDescent="0.45">
      <c r="A234" s="2" t="s">
        <v>5118</v>
      </c>
      <c r="B234" s="2" t="s">
        <v>5119</v>
      </c>
      <c r="C234" s="2" t="s">
        <v>5120</v>
      </c>
      <c r="D234" s="2" t="s">
        <v>5121</v>
      </c>
      <c r="E234" s="2">
        <v>2020</v>
      </c>
      <c r="F234" s="2" t="s">
        <v>5122</v>
      </c>
      <c r="G234" s="2"/>
      <c r="H234" s="2"/>
      <c r="I234" s="2"/>
      <c r="J234" s="2">
        <v>66</v>
      </c>
      <c r="K234" s="2">
        <v>81</v>
      </c>
      <c r="L234" s="2">
        <v>4</v>
      </c>
      <c r="M234" s="2" t="s">
        <v>5123</v>
      </c>
      <c r="N234" s="2" t="s">
        <v>5124</v>
      </c>
      <c r="O234" s="2" t="s">
        <v>5125</v>
      </c>
      <c r="P234" s="2" t="s">
        <v>5126</v>
      </c>
      <c r="Q234" s="2"/>
      <c r="R234" s="2"/>
      <c r="S234" s="2" t="s">
        <v>2276</v>
      </c>
      <c r="T234" s="2"/>
      <c r="U234" s="2" t="s">
        <v>5127</v>
      </c>
      <c r="V234" s="2"/>
      <c r="W234" s="2"/>
      <c r="X234" s="2" t="s">
        <v>1508</v>
      </c>
      <c r="Y234" s="2" t="s">
        <v>5122</v>
      </c>
      <c r="Z234" s="2" t="s">
        <v>2278</v>
      </c>
      <c r="AA234" s="2" t="s">
        <v>1511</v>
      </c>
      <c r="AB234" s="2"/>
      <c r="AC234" s="2" t="s">
        <v>1513</v>
      </c>
      <c r="AD234" s="2" t="s">
        <v>5128</v>
      </c>
    </row>
    <row r="235" spans="1:30" x14ac:dyDescent="0.45">
      <c r="A235" s="2" t="s">
        <v>1864</v>
      </c>
      <c r="B235" s="2" t="s">
        <v>1865</v>
      </c>
      <c r="C235" s="2" t="s">
        <v>1866</v>
      </c>
      <c r="D235" s="2" t="s">
        <v>315</v>
      </c>
      <c r="E235" s="2">
        <v>2024</v>
      </c>
      <c r="F235" s="2" t="s">
        <v>1867</v>
      </c>
      <c r="G235" s="2">
        <v>16</v>
      </c>
      <c r="H235" s="2">
        <v>29</v>
      </c>
      <c r="I235" s="2"/>
      <c r="J235" s="2">
        <v>38290</v>
      </c>
      <c r="K235" s="2">
        <v>38299</v>
      </c>
      <c r="L235" s="2">
        <v>3</v>
      </c>
      <c r="M235" s="2" t="s">
        <v>1868</v>
      </c>
      <c r="N235" s="2" t="s">
        <v>1869</v>
      </c>
      <c r="O235" s="2" t="s">
        <v>1870</v>
      </c>
      <c r="P235" s="2" t="s">
        <v>1871</v>
      </c>
      <c r="Q235" s="2" t="s">
        <v>1872</v>
      </c>
      <c r="R235" s="2"/>
      <c r="S235" s="2" t="s">
        <v>1783</v>
      </c>
      <c r="T235" s="2">
        <v>19448244</v>
      </c>
      <c r="U235" s="2"/>
      <c r="V235" s="2"/>
      <c r="W235" s="2">
        <v>38990772</v>
      </c>
      <c r="X235" s="2" t="s">
        <v>1508</v>
      </c>
      <c r="Y235" s="2" t="s">
        <v>1873</v>
      </c>
      <c r="Z235" s="2" t="s">
        <v>1510</v>
      </c>
      <c r="AA235" s="2" t="s">
        <v>1511</v>
      </c>
      <c r="AB235" s="2"/>
      <c r="AC235" s="2" t="s">
        <v>1513</v>
      </c>
      <c r="AD235" s="2" t="s">
        <v>1874</v>
      </c>
    </row>
    <row r="236" spans="1:30" x14ac:dyDescent="0.45">
      <c r="A236" s="2" t="s">
        <v>1901</v>
      </c>
      <c r="B236" s="2" t="s">
        <v>1902</v>
      </c>
      <c r="C236" s="2" t="s">
        <v>1903</v>
      </c>
      <c r="D236" s="2" t="s">
        <v>1904</v>
      </c>
      <c r="E236" s="2">
        <v>2024</v>
      </c>
      <c r="F236" s="2" t="s">
        <v>1867</v>
      </c>
      <c r="G236" s="2">
        <v>16</v>
      </c>
      <c r="H236" s="2">
        <v>27</v>
      </c>
      <c r="I236" s="2"/>
      <c r="J236" s="2">
        <v>35410</v>
      </c>
      <c r="K236" s="2">
        <v>35420</v>
      </c>
      <c r="L236" s="2">
        <v>3</v>
      </c>
      <c r="M236" s="2" t="s">
        <v>1905</v>
      </c>
      <c r="N236" s="2" t="s">
        <v>1906</v>
      </c>
      <c r="O236" s="2" t="s">
        <v>1907</v>
      </c>
      <c r="P236" s="2" t="s">
        <v>1908</v>
      </c>
      <c r="Q236" s="2" t="s">
        <v>1909</v>
      </c>
      <c r="R236" s="2"/>
      <c r="S236" s="2" t="s">
        <v>1783</v>
      </c>
      <c r="T236" s="2">
        <v>19448244</v>
      </c>
      <c r="U236" s="2"/>
      <c r="V236" s="2"/>
      <c r="W236" s="2">
        <v>38934468</v>
      </c>
      <c r="X236" s="2" t="s">
        <v>1508</v>
      </c>
      <c r="Y236" s="2" t="s">
        <v>1873</v>
      </c>
      <c r="Z236" s="2" t="s">
        <v>1510</v>
      </c>
      <c r="AA236" s="2" t="s">
        <v>1511</v>
      </c>
      <c r="AB236" s="2"/>
      <c r="AC236" s="2" t="s">
        <v>1513</v>
      </c>
      <c r="AD236" s="2" t="s">
        <v>1910</v>
      </c>
    </row>
    <row r="237" spans="1:30" x14ac:dyDescent="0.45">
      <c r="A237" s="2" t="s">
        <v>1974</v>
      </c>
      <c r="B237" s="2" t="s">
        <v>1975</v>
      </c>
      <c r="C237" s="2" t="s">
        <v>1976</v>
      </c>
      <c r="D237" s="2" t="s">
        <v>1977</v>
      </c>
      <c r="E237" s="2">
        <v>2024</v>
      </c>
      <c r="F237" s="2" t="s">
        <v>1978</v>
      </c>
      <c r="G237" s="2">
        <v>84</v>
      </c>
      <c r="H237" s="2">
        <v>3</v>
      </c>
      <c r="I237" s="2"/>
      <c r="J237" s="2" t="s">
        <v>1979</v>
      </c>
      <c r="K237" s="2" t="s">
        <v>1980</v>
      </c>
      <c r="L237" s="2">
        <v>3</v>
      </c>
      <c r="M237" s="2" t="s">
        <v>1981</v>
      </c>
      <c r="N237" s="2" t="s">
        <v>1982</v>
      </c>
      <c r="O237" s="2" t="s">
        <v>1983</v>
      </c>
      <c r="P237" s="2" t="s">
        <v>1984</v>
      </c>
      <c r="Q237" s="2"/>
      <c r="R237" s="2"/>
      <c r="S237" s="2" t="s">
        <v>1985</v>
      </c>
      <c r="T237" s="2">
        <v>361399</v>
      </c>
      <c r="U237" s="2"/>
      <c r="V237" s="2" t="s">
        <v>1986</v>
      </c>
      <c r="W237" s="2"/>
      <c r="X237" s="2" t="s">
        <v>1508</v>
      </c>
      <c r="Y237" s="2" t="s">
        <v>1987</v>
      </c>
      <c r="Z237" s="2" t="s">
        <v>1510</v>
      </c>
      <c r="AA237" s="2" t="s">
        <v>1511</v>
      </c>
      <c r="AB237" s="2"/>
      <c r="AC237" s="2" t="s">
        <v>1513</v>
      </c>
      <c r="AD237" s="2" t="s">
        <v>1988</v>
      </c>
    </row>
    <row r="238" spans="1:30" x14ac:dyDescent="0.45">
      <c r="A238" s="2" t="s">
        <v>2144</v>
      </c>
      <c r="B238" s="2" t="s">
        <v>2145</v>
      </c>
      <c r="C238" s="2" t="s">
        <v>2146</v>
      </c>
      <c r="D238" s="2" t="s">
        <v>2147</v>
      </c>
      <c r="E238" s="2">
        <v>2024</v>
      </c>
      <c r="F238" s="2" t="s">
        <v>2148</v>
      </c>
      <c r="G238" s="2" t="s">
        <v>2149</v>
      </c>
      <c r="H238" s="2"/>
      <c r="I238" s="2">
        <v>205225</v>
      </c>
      <c r="J238" s="2"/>
      <c r="K238" s="2"/>
      <c r="L238" s="2">
        <v>3</v>
      </c>
      <c r="M238" s="2" t="s">
        <v>2150</v>
      </c>
      <c r="N238" s="2" t="s">
        <v>2151</v>
      </c>
      <c r="O238" s="2" t="s">
        <v>2152</v>
      </c>
      <c r="P238" s="2" t="s">
        <v>2153</v>
      </c>
      <c r="Q238" s="2" t="s">
        <v>2154</v>
      </c>
      <c r="R238" s="2"/>
      <c r="S238" s="2" t="s">
        <v>1524</v>
      </c>
      <c r="T238" s="2">
        <v>431648</v>
      </c>
      <c r="U238" s="2"/>
      <c r="V238" s="2" t="s">
        <v>2155</v>
      </c>
      <c r="W238" s="2"/>
      <c r="X238" s="2" t="s">
        <v>1508</v>
      </c>
      <c r="Y238" s="2" t="s">
        <v>2148</v>
      </c>
      <c r="Z238" s="2" t="s">
        <v>1510</v>
      </c>
      <c r="AA238" s="2" t="s">
        <v>1511</v>
      </c>
      <c r="AB238" s="2"/>
      <c r="AC238" s="2" t="s">
        <v>1513</v>
      </c>
      <c r="AD238" s="2" t="s">
        <v>2156</v>
      </c>
    </row>
    <row r="239" spans="1:30" x14ac:dyDescent="0.45">
      <c r="A239" s="2" t="s">
        <v>2157</v>
      </c>
      <c r="B239" s="2" t="s">
        <v>2158</v>
      </c>
      <c r="C239" s="2" t="s">
        <v>2159</v>
      </c>
      <c r="D239" s="2" t="s">
        <v>2160</v>
      </c>
      <c r="E239" s="2">
        <v>2024</v>
      </c>
      <c r="F239" s="2" t="s">
        <v>2161</v>
      </c>
      <c r="G239" s="2">
        <v>19</v>
      </c>
      <c r="H239" s="2">
        <v>2</v>
      </c>
      <c r="I239" s="2" t="s">
        <v>2162</v>
      </c>
      <c r="J239" s="2"/>
      <c r="K239" s="2"/>
      <c r="L239" s="2">
        <v>3</v>
      </c>
      <c r="M239" s="2" t="s">
        <v>2163</v>
      </c>
      <c r="N239" s="2" t="s">
        <v>2164</v>
      </c>
      <c r="O239" s="2" t="s">
        <v>2165</v>
      </c>
      <c r="P239" s="2" t="s">
        <v>2166</v>
      </c>
      <c r="Q239" s="2" t="s">
        <v>2167</v>
      </c>
      <c r="R239" s="2"/>
      <c r="S239" s="2" t="s">
        <v>1551</v>
      </c>
      <c r="T239" s="2">
        <v>17480221</v>
      </c>
      <c r="U239" s="2"/>
      <c r="V239" s="2"/>
      <c r="W239" s="2"/>
      <c r="X239" s="2" t="s">
        <v>1508</v>
      </c>
      <c r="Y239" s="2" t="s">
        <v>2168</v>
      </c>
      <c r="Z239" s="2" t="s">
        <v>1510</v>
      </c>
      <c r="AA239" s="2" t="s">
        <v>1511</v>
      </c>
      <c r="AB239" s="2" t="s">
        <v>1512</v>
      </c>
      <c r="AC239" s="2" t="s">
        <v>1513</v>
      </c>
      <c r="AD239" s="2" t="s">
        <v>2169</v>
      </c>
    </row>
    <row r="240" spans="1:30" x14ac:dyDescent="0.45">
      <c r="A240" s="2" t="s">
        <v>2218</v>
      </c>
      <c r="B240" s="2" t="s">
        <v>2219</v>
      </c>
      <c r="C240" s="2" t="s">
        <v>2220</v>
      </c>
      <c r="D240" s="2" t="s">
        <v>1201</v>
      </c>
      <c r="E240" s="2">
        <v>2024</v>
      </c>
      <c r="F240" s="2" t="s">
        <v>2221</v>
      </c>
      <c r="G240" s="2"/>
      <c r="H240" s="2"/>
      <c r="I240" s="2"/>
      <c r="J240" s="2"/>
      <c r="K240" s="2"/>
      <c r="L240" s="2">
        <v>3</v>
      </c>
      <c r="M240" s="2" t="s">
        <v>2222</v>
      </c>
      <c r="N240" s="2" t="s">
        <v>2223</v>
      </c>
      <c r="O240" s="2" t="s">
        <v>1735</v>
      </c>
      <c r="P240" s="2" t="s">
        <v>2224</v>
      </c>
      <c r="Q240" s="2" t="s">
        <v>2225</v>
      </c>
      <c r="R240" s="2"/>
      <c r="S240" s="2" t="s">
        <v>2226</v>
      </c>
      <c r="T240" s="2">
        <v>19300395</v>
      </c>
      <c r="U240" s="2" t="s">
        <v>2227</v>
      </c>
      <c r="V240" s="2"/>
      <c r="W240" s="2"/>
      <c r="X240" s="2" t="s">
        <v>1508</v>
      </c>
      <c r="Y240" s="2" t="s">
        <v>2228</v>
      </c>
      <c r="Z240" s="2" t="s">
        <v>1741</v>
      </c>
      <c r="AA240" s="2" t="s">
        <v>1511</v>
      </c>
      <c r="AB240" s="2"/>
      <c r="AC240" s="2" t="s">
        <v>1513</v>
      </c>
      <c r="AD240" s="2" t="s">
        <v>2229</v>
      </c>
    </row>
    <row r="241" spans="1:30" x14ac:dyDescent="0.45">
      <c r="A241" s="2" t="s">
        <v>2479</v>
      </c>
      <c r="B241" s="2" t="s">
        <v>2480</v>
      </c>
      <c r="C241" s="2" t="s">
        <v>2481</v>
      </c>
      <c r="D241" s="2" t="s">
        <v>2482</v>
      </c>
      <c r="E241" s="2">
        <v>2023</v>
      </c>
      <c r="F241" s="2" t="s">
        <v>2483</v>
      </c>
      <c r="G241" s="2">
        <v>134</v>
      </c>
      <c r="H241" s="2">
        <v>16</v>
      </c>
      <c r="I241" s="2">
        <v>163902</v>
      </c>
      <c r="J241" s="2"/>
      <c r="K241" s="2"/>
      <c r="L241" s="2">
        <v>3</v>
      </c>
      <c r="M241" s="2" t="s">
        <v>2484</v>
      </c>
      <c r="N241" s="2" t="s">
        <v>2485</v>
      </c>
      <c r="O241" s="2" t="s">
        <v>2486</v>
      </c>
      <c r="P241" s="2" t="s">
        <v>2487</v>
      </c>
      <c r="Q241" s="2" t="s">
        <v>2488</v>
      </c>
      <c r="R241" s="2"/>
      <c r="S241" s="2" t="s">
        <v>2489</v>
      </c>
      <c r="T241" s="2">
        <v>218979</v>
      </c>
      <c r="U241" s="2" t="s">
        <v>2490</v>
      </c>
      <c r="V241" s="2" t="s">
        <v>2491</v>
      </c>
      <c r="W241" s="2"/>
      <c r="X241" s="2" t="s">
        <v>1508</v>
      </c>
      <c r="Y241" s="2" t="s">
        <v>2492</v>
      </c>
      <c r="Z241" s="2" t="s">
        <v>1510</v>
      </c>
      <c r="AA241" s="2" t="s">
        <v>1511</v>
      </c>
      <c r="AB241" s="2"/>
      <c r="AC241" s="2" t="s">
        <v>1513</v>
      </c>
      <c r="AD241" s="2" t="s">
        <v>2493</v>
      </c>
    </row>
    <row r="242" spans="1:30" x14ac:dyDescent="0.45">
      <c r="A242" s="2" t="s">
        <v>2643</v>
      </c>
      <c r="B242" s="2" t="s">
        <v>2644</v>
      </c>
      <c r="C242" s="2" t="s">
        <v>2645</v>
      </c>
      <c r="D242" s="2" t="s">
        <v>2646</v>
      </c>
      <c r="E242" s="2">
        <v>2023</v>
      </c>
      <c r="F242" s="2" t="s">
        <v>2647</v>
      </c>
      <c r="G242" s="2">
        <v>131</v>
      </c>
      <c r="H242" s="2">
        <v>4</v>
      </c>
      <c r="I242" s="2">
        <v>49701</v>
      </c>
      <c r="J242" s="2"/>
      <c r="K242" s="2"/>
      <c r="L242" s="2">
        <v>3</v>
      </c>
      <c r="M242" s="2" t="s">
        <v>2648</v>
      </c>
      <c r="N242" s="2" t="s">
        <v>2649</v>
      </c>
      <c r="O242" s="2" t="s">
        <v>2650</v>
      </c>
      <c r="P242" s="2" t="s">
        <v>2651</v>
      </c>
      <c r="Q242" s="2"/>
      <c r="R242" s="2"/>
      <c r="S242" s="2" t="s">
        <v>1803</v>
      </c>
      <c r="T242" s="2">
        <v>319007</v>
      </c>
      <c r="U242" s="2"/>
      <c r="V242" s="2" t="s">
        <v>2652</v>
      </c>
      <c r="W242" s="2">
        <v>37566842</v>
      </c>
      <c r="X242" s="2" t="s">
        <v>1508</v>
      </c>
      <c r="Y242" s="2" t="s">
        <v>2653</v>
      </c>
      <c r="Z242" s="2" t="s">
        <v>2654</v>
      </c>
      <c r="AA242" s="2" t="s">
        <v>1511</v>
      </c>
      <c r="AB242" s="2" t="s">
        <v>2007</v>
      </c>
      <c r="AC242" s="2" t="s">
        <v>1513</v>
      </c>
      <c r="AD242" s="2" t="s">
        <v>2655</v>
      </c>
    </row>
    <row r="243" spans="1:30" x14ac:dyDescent="0.45">
      <c r="A243" s="2" t="s">
        <v>2726</v>
      </c>
      <c r="B243" s="2" t="s">
        <v>2727</v>
      </c>
      <c r="C243" s="2" t="s">
        <v>2728</v>
      </c>
      <c r="D243" s="2" t="s">
        <v>2729</v>
      </c>
      <c r="E243" s="2">
        <v>2023</v>
      </c>
      <c r="F243" s="2" t="s">
        <v>2730</v>
      </c>
      <c r="G243" s="2">
        <v>16</v>
      </c>
      <c r="H243" s="2">
        <v>7</v>
      </c>
      <c r="I243" s="2"/>
      <c r="J243" s="2">
        <v>1214</v>
      </c>
      <c r="K243" s="2">
        <v>1226</v>
      </c>
      <c r="L243" s="2">
        <v>3</v>
      </c>
      <c r="M243" s="2" t="s">
        <v>2731</v>
      </c>
      <c r="N243" s="2" t="s">
        <v>2732</v>
      </c>
      <c r="O243" s="2" t="s">
        <v>2733</v>
      </c>
      <c r="P243" s="2" t="s">
        <v>2734</v>
      </c>
      <c r="Q243" s="2" t="s">
        <v>2735</v>
      </c>
      <c r="R243" s="2"/>
      <c r="S243" s="2" t="s">
        <v>1715</v>
      </c>
      <c r="T243" s="2">
        <v>17554535</v>
      </c>
      <c r="U243" s="2"/>
      <c r="V243" s="2"/>
      <c r="W243" s="2"/>
      <c r="X243" s="2" t="s">
        <v>1508</v>
      </c>
      <c r="Y243" s="2" t="s">
        <v>2736</v>
      </c>
      <c r="Z243" s="2" t="s">
        <v>1510</v>
      </c>
      <c r="AA243" s="2" t="s">
        <v>1511</v>
      </c>
      <c r="AB243" s="2" t="s">
        <v>1591</v>
      </c>
      <c r="AC243" s="2" t="s">
        <v>1513</v>
      </c>
      <c r="AD243" s="2" t="s">
        <v>2737</v>
      </c>
    </row>
    <row r="244" spans="1:30" x14ac:dyDescent="0.45">
      <c r="A244" s="2" t="s">
        <v>2827</v>
      </c>
      <c r="B244" s="2" t="s">
        <v>2828</v>
      </c>
      <c r="C244" s="2">
        <v>57190429720</v>
      </c>
      <c r="D244" s="2" t="s">
        <v>346</v>
      </c>
      <c r="E244" s="2">
        <v>2023</v>
      </c>
      <c r="F244" s="2" t="s">
        <v>2829</v>
      </c>
      <c r="G244" s="2">
        <v>47</v>
      </c>
      <c r="H244" s="2"/>
      <c r="I244" s="2">
        <v>103800</v>
      </c>
      <c r="J244" s="2"/>
      <c r="K244" s="2"/>
      <c r="L244" s="2">
        <v>3</v>
      </c>
      <c r="M244" s="2" t="s">
        <v>2830</v>
      </c>
      <c r="N244" s="2" t="s">
        <v>2831</v>
      </c>
      <c r="O244" s="2" t="s">
        <v>2832</v>
      </c>
      <c r="P244" s="2" t="s">
        <v>2833</v>
      </c>
      <c r="Q244" s="2"/>
      <c r="R244" s="2"/>
      <c r="S244" s="2" t="s">
        <v>1524</v>
      </c>
      <c r="T244" s="2" t="s">
        <v>2834</v>
      </c>
      <c r="U244" s="2"/>
      <c r="V244" s="2"/>
      <c r="W244" s="2"/>
      <c r="X244" s="2" t="s">
        <v>1508</v>
      </c>
      <c r="Y244" s="2" t="s">
        <v>2835</v>
      </c>
      <c r="Z244" s="2" t="s">
        <v>1510</v>
      </c>
      <c r="AA244" s="2" t="s">
        <v>1511</v>
      </c>
      <c r="AB244" s="2"/>
      <c r="AC244" s="2" t="s">
        <v>1513</v>
      </c>
      <c r="AD244" s="2" t="s">
        <v>2836</v>
      </c>
    </row>
    <row r="245" spans="1:30" x14ac:dyDescent="0.45">
      <c r="A245" s="2" t="s">
        <v>2906</v>
      </c>
      <c r="B245" s="2" t="s">
        <v>2907</v>
      </c>
      <c r="C245" s="2">
        <v>7202782646</v>
      </c>
      <c r="D245" s="2" t="s">
        <v>2908</v>
      </c>
      <c r="E245" s="2">
        <v>2023</v>
      </c>
      <c r="F245" s="2" t="s">
        <v>2909</v>
      </c>
      <c r="G245" s="2"/>
      <c r="H245" s="2"/>
      <c r="I245" s="2"/>
      <c r="J245" s="2"/>
      <c r="K245" s="2"/>
      <c r="L245" s="2">
        <v>3</v>
      </c>
      <c r="M245" s="2" t="s">
        <v>2910</v>
      </c>
      <c r="N245" s="2" t="s">
        <v>2911</v>
      </c>
      <c r="O245" s="2" t="s">
        <v>2912</v>
      </c>
      <c r="P245" s="2" t="s">
        <v>2913</v>
      </c>
      <c r="Q245" s="2" t="s">
        <v>2914</v>
      </c>
      <c r="R245" s="2"/>
      <c r="S245" s="2" t="s">
        <v>2226</v>
      </c>
      <c r="T245" s="2"/>
      <c r="U245" s="3">
        <v>9798350000000</v>
      </c>
      <c r="V245" s="2"/>
      <c r="W245" s="2"/>
      <c r="X245" s="2" t="s">
        <v>1508</v>
      </c>
      <c r="Y245" s="2" t="s">
        <v>2915</v>
      </c>
      <c r="Z245" s="2" t="s">
        <v>1741</v>
      </c>
      <c r="AA245" s="2" t="s">
        <v>1511</v>
      </c>
      <c r="AB245" s="2"/>
      <c r="AC245" s="2" t="s">
        <v>1513</v>
      </c>
      <c r="AD245" s="2" t="s">
        <v>2916</v>
      </c>
    </row>
    <row r="246" spans="1:30" x14ac:dyDescent="0.45">
      <c r="A246" s="2" t="s">
        <v>2977</v>
      </c>
      <c r="B246" s="2" t="s">
        <v>2978</v>
      </c>
      <c r="C246" s="2" t="s">
        <v>2979</v>
      </c>
      <c r="D246" s="2" t="s">
        <v>1058</v>
      </c>
      <c r="E246" s="2">
        <v>2023</v>
      </c>
      <c r="F246" s="2" t="s">
        <v>2234</v>
      </c>
      <c r="G246" s="2">
        <v>2</v>
      </c>
      <c r="H246" s="2">
        <v>1</v>
      </c>
      <c r="I246" s="2"/>
      <c r="J246" s="2">
        <v>11</v>
      </c>
      <c r="K246" s="2">
        <v>17</v>
      </c>
      <c r="L246" s="2">
        <v>3</v>
      </c>
      <c r="M246" s="2" t="s">
        <v>2980</v>
      </c>
      <c r="N246" s="2" t="s">
        <v>2981</v>
      </c>
      <c r="O246" s="2" t="s">
        <v>2982</v>
      </c>
      <c r="P246" s="2" t="s">
        <v>2983</v>
      </c>
      <c r="Q246" s="2" t="s">
        <v>2984</v>
      </c>
      <c r="R246" s="2"/>
      <c r="S246" s="2" t="s">
        <v>2240</v>
      </c>
      <c r="T246" s="2" t="s">
        <v>2241</v>
      </c>
      <c r="U246" s="2"/>
      <c r="V246" s="2"/>
      <c r="W246" s="2"/>
      <c r="X246" s="2" t="s">
        <v>1508</v>
      </c>
      <c r="Y246" s="2" t="s">
        <v>2242</v>
      </c>
      <c r="Z246" s="2" t="s">
        <v>1510</v>
      </c>
      <c r="AA246" s="2" t="s">
        <v>1511</v>
      </c>
      <c r="AB246" s="2"/>
      <c r="AC246" s="2" t="s">
        <v>1513</v>
      </c>
      <c r="AD246" s="2" t="s">
        <v>2985</v>
      </c>
    </row>
    <row r="247" spans="1:30" x14ac:dyDescent="0.45">
      <c r="A247" s="2" t="s">
        <v>3000</v>
      </c>
      <c r="B247" s="2" t="s">
        <v>3001</v>
      </c>
      <c r="C247" s="2" t="s">
        <v>3002</v>
      </c>
      <c r="D247" s="2" t="s">
        <v>3003</v>
      </c>
      <c r="E247" s="2">
        <v>2023</v>
      </c>
      <c r="F247" s="2" t="s">
        <v>3003</v>
      </c>
      <c r="G247" s="2"/>
      <c r="H247" s="2"/>
      <c r="I247" s="2"/>
      <c r="J247" s="2">
        <v>1</v>
      </c>
      <c r="K247" s="2">
        <v>184</v>
      </c>
      <c r="L247" s="2">
        <v>3</v>
      </c>
      <c r="M247" s="2" t="s">
        <v>3004</v>
      </c>
      <c r="N247" s="2" t="s">
        <v>3005</v>
      </c>
      <c r="O247" s="2" t="s">
        <v>3006</v>
      </c>
      <c r="P247" s="2" t="s">
        <v>3007</v>
      </c>
      <c r="Q247" s="2"/>
      <c r="R247" s="2"/>
      <c r="S247" s="2" t="s">
        <v>2366</v>
      </c>
      <c r="T247" s="2"/>
      <c r="U247" s="2" t="s">
        <v>3008</v>
      </c>
      <c r="V247" s="2"/>
      <c r="W247" s="2"/>
      <c r="X247" s="2" t="s">
        <v>1508</v>
      </c>
      <c r="Y247" s="2" t="s">
        <v>3003</v>
      </c>
      <c r="Z247" s="2" t="s">
        <v>2326</v>
      </c>
      <c r="AA247" s="2" t="s">
        <v>1511</v>
      </c>
      <c r="AB247" s="2" t="s">
        <v>1603</v>
      </c>
      <c r="AC247" s="2" t="s">
        <v>1513</v>
      </c>
      <c r="AD247" s="2" t="s">
        <v>3009</v>
      </c>
    </row>
    <row r="248" spans="1:30" x14ac:dyDescent="0.45">
      <c r="A248" s="2" t="s">
        <v>3196</v>
      </c>
      <c r="B248" s="2" t="s">
        <v>3197</v>
      </c>
      <c r="C248" s="2" t="s">
        <v>3198</v>
      </c>
      <c r="D248" s="2" t="s">
        <v>1155</v>
      </c>
      <c r="E248" s="2">
        <v>2022</v>
      </c>
      <c r="F248" s="2" t="s">
        <v>2161</v>
      </c>
      <c r="G248" s="2">
        <v>17</v>
      </c>
      <c r="H248" s="2">
        <v>11</v>
      </c>
      <c r="I248" s="2" t="s">
        <v>3199</v>
      </c>
      <c r="J248" s="2"/>
      <c r="K248" s="2"/>
      <c r="L248" s="2">
        <v>3</v>
      </c>
      <c r="M248" s="2" t="s">
        <v>3200</v>
      </c>
      <c r="N248" s="2" t="s">
        <v>3201</v>
      </c>
      <c r="O248" s="2" t="s">
        <v>3202</v>
      </c>
      <c r="P248" s="2" t="s">
        <v>3203</v>
      </c>
      <c r="Q248" s="2" t="s">
        <v>3204</v>
      </c>
      <c r="R248" s="2"/>
      <c r="S248" s="2" t="s">
        <v>1551</v>
      </c>
      <c r="T248" s="2">
        <v>17480221</v>
      </c>
      <c r="U248" s="2"/>
      <c r="V248" s="2"/>
      <c r="W248" s="2"/>
      <c r="X248" s="2" t="s">
        <v>1508</v>
      </c>
      <c r="Y248" s="2" t="s">
        <v>2168</v>
      </c>
      <c r="Z248" s="2" t="s">
        <v>1741</v>
      </c>
      <c r="AA248" s="2" t="s">
        <v>1511</v>
      </c>
      <c r="AB248" s="2" t="s">
        <v>1512</v>
      </c>
      <c r="AC248" s="2" t="s">
        <v>1513</v>
      </c>
      <c r="AD248" s="2" t="s">
        <v>3205</v>
      </c>
    </row>
    <row r="249" spans="1:30" x14ac:dyDescent="0.45">
      <c r="A249" s="2" t="s">
        <v>3593</v>
      </c>
      <c r="B249" s="2" t="s">
        <v>3594</v>
      </c>
      <c r="C249" s="2" t="s">
        <v>3595</v>
      </c>
      <c r="D249" s="2" t="s">
        <v>3596</v>
      </c>
      <c r="E249" s="2">
        <v>2022</v>
      </c>
      <c r="F249" s="2" t="s">
        <v>3597</v>
      </c>
      <c r="G249" s="2">
        <v>6</v>
      </c>
      <c r="H249" s="2">
        <v>2</v>
      </c>
      <c r="I249" s="2">
        <v>2100992</v>
      </c>
      <c r="J249" s="2"/>
      <c r="K249" s="2"/>
      <c r="L249" s="2">
        <v>3</v>
      </c>
      <c r="M249" s="2" t="s">
        <v>3598</v>
      </c>
      <c r="N249" s="2" t="s">
        <v>3599</v>
      </c>
      <c r="O249" s="2" t="s">
        <v>3600</v>
      </c>
      <c r="P249" s="2" t="s">
        <v>3601</v>
      </c>
      <c r="Q249" s="2" t="s">
        <v>3602</v>
      </c>
      <c r="R249" s="2"/>
      <c r="S249" s="2" t="s">
        <v>1715</v>
      </c>
      <c r="T249" s="2"/>
      <c r="U249" s="2"/>
      <c r="V249" s="2"/>
      <c r="W249" s="2"/>
      <c r="X249" s="2" t="s">
        <v>1508</v>
      </c>
      <c r="Y249" s="2" t="s">
        <v>3597</v>
      </c>
      <c r="Z249" s="2" t="s">
        <v>1510</v>
      </c>
      <c r="AA249" s="2" t="s">
        <v>1511</v>
      </c>
      <c r="AB249" s="2"/>
      <c r="AC249" s="2" t="s">
        <v>1513</v>
      </c>
      <c r="AD249" s="2" t="s">
        <v>3603</v>
      </c>
    </row>
    <row r="250" spans="1:30" x14ac:dyDescent="0.45">
      <c r="A250" s="2" t="s">
        <v>3604</v>
      </c>
      <c r="B250" s="2" t="s">
        <v>3605</v>
      </c>
      <c r="C250" s="2" t="s">
        <v>3606</v>
      </c>
      <c r="D250" s="2" t="s">
        <v>1079</v>
      </c>
      <c r="E250" s="2">
        <v>2022</v>
      </c>
      <c r="F250" s="2" t="s">
        <v>3607</v>
      </c>
      <c r="G250" s="2">
        <v>183</v>
      </c>
      <c r="H250" s="2"/>
      <c r="I250" s="2">
        <v>122098</v>
      </c>
      <c r="J250" s="2"/>
      <c r="K250" s="2"/>
      <c r="L250" s="2">
        <v>3</v>
      </c>
      <c r="M250" s="2" t="s">
        <v>3608</v>
      </c>
      <c r="N250" s="2" t="s">
        <v>3609</v>
      </c>
      <c r="O250" s="2" t="s">
        <v>1561</v>
      </c>
      <c r="P250" s="2" t="s">
        <v>3610</v>
      </c>
      <c r="Q250" s="2" t="s">
        <v>3611</v>
      </c>
      <c r="R250" s="2"/>
      <c r="S250" s="2" t="s">
        <v>1524</v>
      </c>
      <c r="T250" s="2">
        <v>179310</v>
      </c>
      <c r="U250" s="2"/>
      <c r="V250" s="2" t="s">
        <v>3612</v>
      </c>
      <c r="W250" s="2"/>
      <c r="X250" s="2" t="s">
        <v>1508</v>
      </c>
      <c r="Y250" s="2" t="s">
        <v>3613</v>
      </c>
      <c r="Z250" s="2" t="s">
        <v>1510</v>
      </c>
      <c r="AA250" s="2" t="s">
        <v>1511</v>
      </c>
      <c r="AB250" s="2"/>
      <c r="AC250" s="2" t="s">
        <v>1513</v>
      </c>
      <c r="AD250" s="2" t="s">
        <v>3614</v>
      </c>
    </row>
    <row r="251" spans="1:30" x14ac:dyDescent="0.45">
      <c r="A251" s="2" t="s">
        <v>4055</v>
      </c>
      <c r="B251" s="2" t="s">
        <v>4056</v>
      </c>
      <c r="C251" s="2" t="s">
        <v>4057</v>
      </c>
      <c r="D251" s="2" t="s">
        <v>4058</v>
      </c>
      <c r="E251" s="2">
        <v>2021</v>
      </c>
      <c r="F251" s="2" t="s">
        <v>4059</v>
      </c>
      <c r="G251" s="2">
        <v>45</v>
      </c>
      <c r="H251" s="2">
        <v>26</v>
      </c>
      <c r="I251" s="2"/>
      <c r="J251" s="2">
        <v>11786</v>
      </c>
      <c r="K251" s="2">
        <v>11796</v>
      </c>
      <c r="L251" s="2">
        <v>3</v>
      </c>
      <c r="M251" s="2" t="s">
        <v>4060</v>
      </c>
      <c r="N251" s="2" t="s">
        <v>4061</v>
      </c>
      <c r="O251" s="2" t="s">
        <v>1870</v>
      </c>
      <c r="P251" s="2" t="s">
        <v>4062</v>
      </c>
      <c r="Q251" s="2" t="s">
        <v>4063</v>
      </c>
      <c r="R251" s="2"/>
      <c r="S251" s="2" t="s">
        <v>1884</v>
      </c>
      <c r="T251" s="2">
        <v>11440546</v>
      </c>
      <c r="U251" s="2"/>
      <c r="V251" s="2" t="s">
        <v>4064</v>
      </c>
      <c r="W251" s="2"/>
      <c r="X251" s="2" t="s">
        <v>1508</v>
      </c>
      <c r="Y251" s="2" t="s">
        <v>4065</v>
      </c>
      <c r="Z251" s="2" t="s">
        <v>1510</v>
      </c>
      <c r="AA251" s="2" t="s">
        <v>1511</v>
      </c>
      <c r="AB251" s="2"/>
      <c r="AC251" s="2" t="s">
        <v>1513</v>
      </c>
      <c r="AD251" s="2" t="s">
        <v>4066</v>
      </c>
    </row>
    <row r="252" spans="1:30" x14ac:dyDescent="0.45">
      <c r="A252" s="2" t="s">
        <v>4386</v>
      </c>
      <c r="B252" s="2" t="s">
        <v>4387</v>
      </c>
      <c r="C252" s="2" t="s">
        <v>4388</v>
      </c>
      <c r="D252" s="2" t="s">
        <v>4389</v>
      </c>
      <c r="E252" s="2">
        <v>2021</v>
      </c>
      <c r="F252" s="2" t="s">
        <v>4390</v>
      </c>
      <c r="G252" s="2">
        <v>59</v>
      </c>
      <c r="H252" s="2">
        <v>5</v>
      </c>
      <c r="I252" s="2"/>
      <c r="J252" s="2">
        <v>1319</v>
      </c>
      <c r="K252" s="2">
        <v>1330</v>
      </c>
      <c r="L252" s="2">
        <v>3</v>
      </c>
      <c r="M252" s="2" t="s">
        <v>4391</v>
      </c>
      <c r="N252" s="2" t="s">
        <v>4392</v>
      </c>
      <c r="O252" s="2" t="s">
        <v>4393</v>
      </c>
      <c r="P252" s="2" t="s">
        <v>4394</v>
      </c>
      <c r="Q252" s="2" t="s">
        <v>4395</v>
      </c>
      <c r="R252" s="2"/>
      <c r="S252" s="2" t="s">
        <v>4396</v>
      </c>
      <c r="T252" s="2">
        <v>207543</v>
      </c>
      <c r="U252" s="2"/>
      <c r="V252" s="2" t="s">
        <v>4397</v>
      </c>
      <c r="W252" s="2"/>
      <c r="X252" s="2" t="s">
        <v>1508</v>
      </c>
      <c r="Y252" s="2" t="s">
        <v>4398</v>
      </c>
      <c r="Z252" s="2" t="s">
        <v>1510</v>
      </c>
      <c r="AA252" s="2" t="s">
        <v>1511</v>
      </c>
      <c r="AB252" s="2"/>
      <c r="AC252" s="2" t="s">
        <v>1513</v>
      </c>
      <c r="AD252" s="2" t="s">
        <v>4399</v>
      </c>
    </row>
    <row r="253" spans="1:30" x14ac:dyDescent="0.45">
      <c r="A253" s="2" t="s">
        <v>5037</v>
      </c>
      <c r="B253" s="2" t="s">
        <v>5038</v>
      </c>
      <c r="C253" s="2" t="s">
        <v>5039</v>
      </c>
      <c r="D253" s="2" t="s">
        <v>5040</v>
      </c>
      <c r="E253" s="2">
        <v>2020</v>
      </c>
      <c r="F253" s="2" t="s">
        <v>5041</v>
      </c>
      <c r="G253" s="2">
        <v>126</v>
      </c>
      <c r="H253" s="2"/>
      <c r="I253" s="2">
        <v>104695</v>
      </c>
      <c r="J253" s="2"/>
      <c r="K253" s="2"/>
      <c r="L253" s="2">
        <v>3</v>
      </c>
      <c r="M253" s="2" t="s">
        <v>5042</v>
      </c>
      <c r="N253" s="2" t="s">
        <v>5043</v>
      </c>
      <c r="O253" s="2" t="s">
        <v>5044</v>
      </c>
      <c r="P253" s="2" t="s">
        <v>5045</v>
      </c>
      <c r="Q253" s="2" t="s">
        <v>5046</v>
      </c>
      <c r="R253" s="2"/>
      <c r="S253" s="2" t="s">
        <v>1524</v>
      </c>
      <c r="T253" s="2" t="s">
        <v>5047</v>
      </c>
      <c r="U253" s="2"/>
      <c r="V253" s="2"/>
      <c r="W253" s="2"/>
      <c r="X253" s="2" t="s">
        <v>1508</v>
      </c>
      <c r="Y253" s="2" t="s">
        <v>5048</v>
      </c>
      <c r="Z253" s="2" t="s">
        <v>1510</v>
      </c>
      <c r="AA253" s="2" t="s">
        <v>1511</v>
      </c>
      <c r="AB253" s="2" t="s">
        <v>2007</v>
      </c>
      <c r="AC253" s="2" t="s">
        <v>1513</v>
      </c>
      <c r="AD253" s="2" t="s">
        <v>5049</v>
      </c>
    </row>
    <row r="254" spans="1:30" x14ac:dyDescent="0.45">
      <c r="A254" s="2" t="s">
        <v>1528</v>
      </c>
      <c r="B254" s="2" t="s">
        <v>1529</v>
      </c>
      <c r="C254" s="2" t="s">
        <v>1530</v>
      </c>
      <c r="D254" s="2" t="s">
        <v>1133</v>
      </c>
      <c r="E254" s="2">
        <v>2024</v>
      </c>
      <c r="F254" s="2" t="s">
        <v>1531</v>
      </c>
      <c r="G254" s="2">
        <v>190</v>
      </c>
      <c r="H254" s="2"/>
      <c r="I254" s="2"/>
      <c r="J254" s="2">
        <v>133</v>
      </c>
      <c r="K254" s="2">
        <v>151</v>
      </c>
      <c r="L254" s="2">
        <v>2</v>
      </c>
      <c r="M254" s="2" t="s">
        <v>1532</v>
      </c>
      <c r="N254" s="2" t="s">
        <v>1533</v>
      </c>
      <c r="O254" s="2" t="s">
        <v>1534</v>
      </c>
      <c r="P254" s="2" t="s">
        <v>1535</v>
      </c>
      <c r="Q254" s="2" t="s">
        <v>1536</v>
      </c>
      <c r="R254" s="2"/>
      <c r="S254" s="2" t="s">
        <v>1537</v>
      </c>
      <c r="T254" s="2">
        <v>17427061</v>
      </c>
      <c r="U254" s="2"/>
      <c r="V254" s="2"/>
      <c r="W254" s="2">
        <v>39490605</v>
      </c>
      <c r="X254" s="2" t="s">
        <v>1508</v>
      </c>
      <c r="Y254" s="2" t="s">
        <v>1538</v>
      </c>
      <c r="Z254" s="2" t="s">
        <v>1510</v>
      </c>
      <c r="AA254" s="2" t="s">
        <v>1511</v>
      </c>
      <c r="AB254" s="2" t="s">
        <v>1539</v>
      </c>
      <c r="AC254" s="2" t="s">
        <v>1513</v>
      </c>
      <c r="AD254" s="2" t="s">
        <v>1540</v>
      </c>
    </row>
    <row r="255" spans="1:30" x14ac:dyDescent="0.45">
      <c r="A255" s="2" t="s">
        <v>1618</v>
      </c>
      <c r="B255" s="2" t="s">
        <v>1619</v>
      </c>
      <c r="C255" s="2" t="s">
        <v>1620</v>
      </c>
      <c r="D255" s="2" t="s">
        <v>1037</v>
      </c>
      <c r="E255" s="2">
        <v>2024</v>
      </c>
      <c r="F255" s="2" t="s">
        <v>1621</v>
      </c>
      <c r="G255" s="2">
        <v>50</v>
      </c>
      <c r="H255" s="2">
        <v>23</v>
      </c>
      <c r="I255" s="2"/>
      <c r="J255" s="2">
        <v>51858</v>
      </c>
      <c r="K255" s="2">
        <v>51862</v>
      </c>
      <c r="L255" s="2">
        <v>2</v>
      </c>
      <c r="M255" s="2" t="s">
        <v>1622</v>
      </c>
      <c r="N255" s="2" t="s">
        <v>1623</v>
      </c>
      <c r="O255" s="2" t="s">
        <v>1624</v>
      </c>
      <c r="P255" s="2" t="s">
        <v>1625</v>
      </c>
      <c r="Q255" s="2" t="s">
        <v>1626</v>
      </c>
      <c r="R255" s="2"/>
      <c r="S255" s="2" t="s">
        <v>1524</v>
      </c>
      <c r="T255" s="2">
        <v>2728842</v>
      </c>
      <c r="U255" s="2"/>
      <c r="V255" s="2" t="s">
        <v>1627</v>
      </c>
      <c r="W255" s="2"/>
      <c r="X255" s="2" t="s">
        <v>1508</v>
      </c>
      <c r="Y255" s="2" t="s">
        <v>1628</v>
      </c>
      <c r="Z255" s="2" t="s">
        <v>1510</v>
      </c>
      <c r="AA255" s="2" t="s">
        <v>1511</v>
      </c>
      <c r="AB255" s="2"/>
      <c r="AC255" s="2" t="s">
        <v>1513</v>
      </c>
      <c r="AD255" s="2" t="s">
        <v>1629</v>
      </c>
    </row>
    <row r="256" spans="1:30" x14ac:dyDescent="0.45">
      <c r="A256" s="2" t="s">
        <v>1761</v>
      </c>
      <c r="B256" s="2" t="s">
        <v>1762</v>
      </c>
      <c r="C256" s="2" t="s">
        <v>1763</v>
      </c>
      <c r="D256" s="2" t="s">
        <v>355</v>
      </c>
      <c r="E256" s="2">
        <v>2024</v>
      </c>
      <c r="F256" s="2" t="s">
        <v>1764</v>
      </c>
      <c r="G256" s="2">
        <v>32</v>
      </c>
      <c r="H256" s="2">
        <v>10</v>
      </c>
      <c r="I256" s="2"/>
      <c r="J256" s="2">
        <v>5195</v>
      </c>
      <c r="K256" s="2">
        <v>5211</v>
      </c>
      <c r="L256" s="2">
        <v>2</v>
      </c>
      <c r="M256" s="2" t="s">
        <v>1765</v>
      </c>
      <c r="N256" s="2" t="s">
        <v>1766</v>
      </c>
      <c r="O256" s="2" t="s">
        <v>1767</v>
      </c>
      <c r="P256" s="2" t="s">
        <v>1768</v>
      </c>
      <c r="Q256" s="2" t="s">
        <v>1769</v>
      </c>
      <c r="R256" s="2"/>
      <c r="S256" s="2" t="s">
        <v>1770</v>
      </c>
      <c r="T256" s="2">
        <v>15662543</v>
      </c>
      <c r="U256" s="2"/>
      <c r="V256" s="2" t="s">
        <v>1771</v>
      </c>
      <c r="W256" s="2"/>
      <c r="X256" s="2" t="s">
        <v>1508</v>
      </c>
      <c r="Y256" s="2" t="s">
        <v>1772</v>
      </c>
      <c r="Z256" s="2" t="s">
        <v>1510</v>
      </c>
      <c r="AA256" s="2" t="s">
        <v>1511</v>
      </c>
      <c r="AB256" s="2"/>
      <c r="AC256" s="2" t="s">
        <v>1513</v>
      </c>
      <c r="AD256" s="2" t="s">
        <v>1773</v>
      </c>
    </row>
    <row r="257" spans="1:30" x14ac:dyDescent="0.45">
      <c r="A257" s="2" t="s">
        <v>1718</v>
      </c>
      <c r="B257" s="2" t="s">
        <v>1719</v>
      </c>
      <c r="C257" s="2" t="s">
        <v>1720</v>
      </c>
      <c r="D257" s="2" t="s">
        <v>339</v>
      </c>
      <c r="E257" s="2">
        <v>2024</v>
      </c>
      <c r="F257" s="2" t="s">
        <v>1806</v>
      </c>
      <c r="G257" s="2">
        <v>315</v>
      </c>
      <c r="H257" s="2"/>
      <c r="I257" s="2">
        <v>118780</v>
      </c>
      <c r="J257" s="2"/>
      <c r="K257" s="2"/>
      <c r="L257" s="2">
        <v>2</v>
      </c>
      <c r="M257" s="2" t="s">
        <v>1807</v>
      </c>
      <c r="N257" s="2" t="s">
        <v>1808</v>
      </c>
      <c r="O257" s="2" t="s">
        <v>1561</v>
      </c>
      <c r="P257" s="2" t="s">
        <v>1724</v>
      </c>
      <c r="Q257" s="2" t="s">
        <v>1725</v>
      </c>
      <c r="R257" s="2"/>
      <c r="S257" s="2" t="s">
        <v>1524</v>
      </c>
      <c r="T257" s="2">
        <v>1968904</v>
      </c>
      <c r="U257" s="2"/>
      <c r="V257" s="2" t="s">
        <v>1809</v>
      </c>
      <c r="W257" s="2"/>
      <c r="X257" s="2" t="s">
        <v>1508</v>
      </c>
      <c r="Y257" s="2" t="s">
        <v>1810</v>
      </c>
      <c r="Z257" s="2" t="s">
        <v>1510</v>
      </c>
      <c r="AA257" s="2" t="s">
        <v>1511</v>
      </c>
      <c r="AB257" s="2" t="s">
        <v>1539</v>
      </c>
      <c r="AC257" s="2" t="s">
        <v>1513</v>
      </c>
      <c r="AD257" s="2" t="s">
        <v>1811</v>
      </c>
    </row>
    <row r="258" spans="1:30" x14ac:dyDescent="0.45">
      <c r="A258" s="2" t="s">
        <v>1812</v>
      </c>
      <c r="B258" s="2" t="s">
        <v>1813</v>
      </c>
      <c r="C258" s="2" t="s">
        <v>1814</v>
      </c>
      <c r="D258" s="2" t="s">
        <v>954</v>
      </c>
      <c r="E258" s="2">
        <v>2024</v>
      </c>
      <c r="F258" s="2" t="s">
        <v>1815</v>
      </c>
      <c r="G258" s="2">
        <v>22</v>
      </c>
      <c r="H258" s="2">
        <v>2</v>
      </c>
      <c r="I258" s="2">
        <v>24058</v>
      </c>
      <c r="J258" s="2"/>
      <c r="K258" s="2"/>
      <c r="L258" s="2">
        <v>2</v>
      </c>
      <c r="M258" s="2" t="s">
        <v>1816</v>
      </c>
      <c r="N258" s="2" t="s">
        <v>1817</v>
      </c>
      <c r="O258" s="2" t="s">
        <v>1818</v>
      </c>
      <c r="P258" s="2" t="s">
        <v>1819</v>
      </c>
      <c r="Q258" s="2" t="s">
        <v>1820</v>
      </c>
      <c r="R258" s="2"/>
      <c r="S258" s="2" t="s">
        <v>1803</v>
      </c>
      <c r="T258" s="2"/>
      <c r="U258" s="2"/>
      <c r="V258" s="2"/>
      <c r="W258" s="2"/>
      <c r="X258" s="2" t="s">
        <v>1508</v>
      </c>
      <c r="Y258" s="2" t="s">
        <v>1821</v>
      </c>
      <c r="Z258" s="2" t="s">
        <v>1510</v>
      </c>
      <c r="AA258" s="2" t="s">
        <v>1511</v>
      </c>
      <c r="AB258" s="2"/>
      <c r="AC258" s="2" t="s">
        <v>1513</v>
      </c>
      <c r="AD258" s="2" t="s">
        <v>1822</v>
      </c>
    </row>
    <row r="259" spans="1:30" x14ac:dyDescent="0.45">
      <c r="A259" s="2" t="s">
        <v>1989</v>
      </c>
      <c r="B259" s="2" t="s">
        <v>1990</v>
      </c>
      <c r="C259" s="2" t="s">
        <v>1991</v>
      </c>
      <c r="D259" s="2" t="s">
        <v>1014</v>
      </c>
      <c r="E259" s="2">
        <v>2024</v>
      </c>
      <c r="F259" s="2" t="s">
        <v>1797</v>
      </c>
      <c r="G259" s="2">
        <v>109</v>
      </c>
      <c r="H259" s="2">
        <v>22</v>
      </c>
      <c r="I259" s="2">
        <v>224421</v>
      </c>
      <c r="J259" s="2"/>
      <c r="K259" s="2"/>
      <c r="L259" s="2">
        <v>2</v>
      </c>
      <c r="M259" s="2" t="s">
        <v>1992</v>
      </c>
      <c r="N259" s="2" t="s">
        <v>1993</v>
      </c>
      <c r="O259" s="2" t="s">
        <v>1994</v>
      </c>
      <c r="P259" s="2" t="s">
        <v>1995</v>
      </c>
      <c r="Q259" s="2"/>
      <c r="R259" s="2"/>
      <c r="S259" s="2" t="s">
        <v>1803</v>
      </c>
      <c r="T259" s="2">
        <v>24699950</v>
      </c>
      <c r="U259" s="2"/>
      <c r="V259" s="2"/>
      <c r="W259" s="2"/>
      <c r="X259" s="2" t="s">
        <v>1508</v>
      </c>
      <c r="Y259" s="2" t="s">
        <v>1804</v>
      </c>
      <c r="Z259" s="2" t="s">
        <v>1510</v>
      </c>
      <c r="AA259" s="2" t="s">
        <v>1511</v>
      </c>
      <c r="AB259" s="2"/>
      <c r="AC259" s="2" t="s">
        <v>1513</v>
      </c>
      <c r="AD259" s="2" t="s">
        <v>1996</v>
      </c>
    </row>
    <row r="260" spans="1:30" x14ac:dyDescent="0.45">
      <c r="A260" s="2" t="s">
        <v>2063</v>
      </c>
      <c r="B260" s="2" t="s">
        <v>2064</v>
      </c>
      <c r="C260" s="2">
        <v>56150012800</v>
      </c>
      <c r="D260" s="2" t="s">
        <v>2065</v>
      </c>
      <c r="E260" s="2">
        <v>2024</v>
      </c>
      <c r="F260" s="2" t="s">
        <v>2066</v>
      </c>
      <c r="G260" s="2">
        <v>38</v>
      </c>
      <c r="H260" s="2">
        <v>10</v>
      </c>
      <c r="I260" s="2"/>
      <c r="J260" s="2">
        <v>1013</v>
      </c>
      <c r="K260" s="2">
        <v>1035</v>
      </c>
      <c r="L260" s="2">
        <v>2</v>
      </c>
      <c r="M260" s="2" t="s">
        <v>2067</v>
      </c>
      <c r="N260" s="2" t="s">
        <v>2068</v>
      </c>
      <c r="O260" s="2" t="s">
        <v>1969</v>
      </c>
      <c r="P260" s="2" t="s">
        <v>2069</v>
      </c>
      <c r="Q260" s="2" t="s">
        <v>2070</v>
      </c>
      <c r="R260" s="2"/>
      <c r="S260" s="2" t="s">
        <v>2071</v>
      </c>
      <c r="T260" s="2">
        <v>8853282</v>
      </c>
      <c r="U260" s="2"/>
      <c r="V260" s="2" t="s">
        <v>2072</v>
      </c>
      <c r="W260" s="2">
        <v>38502905</v>
      </c>
      <c r="X260" s="2" t="s">
        <v>1508</v>
      </c>
      <c r="Y260" s="2" t="s">
        <v>2073</v>
      </c>
      <c r="Z260" s="2" t="s">
        <v>1641</v>
      </c>
      <c r="AA260" s="2" t="s">
        <v>1511</v>
      </c>
      <c r="AB260" s="2" t="s">
        <v>1512</v>
      </c>
      <c r="AC260" s="2" t="s">
        <v>1513</v>
      </c>
      <c r="AD260" s="2" t="s">
        <v>2074</v>
      </c>
    </row>
    <row r="261" spans="1:30" x14ac:dyDescent="0.45">
      <c r="A261" s="2" t="s">
        <v>2075</v>
      </c>
      <c r="B261" s="2" t="s">
        <v>2076</v>
      </c>
      <c r="C261" s="2" t="s">
        <v>2077</v>
      </c>
      <c r="D261" s="2" t="s">
        <v>2078</v>
      </c>
      <c r="E261" s="2">
        <v>2024</v>
      </c>
      <c r="F261" s="2" t="s">
        <v>2079</v>
      </c>
      <c r="G261" s="2">
        <v>7</v>
      </c>
      <c r="H261" s="2">
        <v>7</v>
      </c>
      <c r="I261" s="2"/>
      <c r="J261" s="2">
        <v>7474</v>
      </c>
      <c r="K261" s="2">
        <v>7485</v>
      </c>
      <c r="L261" s="2">
        <v>2</v>
      </c>
      <c r="M261" s="2" t="s">
        <v>2080</v>
      </c>
      <c r="N261" s="2" t="s">
        <v>2081</v>
      </c>
      <c r="O261" s="2" t="s">
        <v>1735</v>
      </c>
      <c r="P261" s="2" t="s">
        <v>2082</v>
      </c>
      <c r="Q261" s="2" t="s">
        <v>1921</v>
      </c>
      <c r="R261" s="2"/>
      <c r="S261" s="2" t="s">
        <v>1783</v>
      </c>
      <c r="T261" s="2"/>
      <c r="U261" s="2"/>
      <c r="V261" s="2"/>
      <c r="W261" s="2"/>
      <c r="X261" s="2" t="s">
        <v>1508</v>
      </c>
      <c r="Y261" s="2" t="s">
        <v>2083</v>
      </c>
      <c r="Z261" s="2" t="s">
        <v>1510</v>
      </c>
      <c r="AA261" s="2" t="s">
        <v>1511</v>
      </c>
      <c r="AB261" s="2"/>
      <c r="AC261" s="2" t="s">
        <v>1513</v>
      </c>
      <c r="AD261" s="2" t="s">
        <v>2084</v>
      </c>
    </row>
    <row r="262" spans="1:30" x14ac:dyDescent="0.45">
      <c r="A262" s="2" t="s">
        <v>2181</v>
      </c>
      <c r="B262" s="2" t="s">
        <v>2182</v>
      </c>
      <c r="C262" s="2" t="s">
        <v>2183</v>
      </c>
      <c r="D262" s="2" t="s">
        <v>377</v>
      </c>
      <c r="E262" s="2">
        <v>2024</v>
      </c>
      <c r="F262" s="2" t="s">
        <v>2184</v>
      </c>
      <c r="G262" s="2">
        <v>31</v>
      </c>
      <c r="H262" s="2">
        <v>1</v>
      </c>
      <c r="I262" s="2"/>
      <c r="J262" s="2">
        <v>77</v>
      </c>
      <c r="K262" s="2">
        <v>84</v>
      </c>
      <c r="L262" s="2">
        <v>2</v>
      </c>
      <c r="M262" s="2" t="s">
        <v>2185</v>
      </c>
      <c r="N262" s="2" t="s">
        <v>2186</v>
      </c>
      <c r="O262" s="2" t="s">
        <v>1735</v>
      </c>
      <c r="P262" s="2" t="s">
        <v>2187</v>
      </c>
      <c r="Q262" s="2" t="s">
        <v>2188</v>
      </c>
      <c r="R262" s="2"/>
      <c r="S262" s="2" t="s">
        <v>1783</v>
      </c>
      <c r="T262" s="2" t="s">
        <v>2189</v>
      </c>
      <c r="U262" s="2"/>
      <c r="V262" s="2"/>
      <c r="W262" s="2"/>
      <c r="X262" s="2" t="s">
        <v>1508</v>
      </c>
      <c r="Y262" s="2" t="s">
        <v>2190</v>
      </c>
      <c r="Z262" s="2" t="s">
        <v>1510</v>
      </c>
      <c r="AA262" s="2" t="s">
        <v>1511</v>
      </c>
      <c r="AB262" s="2"/>
      <c r="AC262" s="2" t="s">
        <v>1513</v>
      </c>
      <c r="AD262" s="2" t="s">
        <v>2191</v>
      </c>
    </row>
    <row r="263" spans="1:30" x14ac:dyDescent="0.45">
      <c r="A263" s="2" t="s">
        <v>2192</v>
      </c>
      <c r="B263" s="2" t="s">
        <v>2193</v>
      </c>
      <c r="C263" s="2" t="s">
        <v>2194</v>
      </c>
      <c r="D263" s="2" t="s">
        <v>362</v>
      </c>
      <c r="E263" s="2">
        <v>2024</v>
      </c>
      <c r="F263" s="2" t="s">
        <v>2195</v>
      </c>
      <c r="G263" s="2">
        <v>35</v>
      </c>
      <c r="H263" s="2">
        <v>4</v>
      </c>
      <c r="I263" s="2">
        <v>40201</v>
      </c>
      <c r="J263" s="2"/>
      <c r="K263" s="2"/>
      <c r="L263" s="2">
        <v>2</v>
      </c>
      <c r="M263" s="2" t="s">
        <v>2196</v>
      </c>
      <c r="N263" s="2" t="s">
        <v>2197</v>
      </c>
      <c r="O263" s="2" t="s">
        <v>2198</v>
      </c>
      <c r="P263" s="2" t="s">
        <v>2199</v>
      </c>
      <c r="Q263" s="2" t="s">
        <v>2200</v>
      </c>
      <c r="R263" s="2"/>
      <c r="S263" s="2" t="s">
        <v>1551</v>
      </c>
      <c r="T263" s="2">
        <v>9574484</v>
      </c>
      <c r="U263" s="3">
        <v>9780080000000</v>
      </c>
      <c r="V263" s="2" t="s">
        <v>2201</v>
      </c>
      <c r="W263" s="2">
        <v>37848022</v>
      </c>
      <c r="X263" s="2" t="s">
        <v>1508</v>
      </c>
      <c r="Y263" s="2" t="s">
        <v>2195</v>
      </c>
      <c r="Z263" s="2" t="s">
        <v>2202</v>
      </c>
      <c r="AA263" s="2" t="s">
        <v>1511</v>
      </c>
      <c r="AB263" s="2" t="s">
        <v>1512</v>
      </c>
      <c r="AC263" s="2" t="s">
        <v>1513</v>
      </c>
      <c r="AD263" s="2" t="s">
        <v>2203</v>
      </c>
    </row>
    <row r="264" spans="1:30" x14ac:dyDescent="0.45">
      <c r="A264" s="2" t="s">
        <v>2939</v>
      </c>
      <c r="B264" s="2" t="s">
        <v>2940</v>
      </c>
      <c r="C264" s="2" t="s">
        <v>2941</v>
      </c>
      <c r="D264" s="2" t="s">
        <v>2942</v>
      </c>
      <c r="E264" s="2">
        <v>2023</v>
      </c>
      <c r="F264" s="2" t="s">
        <v>2943</v>
      </c>
      <c r="G264" s="2">
        <v>12</v>
      </c>
      <c r="H264" s="2">
        <v>1</v>
      </c>
      <c r="I264" s="2">
        <v>6936</v>
      </c>
      <c r="J264" s="2"/>
      <c r="K264" s="2"/>
      <c r="L264" s="2">
        <v>2</v>
      </c>
      <c r="M264" s="2" t="s">
        <v>2944</v>
      </c>
      <c r="N264" s="2" t="s">
        <v>2945</v>
      </c>
      <c r="O264" s="2" t="s">
        <v>2946</v>
      </c>
      <c r="P264" s="2" t="s">
        <v>2947</v>
      </c>
      <c r="Q264" s="2" t="s">
        <v>2948</v>
      </c>
      <c r="R264" s="2"/>
      <c r="S264" s="2" t="s">
        <v>2949</v>
      </c>
      <c r="T264" s="2"/>
      <c r="U264" s="2"/>
      <c r="V264" s="2"/>
      <c r="W264" s="2">
        <v>37579382</v>
      </c>
      <c r="X264" s="2" t="s">
        <v>1508</v>
      </c>
      <c r="Y264" s="2" t="s">
        <v>2950</v>
      </c>
      <c r="Z264" s="2" t="s">
        <v>1510</v>
      </c>
      <c r="AA264" s="2" t="s">
        <v>1511</v>
      </c>
      <c r="AB264" s="2" t="s">
        <v>1591</v>
      </c>
      <c r="AC264" s="2" t="s">
        <v>1513</v>
      </c>
      <c r="AD264" s="2" t="s">
        <v>2951</v>
      </c>
    </row>
    <row r="265" spans="1:30" x14ac:dyDescent="0.45">
      <c r="A265" s="2" t="s">
        <v>2382</v>
      </c>
      <c r="B265" s="2" t="s">
        <v>2383</v>
      </c>
      <c r="C265" s="2" t="s">
        <v>2384</v>
      </c>
      <c r="D265" s="2" t="s">
        <v>1094</v>
      </c>
      <c r="E265" s="2">
        <v>2023</v>
      </c>
      <c r="F265" s="2" t="s">
        <v>3042</v>
      </c>
      <c r="G265" s="2" t="s">
        <v>3043</v>
      </c>
      <c r="H265" s="2"/>
      <c r="I265" s="2"/>
      <c r="J265" s="2">
        <v>779</v>
      </c>
      <c r="K265" s="2">
        <v>782</v>
      </c>
      <c r="L265" s="2">
        <v>2</v>
      </c>
      <c r="M265" s="2" t="s">
        <v>3044</v>
      </c>
      <c r="N265" s="2" t="s">
        <v>3045</v>
      </c>
      <c r="O265" s="2" t="s">
        <v>1735</v>
      </c>
      <c r="P265" s="2" t="s">
        <v>3046</v>
      </c>
      <c r="Q265" s="2" t="s">
        <v>3047</v>
      </c>
      <c r="R265" s="2"/>
      <c r="S265" s="2" t="s">
        <v>2226</v>
      </c>
      <c r="T265" s="2">
        <v>10846999</v>
      </c>
      <c r="U265" s="2" t="s">
        <v>3048</v>
      </c>
      <c r="V265" s="2" t="s">
        <v>3049</v>
      </c>
      <c r="W265" s="2"/>
      <c r="X265" s="2" t="s">
        <v>1508</v>
      </c>
      <c r="Y265" s="2" t="s">
        <v>3050</v>
      </c>
      <c r="Z265" s="2" t="s">
        <v>1741</v>
      </c>
      <c r="AA265" s="2" t="s">
        <v>1511</v>
      </c>
      <c r="AB265" s="2"/>
      <c r="AC265" s="2" t="s">
        <v>1513</v>
      </c>
      <c r="AD265" s="2" t="s">
        <v>3051</v>
      </c>
    </row>
    <row r="266" spans="1:30" x14ac:dyDescent="0.45">
      <c r="A266" s="2" t="s">
        <v>3084</v>
      </c>
      <c r="B266" s="2" t="s">
        <v>3085</v>
      </c>
      <c r="C266" s="2" t="s">
        <v>3086</v>
      </c>
      <c r="D266" s="2" t="s">
        <v>3087</v>
      </c>
      <c r="E266" s="2">
        <v>2023</v>
      </c>
      <c r="F266" s="2" t="s">
        <v>3088</v>
      </c>
      <c r="G266" s="2"/>
      <c r="H266" s="2"/>
      <c r="I266" s="2"/>
      <c r="J266" s="2">
        <v>46</v>
      </c>
      <c r="K266" s="2">
        <v>49</v>
      </c>
      <c r="L266" s="2">
        <v>2</v>
      </c>
      <c r="M266" s="2" t="s">
        <v>3089</v>
      </c>
      <c r="N266" s="2" t="s">
        <v>3090</v>
      </c>
      <c r="O266" s="2" t="s">
        <v>3091</v>
      </c>
      <c r="P266" s="2" t="s">
        <v>3092</v>
      </c>
      <c r="Q266" s="2"/>
      <c r="R266" s="2"/>
      <c r="S266" s="2" t="s">
        <v>2226</v>
      </c>
      <c r="T266" s="2"/>
      <c r="U266" s="3">
        <v>9798350000000</v>
      </c>
      <c r="V266" s="2"/>
      <c r="W266" s="2"/>
      <c r="X266" s="2" t="s">
        <v>1508</v>
      </c>
      <c r="Y266" s="2" t="s">
        <v>3093</v>
      </c>
      <c r="Z266" s="2" t="s">
        <v>1741</v>
      </c>
      <c r="AA266" s="2" t="s">
        <v>1511</v>
      </c>
      <c r="AB266" s="2"/>
      <c r="AC266" s="2" t="s">
        <v>1513</v>
      </c>
      <c r="AD266" s="2" t="s">
        <v>3094</v>
      </c>
    </row>
    <row r="267" spans="1:30" x14ac:dyDescent="0.45">
      <c r="A267" s="2" t="s">
        <v>3415</v>
      </c>
      <c r="B267" s="2" t="s">
        <v>3416</v>
      </c>
      <c r="C267" s="2" t="s">
        <v>3417</v>
      </c>
      <c r="D267" s="2" t="s">
        <v>3418</v>
      </c>
      <c r="E267" s="2">
        <v>2022</v>
      </c>
      <c r="F267" s="2" t="s">
        <v>3419</v>
      </c>
      <c r="G267" s="2">
        <v>105</v>
      </c>
      <c r="H267" s="2">
        <v>7</v>
      </c>
      <c r="I267" s="2"/>
      <c r="J267" s="2">
        <v>4775</v>
      </c>
      <c r="K267" s="2">
        <v>4783</v>
      </c>
      <c r="L267" s="2">
        <v>2</v>
      </c>
      <c r="M267" s="2" t="s">
        <v>3420</v>
      </c>
      <c r="N267" s="2" t="s">
        <v>3421</v>
      </c>
      <c r="O267" s="2" t="s">
        <v>3422</v>
      </c>
      <c r="P267" s="2" t="s">
        <v>3423</v>
      </c>
      <c r="Q267" s="2" t="s">
        <v>3424</v>
      </c>
      <c r="R267" s="2"/>
      <c r="S267" s="2" t="s">
        <v>1715</v>
      </c>
      <c r="T267" s="2">
        <v>27820</v>
      </c>
      <c r="U267" s="2"/>
      <c r="V267" s="2" t="s">
        <v>3425</v>
      </c>
      <c r="W267" s="2"/>
      <c r="X267" s="2" t="s">
        <v>1508</v>
      </c>
      <c r="Y267" s="2" t="s">
        <v>3426</v>
      </c>
      <c r="Z267" s="2" t="s">
        <v>1510</v>
      </c>
      <c r="AA267" s="2" t="s">
        <v>1511</v>
      </c>
      <c r="AB267" s="2"/>
      <c r="AC267" s="2" t="s">
        <v>1513</v>
      </c>
      <c r="AD267" s="2" t="s">
        <v>3427</v>
      </c>
    </row>
    <row r="268" spans="1:30" x14ac:dyDescent="0.45">
      <c r="A268" s="2" t="s">
        <v>3710</v>
      </c>
      <c r="B268" s="2" t="s">
        <v>3711</v>
      </c>
      <c r="C268" s="2" t="s">
        <v>3712</v>
      </c>
      <c r="D268" s="2" t="s">
        <v>3713</v>
      </c>
      <c r="E268" s="2">
        <v>2022</v>
      </c>
      <c r="F268" s="2" t="s">
        <v>3702</v>
      </c>
      <c r="G268" s="2"/>
      <c r="H268" s="2"/>
      <c r="I268" s="2"/>
      <c r="J268" s="2">
        <v>82</v>
      </c>
      <c r="K268" s="2">
        <v>89</v>
      </c>
      <c r="L268" s="2">
        <v>2</v>
      </c>
      <c r="M268" s="2"/>
      <c r="N268" s="2" t="s">
        <v>3714</v>
      </c>
      <c r="O268" s="2" t="s">
        <v>3715</v>
      </c>
      <c r="P268" s="2" t="s">
        <v>3716</v>
      </c>
      <c r="Q268" s="2" t="s">
        <v>3717</v>
      </c>
      <c r="R268" s="2" t="s">
        <v>3706</v>
      </c>
      <c r="S268" s="2" t="s">
        <v>3707</v>
      </c>
      <c r="T268" s="2"/>
      <c r="U268" s="3">
        <v>9780650000000</v>
      </c>
      <c r="V268" s="2"/>
      <c r="W268" s="2"/>
      <c r="X268" s="2" t="s">
        <v>1508</v>
      </c>
      <c r="Y268" s="2" t="s">
        <v>3708</v>
      </c>
      <c r="Z268" s="2" t="s">
        <v>1741</v>
      </c>
      <c r="AA268" s="2" t="s">
        <v>1511</v>
      </c>
      <c r="AB268" s="2"/>
      <c r="AC268" s="2" t="s">
        <v>1513</v>
      </c>
      <c r="AD268" s="2" t="s">
        <v>3718</v>
      </c>
    </row>
    <row r="269" spans="1:30" x14ac:dyDescent="0.45">
      <c r="A269" s="2" t="s">
        <v>4303</v>
      </c>
      <c r="B269" s="2" t="s">
        <v>4304</v>
      </c>
      <c r="C269" s="2" t="s">
        <v>4305</v>
      </c>
      <c r="D269" s="2" t="s">
        <v>4306</v>
      </c>
      <c r="E269" s="2">
        <v>2021</v>
      </c>
      <c r="F269" s="2" t="s">
        <v>4307</v>
      </c>
      <c r="G269" s="2"/>
      <c r="H269" s="2"/>
      <c r="I269" s="2"/>
      <c r="J269" s="2"/>
      <c r="K269" s="2"/>
      <c r="L269" s="2">
        <v>2</v>
      </c>
      <c r="M269" s="2" t="s">
        <v>4308</v>
      </c>
      <c r="N269" s="2" t="s">
        <v>4309</v>
      </c>
      <c r="O269" s="2" t="s">
        <v>4310</v>
      </c>
      <c r="P269" s="2" t="s">
        <v>4311</v>
      </c>
      <c r="Q269" s="2"/>
      <c r="R269" s="2"/>
      <c r="S269" s="2" t="s">
        <v>2226</v>
      </c>
      <c r="T269" s="2"/>
      <c r="U269" s="3">
        <v>9781670000000</v>
      </c>
      <c r="V269" s="2"/>
      <c r="W269" s="2"/>
      <c r="X269" s="2" t="s">
        <v>1508</v>
      </c>
      <c r="Y269" s="2" t="s">
        <v>4312</v>
      </c>
      <c r="Z269" s="2" t="s">
        <v>1741</v>
      </c>
      <c r="AA269" s="2" t="s">
        <v>1511</v>
      </c>
      <c r="AB269" s="2"/>
      <c r="AC269" s="2" t="s">
        <v>1513</v>
      </c>
      <c r="AD269" s="2" t="s">
        <v>4313</v>
      </c>
    </row>
    <row r="270" spans="1:30" x14ac:dyDescent="0.45">
      <c r="A270" s="2" t="s">
        <v>4326</v>
      </c>
      <c r="B270" s="2" t="s">
        <v>4327</v>
      </c>
      <c r="C270" s="2" t="s">
        <v>4328</v>
      </c>
      <c r="D270" s="2" t="s">
        <v>4329</v>
      </c>
      <c r="E270" s="2">
        <v>2021</v>
      </c>
      <c r="F270" s="2" t="s">
        <v>4330</v>
      </c>
      <c r="G270" s="2"/>
      <c r="H270" s="2"/>
      <c r="I270" s="2"/>
      <c r="J270" s="2">
        <v>647</v>
      </c>
      <c r="K270" s="2">
        <v>654</v>
      </c>
      <c r="L270" s="2">
        <v>2</v>
      </c>
      <c r="M270" s="2" t="s">
        <v>4331</v>
      </c>
      <c r="N270" s="2" t="s">
        <v>4332</v>
      </c>
      <c r="O270" s="2" t="s">
        <v>4333</v>
      </c>
      <c r="P270" s="2" t="s">
        <v>4334</v>
      </c>
      <c r="Q270" s="2"/>
      <c r="R270" s="2"/>
      <c r="S270" s="2" t="s">
        <v>2226</v>
      </c>
      <c r="T270" s="2"/>
      <c r="U270" s="3">
        <v>9781730000000</v>
      </c>
      <c r="V270" s="2"/>
      <c r="W270" s="2"/>
      <c r="X270" s="2" t="s">
        <v>1508</v>
      </c>
      <c r="Y270" s="2" t="s">
        <v>4335</v>
      </c>
      <c r="Z270" s="2" t="s">
        <v>1741</v>
      </c>
      <c r="AA270" s="2" t="s">
        <v>1511</v>
      </c>
      <c r="AB270" s="2"/>
      <c r="AC270" s="2" t="s">
        <v>1513</v>
      </c>
      <c r="AD270" s="2" t="s">
        <v>4336</v>
      </c>
    </row>
    <row r="271" spans="1:30" x14ac:dyDescent="0.45">
      <c r="A271" s="2" t="s">
        <v>4615</v>
      </c>
      <c r="B271" s="2" t="s">
        <v>4616</v>
      </c>
      <c r="C271" s="2" t="s">
        <v>4617</v>
      </c>
      <c r="D271" s="2" t="s">
        <v>4618</v>
      </c>
      <c r="E271" s="2">
        <v>2020</v>
      </c>
      <c r="F271" s="2" t="s">
        <v>4619</v>
      </c>
      <c r="G271" s="2">
        <v>90</v>
      </c>
      <c r="H271" s="2"/>
      <c r="I271" s="2"/>
      <c r="J271" s="2">
        <v>181</v>
      </c>
      <c r="K271" s="2">
        <v>193</v>
      </c>
      <c r="L271" s="2">
        <v>2</v>
      </c>
      <c r="M271" s="2" t="s">
        <v>4620</v>
      </c>
      <c r="N271" s="2" t="s">
        <v>4621</v>
      </c>
      <c r="O271" s="2" t="s">
        <v>4622</v>
      </c>
      <c r="P271" s="2" t="s">
        <v>4623</v>
      </c>
      <c r="Q271" s="2" t="s">
        <v>4624</v>
      </c>
      <c r="R271" s="2"/>
      <c r="S271" s="2" t="s">
        <v>4625</v>
      </c>
      <c r="T271" s="2">
        <v>198501</v>
      </c>
      <c r="U271" s="2"/>
      <c r="V271" s="2" t="s">
        <v>4626</v>
      </c>
      <c r="W271" s="2"/>
      <c r="X271" s="2" t="s">
        <v>1508</v>
      </c>
      <c r="Y271" s="2" t="s">
        <v>4627</v>
      </c>
      <c r="Z271" s="2" t="s">
        <v>1510</v>
      </c>
      <c r="AA271" s="2" t="s">
        <v>1511</v>
      </c>
      <c r="AB271" s="2"/>
      <c r="AC271" s="2" t="s">
        <v>1513</v>
      </c>
      <c r="AD271" s="2" t="s">
        <v>4628</v>
      </c>
    </row>
    <row r="272" spans="1:30" x14ac:dyDescent="0.45">
      <c r="A272" s="2" t="s">
        <v>4629</v>
      </c>
      <c r="B272" s="2" t="s">
        <v>4630</v>
      </c>
      <c r="C272" s="2" t="s">
        <v>4631</v>
      </c>
      <c r="D272" s="2" t="s">
        <v>4632</v>
      </c>
      <c r="E272" s="2">
        <v>2020</v>
      </c>
      <c r="F272" s="2" t="s">
        <v>4633</v>
      </c>
      <c r="G272" s="2">
        <v>20</v>
      </c>
      <c r="H272" s="2">
        <v>4</v>
      </c>
      <c r="I272" s="2"/>
      <c r="J272" s="2">
        <v>603</v>
      </c>
      <c r="K272" s="2">
        <v>624</v>
      </c>
      <c r="L272" s="2">
        <v>2</v>
      </c>
      <c r="M272" s="2" t="s">
        <v>4634</v>
      </c>
      <c r="N272" s="2" t="s">
        <v>4635</v>
      </c>
      <c r="O272" s="2" t="s">
        <v>4636</v>
      </c>
      <c r="P272" s="2" t="s">
        <v>4637</v>
      </c>
      <c r="Q272" s="2" t="s">
        <v>4638</v>
      </c>
      <c r="R272" s="2"/>
      <c r="S272" s="2" t="s">
        <v>4611</v>
      </c>
      <c r="T272" s="2">
        <v>14702266</v>
      </c>
      <c r="U272" s="2"/>
      <c r="V272" s="2"/>
      <c r="W272" s="2"/>
      <c r="X272" s="2" t="s">
        <v>1508</v>
      </c>
      <c r="Y272" s="2" t="s">
        <v>4639</v>
      </c>
      <c r="Z272" s="2" t="s">
        <v>1510</v>
      </c>
      <c r="AA272" s="2" t="s">
        <v>1511</v>
      </c>
      <c r="AB272" s="2"/>
      <c r="AC272" s="2" t="s">
        <v>1513</v>
      </c>
      <c r="AD272" s="2" t="s">
        <v>4640</v>
      </c>
    </row>
    <row r="273" spans="1:30" x14ac:dyDescent="0.45">
      <c r="A273" s="2" t="s">
        <v>4077</v>
      </c>
      <c r="B273" s="2" t="s">
        <v>4078</v>
      </c>
      <c r="C273" s="2" t="s">
        <v>4079</v>
      </c>
      <c r="D273" s="2" t="s">
        <v>5083</v>
      </c>
      <c r="E273" s="2">
        <v>2020</v>
      </c>
      <c r="F273" s="2" t="s">
        <v>2284</v>
      </c>
      <c r="G273" s="2" t="s">
        <v>5084</v>
      </c>
      <c r="H273" s="2"/>
      <c r="I273" s="2"/>
      <c r="J273" s="2"/>
      <c r="K273" s="2"/>
      <c r="L273" s="2">
        <v>2</v>
      </c>
      <c r="M273" s="2" t="s">
        <v>5085</v>
      </c>
      <c r="N273" s="2" t="s">
        <v>5086</v>
      </c>
      <c r="O273" s="2" t="s">
        <v>5087</v>
      </c>
      <c r="P273" s="2" t="s">
        <v>5088</v>
      </c>
      <c r="Q273" s="2"/>
      <c r="R273" s="2"/>
      <c r="S273" s="2" t="s">
        <v>2263</v>
      </c>
      <c r="T273" s="2"/>
      <c r="U273" s="2" t="s">
        <v>5089</v>
      </c>
      <c r="V273" s="2"/>
      <c r="W273" s="2"/>
      <c r="X273" s="2" t="s">
        <v>1508</v>
      </c>
      <c r="Y273" s="2" t="s">
        <v>2290</v>
      </c>
      <c r="Z273" s="2" t="s">
        <v>1741</v>
      </c>
      <c r="AA273" s="2" t="s">
        <v>1511</v>
      </c>
      <c r="AB273" s="2"/>
      <c r="AC273" s="2" t="s">
        <v>1513</v>
      </c>
      <c r="AD273" s="2" t="s">
        <v>5090</v>
      </c>
    </row>
    <row r="274" spans="1:30" x14ac:dyDescent="0.45">
      <c r="A274" s="2" t="s">
        <v>1743</v>
      </c>
      <c r="B274" s="2" t="s">
        <v>1744</v>
      </c>
      <c r="C274" s="2" t="s">
        <v>1745</v>
      </c>
      <c r="D274" s="2" t="s">
        <v>1746</v>
      </c>
      <c r="E274" s="2">
        <v>2024</v>
      </c>
      <c r="F274" s="2" t="s">
        <v>1732</v>
      </c>
      <c r="G274" s="2"/>
      <c r="H274" s="2"/>
      <c r="I274" s="2">
        <v>5</v>
      </c>
      <c r="J274" s="2"/>
      <c r="K274" s="2"/>
      <c r="L274" s="2">
        <v>1</v>
      </c>
      <c r="M274" s="2" t="s">
        <v>1747</v>
      </c>
      <c r="N274" s="2" t="s">
        <v>1748</v>
      </c>
      <c r="O274" s="2" t="s">
        <v>1749</v>
      </c>
      <c r="P274" s="2" t="s">
        <v>1750</v>
      </c>
      <c r="Q274" s="2"/>
      <c r="R274" s="2"/>
      <c r="S274" s="2" t="s">
        <v>1738</v>
      </c>
      <c r="T274" s="2"/>
      <c r="U274" s="2" t="s">
        <v>1739</v>
      </c>
      <c r="V274" s="2"/>
      <c r="W274" s="2"/>
      <c r="X274" s="2" t="s">
        <v>1508</v>
      </c>
      <c r="Y274" s="2" t="s">
        <v>1740</v>
      </c>
      <c r="Z274" s="2" t="s">
        <v>1741</v>
      </c>
      <c r="AA274" s="2" t="s">
        <v>1511</v>
      </c>
      <c r="AB274" s="2" t="s">
        <v>1603</v>
      </c>
      <c r="AC274" s="2" t="s">
        <v>1513</v>
      </c>
      <c r="AD274" s="2" t="s">
        <v>1751</v>
      </c>
    </row>
    <row r="275" spans="1:30" x14ac:dyDescent="0.45">
      <c r="A275" s="2" t="s">
        <v>1785</v>
      </c>
      <c r="B275" s="2" t="s">
        <v>1786</v>
      </c>
      <c r="C275" s="2" t="s">
        <v>1787</v>
      </c>
      <c r="D275" s="2" t="s">
        <v>1162</v>
      </c>
      <c r="E275" s="2">
        <v>2024</v>
      </c>
      <c r="F275" s="2" t="s">
        <v>1732</v>
      </c>
      <c r="G275" s="2"/>
      <c r="H275" s="2"/>
      <c r="I275" s="2">
        <v>2</v>
      </c>
      <c r="J275" s="2"/>
      <c r="K275" s="2"/>
      <c r="L275" s="2">
        <v>1</v>
      </c>
      <c r="M275" s="2" t="s">
        <v>1788</v>
      </c>
      <c r="N275" s="2" t="s">
        <v>1789</v>
      </c>
      <c r="O275" s="2" t="s">
        <v>1790</v>
      </c>
      <c r="P275" s="2" t="s">
        <v>1791</v>
      </c>
      <c r="Q275" s="2"/>
      <c r="R275" s="2"/>
      <c r="S275" s="2" t="s">
        <v>1738</v>
      </c>
      <c r="T275" s="2"/>
      <c r="U275" s="2" t="s">
        <v>1792</v>
      </c>
      <c r="V275" s="2"/>
      <c r="W275" s="2"/>
      <c r="X275" s="2" t="s">
        <v>1508</v>
      </c>
      <c r="Y275" s="2" t="s">
        <v>1740</v>
      </c>
      <c r="Z275" s="2" t="s">
        <v>1741</v>
      </c>
      <c r="AA275" s="2" t="s">
        <v>1511</v>
      </c>
      <c r="AB275" s="2"/>
      <c r="AC275" s="2" t="s">
        <v>1513</v>
      </c>
      <c r="AD275" s="2" t="s">
        <v>1793</v>
      </c>
    </row>
    <row r="276" spans="1:30" x14ac:dyDescent="0.45">
      <c r="A276" s="2" t="s">
        <v>1834</v>
      </c>
      <c r="B276" s="2" t="s">
        <v>1835</v>
      </c>
      <c r="C276" s="2" t="s">
        <v>1836</v>
      </c>
      <c r="D276" s="2" t="s">
        <v>1837</v>
      </c>
      <c r="E276" s="2">
        <v>2024</v>
      </c>
      <c r="F276" s="2" t="s">
        <v>1797</v>
      </c>
      <c r="G276" s="2">
        <v>110</v>
      </c>
      <c r="H276" s="2">
        <v>6</v>
      </c>
      <c r="I276" s="2">
        <v>64401</v>
      </c>
      <c r="J276" s="2"/>
      <c r="K276" s="2"/>
      <c r="L276" s="2">
        <v>1</v>
      </c>
      <c r="M276" s="2" t="s">
        <v>1838</v>
      </c>
      <c r="N276" s="2" t="s">
        <v>1839</v>
      </c>
      <c r="O276" s="2" t="s">
        <v>1840</v>
      </c>
      <c r="P276" s="2" t="s">
        <v>1841</v>
      </c>
      <c r="Q276" s="2"/>
      <c r="R276" s="2"/>
      <c r="S276" s="2" t="s">
        <v>1803</v>
      </c>
      <c r="T276" s="2">
        <v>24699950</v>
      </c>
      <c r="U276" s="2"/>
      <c r="V276" s="2"/>
      <c r="W276" s="2"/>
      <c r="X276" s="2" t="s">
        <v>1508</v>
      </c>
      <c r="Y276" s="2" t="s">
        <v>1804</v>
      </c>
      <c r="Z276" s="2" t="s">
        <v>1510</v>
      </c>
      <c r="AA276" s="2" t="s">
        <v>1511</v>
      </c>
      <c r="AB276" s="2"/>
      <c r="AC276" s="2" t="s">
        <v>1513</v>
      </c>
      <c r="AD276" s="2" t="s">
        <v>1842</v>
      </c>
    </row>
    <row r="277" spans="1:30" x14ac:dyDescent="0.45">
      <c r="A277" s="2" t="s">
        <v>1936</v>
      </c>
      <c r="B277" s="2" t="s">
        <v>1937</v>
      </c>
      <c r="C277" s="2" t="s">
        <v>1938</v>
      </c>
      <c r="D277" s="2" t="s">
        <v>1939</v>
      </c>
      <c r="E277" s="2">
        <v>2024</v>
      </c>
      <c r="F277" s="2" t="s">
        <v>1940</v>
      </c>
      <c r="G277" s="2">
        <v>36</v>
      </c>
      <c r="H277" s="2">
        <v>3</v>
      </c>
      <c r="I277" s="2"/>
      <c r="J277" s="2" t="s">
        <v>1941</v>
      </c>
      <c r="K277" s="2" t="s">
        <v>1942</v>
      </c>
      <c r="L277" s="2">
        <v>1</v>
      </c>
      <c r="M277" s="2" t="s">
        <v>1943</v>
      </c>
      <c r="N277" s="2" t="s">
        <v>1944</v>
      </c>
      <c r="O277" s="2" t="s">
        <v>1945</v>
      </c>
      <c r="P277" s="2" t="s">
        <v>1946</v>
      </c>
      <c r="Q277" s="2" t="s">
        <v>1947</v>
      </c>
      <c r="R277" s="2"/>
      <c r="S277" s="2" t="s">
        <v>1948</v>
      </c>
      <c r="T277" s="2">
        <v>10408800</v>
      </c>
      <c r="U277" s="2"/>
      <c r="V277" s="2"/>
      <c r="W277" s="2"/>
      <c r="X277" s="2" t="s">
        <v>1508</v>
      </c>
      <c r="Y277" s="2" t="s">
        <v>1949</v>
      </c>
      <c r="Z277" s="2" t="s">
        <v>1510</v>
      </c>
      <c r="AA277" s="2" t="s">
        <v>1511</v>
      </c>
      <c r="AB277" s="2"/>
      <c r="AC277" s="2" t="s">
        <v>1513</v>
      </c>
      <c r="AD277" s="2" t="s">
        <v>1950</v>
      </c>
    </row>
    <row r="278" spans="1:30" x14ac:dyDescent="0.45">
      <c r="A278" s="2" t="s">
        <v>1951</v>
      </c>
      <c r="B278" s="2" t="s">
        <v>1952</v>
      </c>
      <c r="C278" s="2" t="s">
        <v>1953</v>
      </c>
      <c r="D278" s="2" t="s">
        <v>1954</v>
      </c>
      <c r="E278" s="2">
        <v>2024</v>
      </c>
      <c r="F278" s="2" t="s">
        <v>1955</v>
      </c>
      <c r="G278" s="2">
        <v>448</v>
      </c>
      <c r="H278" s="2"/>
      <c r="I278" s="2">
        <v>26</v>
      </c>
      <c r="J278" s="2"/>
      <c r="K278" s="2"/>
      <c r="L278" s="2">
        <v>1</v>
      </c>
      <c r="M278" s="2"/>
      <c r="N278" s="2" t="s">
        <v>1956</v>
      </c>
      <c r="O278" s="2" t="s">
        <v>1957</v>
      </c>
      <c r="P278" s="2" t="s">
        <v>1958</v>
      </c>
      <c r="Q278" s="2" t="s">
        <v>1959</v>
      </c>
      <c r="R278" s="2"/>
      <c r="S278" s="2" t="s">
        <v>1960</v>
      </c>
      <c r="T278" s="2"/>
      <c r="U278" s="2"/>
      <c r="V278" s="2"/>
      <c r="W278" s="2"/>
      <c r="X278" s="2" t="s">
        <v>1508</v>
      </c>
      <c r="Y278" s="2" t="s">
        <v>1961</v>
      </c>
      <c r="Z278" s="2" t="s">
        <v>1741</v>
      </c>
      <c r="AA278" s="2" t="s">
        <v>1511</v>
      </c>
      <c r="AB278" s="2"/>
      <c r="AC278" s="2" t="s">
        <v>1513</v>
      </c>
      <c r="AD278" s="2" t="s">
        <v>1962</v>
      </c>
    </row>
    <row r="279" spans="1:30" x14ac:dyDescent="0.45">
      <c r="A279" s="2" t="s">
        <v>2121</v>
      </c>
      <c r="B279" s="2" t="s">
        <v>2122</v>
      </c>
      <c r="C279" s="2" t="s">
        <v>2123</v>
      </c>
      <c r="D279" s="2" t="s">
        <v>2124</v>
      </c>
      <c r="E279" s="2">
        <v>2024</v>
      </c>
      <c r="F279" s="2" t="s">
        <v>2125</v>
      </c>
      <c r="G279" s="2">
        <v>50</v>
      </c>
      <c r="H279" s="2">
        <v>1</v>
      </c>
      <c r="I279" s="2"/>
      <c r="J279" s="2">
        <v>87</v>
      </c>
      <c r="K279" s="2">
        <v>107</v>
      </c>
      <c r="L279" s="2">
        <v>1</v>
      </c>
      <c r="M279" s="2" t="s">
        <v>2126</v>
      </c>
      <c r="N279" s="2" t="s">
        <v>2127</v>
      </c>
      <c r="O279" s="2" t="s">
        <v>2128</v>
      </c>
      <c r="P279" s="2" t="s">
        <v>2129</v>
      </c>
      <c r="Q279" s="2"/>
      <c r="R279" s="2"/>
      <c r="S279" s="2" t="s">
        <v>2130</v>
      </c>
      <c r="T279" s="2">
        <v>3170861</v>
      </c>
      <c r="U279" s="2"/>
      <c r="V279" s="2"/>
      <c r="W279" s="2"/>
      <c r="X279" s="2" t="s">
        <v>1508</v>
      </c>
      <c r="Y279" s="2" t="s">
        <v>2131</v>
      </c>
      <c r="Z279" s="2" t="s">
        <v>1510</v>
      </c>
      <c r="AA279" s="2" t="s">
        <v>1511</v>
      </c>
      <c r="AB279" s="2"/>
      <c r="AC279" s="2" t="s">
        <v>1513</v>
      </c>
      <c r="AD279" s="2" t="s">
        <v>2132</v>
      </c>
    </row>
    <row r="280" spans="1:30" x14ac:dyDescent="0.45">
      <c r="A280" s="2" t="s">
        <v>2253</v>
      </c>
      <c r="B280" s="2" t="s">
        <v>2254</v>
      </c>
      <c r="C280" s="2" t="s">
        <v>2255</v>
      </c>
      <c r="D280" s="2" t="s">
        <v>2256</v>
      </c>
      <c r="E280" s="2">
        <v>2024</v>
      </c>
      <c r="F280" s="2" t="s">
        <v>2257</v>
      </c>
      <c r="G280" s="2" t="s">
        <v>2258</v>
      </c>
      <c r="H280" s="2"/>
      <c r="I280" s="2" t="s">
        <v>2259</v>
      </c>
      <c r="J280" s="2"/>
      <c r="K280" s="2"/>
      <c r="L280" s="2">
        <v>1</v>
      </c>
      <c r="M280" s="2" t="s">
        <v>2260</v>
      </c>
      <c r="N280" s="2" t="s">
        <v>2261</v>
      </c>
      <c r="O280" s="2" t="s">
        <v>1735</v>
      </c>
      <c r="P280" s="2" t="s">
        <v>2262</v>
      </c>
      <c r="Q280" s="2"/>
      <c r="R280" s="2"/>
      <c r="S280" s="2" t="s">
        <v>2263</v>
      </c>
      <c r="T280" s="2"/>
      <c r="U280" s="2" t="s">
        <v>2264</v>
      </c>
      <c r="V280" s="2"/>
      <c r="W280" s="2"/>
      <c r="X280" s="2" t="s">
        <v>1508</v>
      </c>
      <c r="Y280" s="2" t="s">
        <v>2265</v>
      </c>
      <c r="Z280" s="2" t="s">
        <v>1741</v>
      </c>
      <c r="AA280" s="2" t="s">
        <v>1511</v>
      </c>
      <c r="AB280" s="2"/>
      <c r="AC280" s="2" t="s">
        <v>1513</v>
      </c>
      <c r="AD280" s="2" t="s">
        <v>2266</v>
      </c>
    </row>
    <row r="281" spans="1:30" x14ac:dyDescent="0.45">
      <c r="A281" s="2" t="s">
        <v>2292</v>
      </c>
      <c r="B281" s="2" t="s">
        <v>2293</v>
      </c>
      <c r="C281" s="2" t="s">
        <v>2294</v>
      </c>
      <c r="D281" s="2" t="s">
        <v>1354</v>
      </c>
      <c r="E281" s="2">
        <v>2024</v>
      </c>
      <c r="F281" s="2" t="s">
        <v>2295</v>
      </c>
      <c r="G281" s="2">
        <v>12833</v>
      </c>
      <c r="H281" s="2"/>
      <c r="I281" s="2">
        <v>1283306</v>
      </c>
      <c r="J281" s="2"/>
      <c r="K281" s="2"/>
      <c r="L281" s="2">
        <v>1</v>
      </c>
      <c r="M281" s="2" t="s">
        <v>2296</v>
      </c>
      <c r="N281" s="2" t="s">
        <v>2297</v>
      </c>
      <c r="O281" s="2" t="s">
        <v>2298</v>
      </c>
      <c r="P281" s="2" t="s">
        <v>2299</v>
      </c>
      <c r="Q281" s="2" t="s">
        <v>2300</v>
      </c>
      <c r="R281" s="2" t="s">
        <v>2301</v>
      </c>
      <c r="S281" s="2" t="s">
        <v>2302</v>
      </c>
      <c r="T281" s="2">
        <v>16057422</v>
      </c>
      <c r="U281" s="2" t="s">
        <v>2303</v>
      </c>
      <c r="V281" s="2"/>
      <c r="W281" s="2"/>
      <c r="X281" s="2" t="s">
        <v>1508</v>
      </c>
      <c r="Y281" s="2" t="s">
        <v>2304</v>
      </c>
      <c r="Z281" s="2" t="s">
        <v>1741</v>
      </c>
      <c r="AA281" s="2" t="s">
        <v>1511</v>
      </c>
      <c r="AB281" s="2"/>
      <c r="AC281" s="2" t="s">
        <v>1513</v>
      </c>
      <c r="AD281" s="2" t="s">
        <v>2305</v>
      </c>
    </row>
    <row r="282" spans="1:30" x14ac:dyDescent="0.45">
      <c r="A282" s="2" t="s">
        <v>2306</v>
      </c>
      <c r="B282" s="2" t="s">
        <v>2307</v>
      </c>
      <c r="C282" s="2" t="s">
        <v>2308</v>
      </c>
      <c r="D282" s="2" t="s">
        <v>220</v>
      </c>
      <c r="E282" s="2">
        <v>2024</v>
      </c>
      <c r="F282" s="2" t="s">
        <v>2309</v>
      </c>
      <c r="G282" s="2">
        <v>102</v>
      </c>
      <c r="H282" s="2">
        <v>5</v>
      </c>
      <c r="I282" s="2"/>
      <c r="J282" s="2">
        <v>298</v>
      </c>
      <c r="K282" s="2">
        <v>309</v>
      </c>
      <c r="L282" s="2">
        <v>1</v>
      </c>
      <c r="M282" s="2" t="s">
        <v>2310</v>
      </c>
      <c r="N282" s="2" t="s">
        <v>2311</v>
      </c>
      <c r="O282" s="2" t="s">
        <v>1735</v>
      </c>
      <c r="P282" s="2" t="s">
        <v>2312</v>
      </c>
      <c r="Q282" s="2" t="s">
        <v>1883</v>
      </c>
      <c r="R282" s="2"/>
      <c r="S282" s="2" t="s">
        <v>2313</v>
      </c>
      <c r="T282" s="2">
        <v>84042</v>
      </c>
      <c r="U282" s="2"/>
      <c r="V282" s="2" t="s">
        <v>2314</v>
      </c>
      <c r="W282" s="2"/>
      <c r="X282" s="2" t="s">
        <v>1508</v>
      </c>
      <c r="Y282" s="2" t="s">
        <v>2315</v>
      </c>
      <c r="Z282" s="2" t="s">
        <v>1510</v>
      </c>
      <c r="AA282" s="2" t="s">
        <v>1511</v>
      </c>
      <c r="AB282" s="2" t="s">
        <v>1539</v>
      </c>
      <c r="AC282" s="2" t="s">
        <v>1513</v>
      </c>
      <c r="AD282" s="2" t="s">
        <v>2316</v>
      </c>
    </row>
    <row r="283" spans="1:30" x14ac:dyDescent="0.45">
      <c r="A283" s="2" t="s">
        <v>2328</v>
      </c>
      <c r="B283" s="2" t="s">
        <v>2329</v>
      </c>
      <c r="C283" s="2" t="s">
        <v>2330</v>
      </c>
      <c r="D283" s="2" t="s">
        <v>1236</v>
      </c>
      <c r="E283" s="2">
        <v>2024</v>
      </c>
      <c r="F283" s="2" t="s">
        <v>2295</v>
      </c>
      <c r="G283" s="2">
        <v>12840</v>
      </c>
      <c r="H283" s="2"/>
      <c r="I283" s="2">
        <v>1284002</v>
      </c>
      <c r="J283" s="2"/>
      <c r="K283" s="2"/>
      <c r="L283" s="2">
        <v>1</v>
      </c>
      <c r="M283" s="2" t="s">
        <v>2331</v>
      </c>
      <c r="N283" s="2" t="s">
        <v>2332</v>
      </c>
      <c r="O283" s="2" t="s">
        <v>2333</v>
      </c>
      <c r="P283" s="2" t="s">
        <v>2334</v>
      </c>
      <c r="Q283" s="2"/>
      <c r="R283" s="2" t="s">
        <v>2335</v>
      </c>
      <c r="S283" s="2" t="s">
        <v>2302</v>
      </c>
      <c r="T283" s="2">
        <v>16057422</v>
      </c>
      <c r="U283" s="2" t="s">
        <v>2303</v>
      </c>
      <c r="V283" s="2"/>
      <c r="W283" s="2"/>
      <c r="X283" s="2" t="s">
        <v>1508</v>
      </c>
      <c r="Y283" s="2" t="s">
        <v>2304</v>
      </c>
      <c r="Z283" s="2" t="s">
        <v>1741</v>
      </c>
      <c r="AA283" s="2" t="s">
        <v>1511</v>
      </c>
      <c r="AB283" s="2"/>
      <c r="AC283" s="2" t="s">
        <v>1513</v>
      </c>
      <c r="AD283" s="2" t="s">
        <v>2336</v>
      </c>
    </row>
    <row r="284" spans="1:30" x14ac:dyDescent="0.45">
      <c r="A284" s="2" t="s">
        <v>2468</v>
      </c>
      <c r="B284" s="2" t="s">
        <v>2469</v>
      </c>
      <c r="C284" s="2" t="s">
        <v>2470</v>
      </c>
      <c r="D284" s="2" t="s">
        <v>2471</v>
      </c>
      <c r="E284" s="2">
        <v>2023</v>
      </c>
      <c r="F284" s="2" t="s">
        <v>2472</v>
      </c>
      <c r="G284" s="2">
        <v>11</v>
      </c>
      <c r="H284" s="2">
        <v>8</v>
      </c>
      <c r="I284" s="2"/>
      <c r="J284" s="2">
        <v>3907</v>
      </c>
      <c r="K284" s="2">
        <v>3915</v>
      </c>
      <c r="L284" s="2">
        <v>1</v>
      </c>
      <c r="M284" s="2" t="s">
        <v>2473</v>
      </c>
      <c r="N284" s="2" t="s">
        <v>2474</v>
      </c>
      <c r="O284" s="2" t="s">
        <v>1561</v>
      </c>
      <c r="P284" s="2" t="s">
        <v>2475</v>
      </c>
      <c r="Q284" s="2" t="s">
        <v>2476</v>
      </c>
      <c r="R284" s="2"/>
      <c r="S284" s="2" t="s">
        <v>1770</v>
      </c>
      <c r="T284" s="2">
        <v>25233920</v>
      </c>
      <c r="U284" s="2"/>
      <c r="V284" s="2"/>
      <c r="W284" s="2"/>
      <c r="X284" s="2" t="s">
        <v>1508</v>
      </c>
      <c r="Y284" s="2" t="s">
        <v>2477</v>
      </c>
      <c r="Z284" s="2" t="s">
        <v>1510</v>
      </c>
      <c r="AA284" s="2" t="s">
        <v>1511</v>
      </c>
      <c r="AB284" s="2"/>
      <c r="AC284" s="2" t="s">
        <v>1513</v>
      </c>
      <c r="AD284" s="2" t="s">
        <v>2478</v>
      </c>
    </row>
    <row r="285" spans="1:30" x14ac:dyDescent="0.45">
      <c r="A285" s="2" t="s">
        <v>2633</v>
      </c>
      <c r="B285" s="2" t="s">
        <v>2634</v>
      </c>
      <c r="C285" s="2" t="s">
        <v>2635</v>
      </c>
      <c r="D285" s="2" t="s">
        <v>2636</v>
      </c>
      <c r="E285" s="2">
        <v>2023</v>
      </c>
      <c r="F285" s="2" t="s">
        <v>2623</v>
      </c>
      <c r="G285" s="2">
        <v>541</v>
      </c>
      <c r="H285" s="2"/>
      <c r="I285" s="2"/>
      <c r="J285" s="2">
        <v>117</v>
      </c>
      <c r="K285" s="2">
        <v>120</v>
      </c>
      <c r="L285" s="2">
        <v>1</v>
      </c>
      <c r="M285" s="2" t="s">
        <v>2637</v>
      </c>
      <c r="N285" s="2" t="s">
        <v>2638</v>
      </c>
      <c r="O285" s="2" t="s">
        <v>2639</v>
      </c>
      <c r="P285" s="2" t="s">
        <v>2640</v>
      </c>
      <c r="Q285" s="2" t="s">
        <v>2641</v>
      </c>
      <c r="R285" s="2"/>
      <c r="S285" s="2" t="s">
        <v>1506</v>
      </c>
      <c r="T285" s="2" t="s">
        <v>2629</v>
      </c>
      <c r="U285" s="2"/>
      <c r="V285" s="2" t="s">
        <v>2630</v>
      </c>
      <c r="W285" s="2"/>
      <c r="X285" s="2" t="s">
        <v>1508</v>
      </c>
      <c r="Y285" s="2" t="s">
        <v>2631</v>
      </c>
      <c r="Z285" s="2" t="s">
        <v>1510</v>
      </c>
      <c r="AA285" s="2" t="s">
        <v>1511</v>
      </c>
      <c r="AB285" s="2" t="s">
        <v>2007</v>
      </c>
      <c r="AC285" s="2" t="s">
        <v>1513</v>
      </c>
      <c r="AD285" s="2" t="s">
        <v>2642</v>
      </c>
    </row>
    <row r="286" spans="1:30" x14ac:dyDescent="0.45">
      <c r="A286" s="2" t="s">
        <v>2666</v>
      </c>
      <c r="B286" s="2" t="s">
        <v>2667</v>
      </c>
      <c r="C286" s="2" t="s">
        <v>2668</v>
      </c>
      <c r="D286" s="2" t="s">
        <v>806</v>
      </c>
      <c r="E286" s="2">
        <v>2023</v>
      </c>
      <c r="F286" s="2" t="s">
        <v>2669</v>
      </c>
      <c r="G286" s="2">
        <v>198</v>
      </c>
      <c r="H286" s="2"/>
      <c r="I286" s="2">
        <v>105939</v>
      </c>
      <c r="J286" s="2"/>
      <c r="K286" s="2"/>
      <c r="L286" s="2">
        <v>1</v>
      </c>
      <c r="M286" s="2" t="s">
        <v>2670</v>
      </c>
      <c r="N286" s="2" t="s">
        <v>2671</v>
      </c>
      <c r="O286" s="2" t="s">
        <v>1735</v>
      </c>
      <c r="P286" s="2" t="s">
        <v>2672</v>
      </c>
      <c r="Q286" s="2" t="s">
        <v>2673</v>
      </c>
      <c r="R286" s="2"/>
      <c r="S286" s="2" t="s">
        <v>1506</v>
      </c>
      <c r="T286" s="2">
        <v>8968446</v>
      </c>
      <c r="U286" s="2"/>
      <c r="V286" s="2" t="s">
        <v>2674</v>
      </c>
      <c r="W286" s="2"/>
      <c r="X286" s="2" t="s">
        <v>1508</v>
      </c>
      <c r="Y286" s="2" t="s">
        <v>2675</v>
      </c>
      <c r="Z286" s="2" t="s">
        <v>1510</v>
      </c>
      <c r="AA286" s="2" t="s">
        <v>1511</v>
      </c>
      <c r="AB286" s="2"/>
      <c r="AC286" s="2" t="s">
        <v>1513</v>
      </c>
      <c r="AD286" s="2" t="s">
        <v>2676</v>
      </c>
    </row>
    <row r="287" spans="1:30" x14ac:dyDescent="0.45">
      <c r="A287" s="2" t="s">
        <v>2762</v>
      </c>
      <c r="B287" s="2" t="s">
        <v>2763</v>
      </c>
      <c r="C287" s="2" t="s">
        <v>2764</v>
      </c>
      <c r="D287" s="2" t="s">
        <v>291</v>
      </c>
      <c r="E287" s="2">
        <v>2023</v>
      </c>
      <c r="F287" s="2" t="s">
        <v>2929</v>
      </c>
      <c r="G287" s="2"/>
      <c r="H287" s="2"/>
      <c r="I287" s="2"/>
      <c r="J287" s="2"/>
      <c r="K287" s="2"/>
      <c r="L287" s="2">
        <v>1</v>
      </c>
      <c r="M287" s="2" t="s">
        <v>2935</v>
      </c>
      <c r="N287" s="2" t="s">
        <v>2936</v>
      </c>
      <c r="O287" s="2" t="s">
        <v>2101</v>
      </c>
      <c r="P287" s="2" t="s">
        <v>2937</v>
      </c>
      <c r="Q287" s="2" t="s">
        <v>2932</v>
      </c>
      <c r="R287" s="2"/>
      <c r="S287" s="2" t="s">
        <v>2226</v>
      </c>
      <c r="T287" s="2"/>
      <c r="U287" s="3">
        <v>9781670000000</v>
      </c>
      <c r="V287" s="2"/>
      <c r="W287" s="2"/>
      <c r="X287" s="2" t="s">
        <v>1508</v>
      </c>
      <c r="Y287" s="2" t="s">
        <v>2933</v>
      </c>
      <c r="Z287" s="2" t="s">
        <v>1741</v>
      </c>
      <c r="AA287" s="2" t="s">
        <v>1511</v>
      </c>
      <c r="AB287" s="2"/>
      <c r="AC287" s="2" t="s">
        <v>1513</v>
      </c>
      <c r="AD287" s="2" t="s">
        <v>2938</v>
      </c>
    </row>
    <row r="288" spans="1:30" x14ac:dyDescent="0.45">
      <c r="A288" s="2" t="s">
        <v>2965</v>
      </c>
      <c r="B288" s="2" t="s">
        <v>2966</v>
      </c>
      <c r="C288" s="2" t="s">
        <v>2967</v>
      </c>
      <c r="D288" s="2" t="s">
        <v>869</v>
      </c>
      <c r="E288" s="2">
        <v>2023</v>
      </c>
      <c r="F288" s="2" t="s">
        <v>2968</v>
      </c>
      <c r="G288" s="2">
        <v>6</v>
      </c>
      <c r="H288" s="2"/>
      <c r="I288" s="2">
        <v>1137961</v>
      </c>
      <c r="J288" s="2"/>
      <c r="K288" s="2"/>
      <c r="L288" s="2">
        <v>1</v>
      </c>
      <c r="M288" s="2" t="s">
        <v>2969</v>
      </c>
      <c r="N288" s="2" t="s">
        <v>2970</v>
      </c>
      <c r="O288" s="2" t="s">
        <v>2971</v>
      </c>
      <c r="P288" s="2" t="s">
        <v>2972</v>
      </c>
      <c r="Q288" s="2" t="s">
        <v>2973</v>
      </c>
      <c r="R288" s="2"/>
      <c r="S288" s="2" t="s">
        <v>2974</v>
      </c>
      <c r="T288" s="2"/>
      <c r="U288" s="2"/>
      <c r="V288" s="2"/>
      <c r="W288" s="2"/>
      <c r="X288" s="2" t="s">
        <v>1508</v>
      </c>
      <c r="Y288" s="2" t="s">
        <v>2975</v>
      </c>
      <c r="Z288" s="2" t="s">
        <v>1510</v>
      </c>
      <c r="AA288" s="2" t="s">
        <v>1511</v>
      </c>
      <c r="AB288" s="2" t="s">
        <v>1591</v>
      </c>
      <c r="AC288" s="2" t="s">
        <v>1513</v>
      </c>
      <c r="AD288" s="2" t="s">
        <v>2976</v>
      </c>
    </row>
    <row r="289" spans="1:30" x14ac:dyDescent="0.45">
      <c r="A289" s="2" t="s">
        <v>3010</v>
      </c>
      <c r="B289" s="2" t="s">
        <v>3011</v>
      </c>
      <c r="C289" s="2">
        <v>57079535100</v>
      </c>
      <c r="D289" s="2" t="s">
        <v>3012</v>
      </c>
      <c r="E289" s="2">
        <v>2023</v>
      </c>
      <c r="F289" s="2" t="s">
        <v>3013</v>
      </c>
      <c r="G289" s="2"/>
      <c r="H289" s="2"/>
      <c r="I289" s="2"/>
      <c r="J289" s="2">
        <v>177</v>
      </c>
      <c r="K289" s="2">
        <v>191</v>
      </c>
      <c r="L289" s="2">
        <v>1</v>
      </c>
      <c r="M289" s="2" t="s">
        <v>3014</v>
      </c>
      <c r="N289" s="2" t="s">
        <v>3015</v>
      </c>
      <c r="O289" s="2" t="s">
        <v>1735</v>
      </c>
      <c r="P289" s="2" t="s">
        <v>3016</v>
      </c>
      <c r="Q289" s="2" t="s">
        <v>3017</v>
      </c>
      <c r="R289" s="2"/>
      <c r="S289" s="2" t="s">
        <v>1770</v>
      </c>
      <c r="T289" s="2">
        <v>21998620</v>
      </c>
      <c r="U289" s="2"/>
      <c r="V289" s="2"/>
      <c r="W289" s="2"/>
      <c r="X289" s="2" t="s">
        <v>1508</v>
      </c>
      <c r="Y289" s="2" t="s">
        <v>3018</v>
      </c>
      <c r="Z289" s="2" t="s">
        <v>2278</v>
      </c>
      <c r="AA289" s="2" t="s">
        <v>1511</v>
      </c>
      <c r="AB289" s="2"/>
      <c r="AC289" s="2" t="s">
        <v>1513</v>
      </c>
      <c r="AD289" s="2" t="s">
        <v>3019</v>
      </c>
    </row>
    <row r="290" spans="1:30" x14ac:dyDescent="0.45">
      <c r="A290" s="2" t="s">
        <v>3290</v>
      </c>
      <c r="B290" s="2" t="s">
        <v>3291</v>
      </c>
      <c r="C290" s="2" t="s">
        <v>3292</v>
      </c>
      <c r="D290" s="2" t="s">
        <v>3293</v>
      </c>
      <c r="E290" s="2">
        <v>2022</v>
      </c>
      <c r="F290" s="2" t="s">
        <v>3281</v>
      </c>
      <c r="G290" s="2">
        <v>38</v>
      </c>
      <c r="H290" s="2">
        <v>3</v>
      </c>
      <c r="I290" s="2"/>
      <c r="J290" s="2">
        <v>283</v>
      </c>
      <c r="K290" s="2">
        <v>286</v>
      </c>
      <c r="L290" s="2">
        <v>1</v>
      </c>
      <c r="M290" s="2" t="s">
        <v>3294</v>
      </c>
      <c r="N290" s="2" t="s">
        <v>3295</v>
      </c>
      <c r="O290" s="2" t="s">
        <v>3296</v>
      </c>
      <c r="P290" s="2" t="s">
        <v>3297</v>
      </c>
      <c r="Q290" s="2"/>
      <c r="R290" s="2"/>
      <c r="S290" s="2" t="s">
        <v>2071</v>
      </c>
      <c r="T290" s="2" t="s">
        <v>3287</v>
      </c>
      <c r="U290" s="2"/>
      <c r="V290" s="2"/>
      <c r="W290" s="2"/>
      <c r="X290" s="2" t="s">
        <v>1508</v>
      </c>
      <c r="Y290" s="2" t="s">
        <v>3288</v>
      </c>
      <c r="Z290" s="2" t="s">
        <v>2202</v>
      </c>
      <c r="AA290" s="2" t="s">
        <v>1511</v>
      </c>
      <c r="AB290" s="2"/>
      <c r="AC290" s="2" t="s">
        <v>1513</v>
      </c>
      <c r="AD290" s="2" t="s">
        <v>3298</v>
      </c>
    </row>
    <row r="291" spans="1:30" x14ac:dyDescent="0.45">
      <c r="A291" s="2" t="s">
        <v>3568</v>
      </c>
      <c r="B291" s="2" t="s">
        <v>3569</v>
      </c>
      <c r="C291" s="2" t="s">
        <v>3570</v>
      </c>
      <c r="D291" s="2" t="s">
        <v>3571</v>
      </c>
      <c r="E291" s="2">
        <v>2022</v>
      </c>
      <c r="F291" s="2" t="s">
        <v>3572</v>
      </c>
      <c r="G291" s="2">
        <v>6</v>
      </c>
      <c r="H291" s="2">
        <v>2</v>
      </c>
      <c r="I291" s="2"/>
      <c r="J291" s="2"/>
      <c r="K291" s="2"/>
      <c r="L291" s="2">
        <v>1</v>
      </c>
      <c r="M291" s="2" t="s">
        <v>3573</v>
      </c>
      <c r="N291" s="2" t="s">
        <v>3574</v>
      </c>
      <c r="O291" s="2" t="s">
        <v>3575</v>
      </c>
      <c r="P291" s="2" t="s">
        <v>3576</v>
      </c>
      <c r="Q291" s="2" t="s">
        <v>3577</v>
      </c>
      <c r="R291" s="2"/>
      <c r="S291" s="2" t="s">
        <v>2226</v>
      </c>
      <c r="T291" s="2"/>
      <c r="U291" s="2"/>
      <c r="V291" s="2"/>
      <c r="W291" s="2"/>
      <c r="X291" s="2" t="s">
        <v>1508</v>
      </c>
      <c r="Y291" s="2" t="s">
        <v>3578</v>
      </c>
      <c r="Z291" s="2" t="s">
        <v>1510</v>
      </c>
      <c r="AA291" s="2" t="s">
        <v>1511</v>
      </c>
      <c r="AB291" s="2"/>
      <c r="AC291" s="2" t="s">
        <v>1513</v>
      </c>
      <c r="AD291" s="2" t="s">
        <v>3579</v>
      </c>
    </row>
    <row r="292" spans="1:30" x14ac:dyDescent="0.45">
      <c r="A292" s="2" t="s">
        <v>3699</v>
      </c>
      <c r="B292" s="2" t="s">
        <v>3700</v>
      </c>
      <c r="C292" s="2">
        <v>6507360376</v>
      </c>
      <c r="D292" s="2" t="s">
        <v>3701</v>
      </c>
      <c r="E292" s="2">
        <v>2022</v>
      </c>
      <c r="F292" s="2" t="s">
        <v>3702</v>
      </c>
      <c r="G292" s="2"/>
      <c r="H292" s="2"/>
      <c r="I292" s="2"/>
      <c r="J292" s="2">
        <v>467</v>
      </c>
      <c r="K292" s="2">
        <v>476</v>
      </c>
      <c r="L292" s="2">
        <v>1</v>
      </c>
      <c r="M292" s="2"/>
      <c r="N292" s="2" t="s">
        <v>3703</v>
      </c>
      <c r="O292" s="2" t="s">
        <v>1735</v>
      </c>
      <c r="P292" s="2" t="s">
        <v>3704</v>
      </c>
      <c r="Q292" s="2" t="s">
        <v>3705</v>
      </c>
      <c r="R292" s="2" t="s">
        <v>3706</v>
      </c>
      <c r="S292" s="2" t="s">
        <v>3707</v>
      </c>
      <c r="T292" s="2"/>
      <c r="U292" s="3">
        <v>9780650000000</v>
      </c>
      <c r="V292" s="2"/>
      <c r="W292" s="2"/>
      <c r="X292" s="2" t="s">
        <v>1508</v>
      </c>
      <c r="Y292" s="2" t="s">
        <v>3708</v>
      </c>
      <c r="Z292" s="2" t="s">
        <v>1741</v>
      </c>
      <c r="AA292" s="2" t="s">
        <v>1511</v>
      </c>
      <c r="AB292" s="2"/>
      <c r="AC292" s="2" t="s">
        <v>1513</v>
      </c>
      <c r="AD292" s="2" t="s">
        <v>3709</v>
      </c>
    </row>
    <row r="293" spans="1:30" x14ac:dyDescent="0.45">
      <c r="A293" s="2" t="s">
        <v>2871</v>
      </c>
      <c r="B293" s="2" t="s">
        <v>2872</v>
      </c>
      <c r="C293" s="2" t="s">
        <v>2873</v>
      </c>
      <c r="D293" s="2" t="s">
        <v>3741</v>
      </c>
      <c r="E293" s="2">
        <v>2022</v>
      </c>
      <c r="F293" s="2" t="s">
        <v>2257</v>
      </c>
      <c r="G293" s="2">
        <v>2</v>
      </c>
      <c r="H293" s="2"/>
      <c r="I293" s="2" t="s">
        <v>3742</v>
      </c>
      <c r="J293" s="2"/>
      <c r="K293" s="2"/>
      <c r="L293" s="2">
        <v>1</v>
      </c>
      <c r="M293" s="2" t="s">
        <v>3743</v>
      </c>
      <c r="N293" s="2" t="s">
        <v>3744</v>
      </c>
      <c r="O293" s="2" t="s">
        <v>1930</v>
      </c>
      <c r="P293" s="2" t="s">
        <v>2877</v>
      </c>
      <c r="Q293" s="2"/>
      <c r="R293" s="2"/>
      <c r="S293" s="2" t="s">
        <v>2263</v>
      </c>
      <c r="T293" s="2"/>
      <c r="U293" s="2" t="s">
        <v>2897</v>
      </c>
      <c r="V293" s="2"/>
      <c r="W293" s="2"/>
      <c r="X293" s="2" t="s">
        <v>1508</v>
      </c>
      <c r="Y293" s="2" t="s">
        <v>2265</v>
      </c>
      <c r="Z293" s="2" t="s">
        <v>1741</v>
      </c>
      <c r="AA293" s="2" t="s">
        <v>1511</v>
      </c>
      <c r="AB293" s="2"/>
      <c r="AC293" s="2" t="s">
        <v>1513</v>
      </c>
      <c r="AD293" s="2" t="s">
        <v>3745</v>
      </c>
    </row>
    <row r="294" spans="1:30" x14ac:dyDescent="0.45">
      <c r="A294" s="2" t="s">
        <v>3754</v>
      </c>
      <c r="B294" s="2" t="s">
        <v>3755</v>
      </c>
      <c r="C294" s="2" t="s">
        <v>3756</v>
      </c>
      <c r="D294" s="2" t="s">
        <v>1021</v>
      </c>
      <c r="E294" s="2">
        <v>2022</v>
      </c>
      <c r="F294" s="2" t="s">
        <v>3757</v>
      </c>
      <c r="G294" s="2"/>
      <c r="H294" s="2"/>
      <c r="I294" s="2"/>
      <c r="J294" s="2">
        <v>171</v>
      </c>
      <c r="K294" s="2">
        <v>173</v>
      </c>
      <c r="L294" s="2">
        <v>1</v>
      </c>
      <c r="M294" s="2" t="s">
        <v>3758</v>
      </c>
      <c r="N294" s="2" t="s">
        <v>3759</v>
      </c>
      <c r="O294" s="2" t="s">
        <v>3760</v>
      </c>
      <c r="P294" s="2" t="s">
        <v>3761</v>
      </c>
      <c r="Q294" s="2" t="s">
        <v>3762</v>
      </c>
      <c r="R294" s="2"/>
      <c r="S294" s="2" t="s">
        <v>2226</v>
      </c>
      <c r="T294" s="2"/>
      <c r="U294" s="3">
        <v>9781670000000</v>
      </c>
      <c r="V294" s="2"/>
      <c r="W294" s="2"/>
      <c r="X294" s="2" t="s">
        <v>1508</v>
      </c>
      <c r="Y294" s="2" t="s">
        <v>3763</v>
      </c>
      <c r="Z294" s="2" t="s">
        <v>1741</v>
      </c>
      <c r="AA294" s="2" t="s">
        <v>1511</v>
      </c>
      <c r="AB294" s="2"/>
      <c r="AC294" s="2" t="s">
        <v>1513</v>
      </c>
      <c r="AD294" s="2" t="s">
        <v>3764</v>
      </c>
    </row>
    <row r="295" spans="1:30" x14ac:dyDescent="0.45">
      <c r="A295" s="2" t="s">
        <v>3777</v>
      </c>
      <c r="B295" s="2" t="s">
        <v>3778</v>
      </c>
      <c r="C295" s="2">
        <v>57373810700</v>
      </c>
      <c r="D295" s="2" t="s">
        <v>3779</v>
      </c>
      <c r="E295" s="2">
        <v>2021</v>
      </c>
      <c r="F295" s="2" t="s">
        <v>3780</v>
      </c>
      <c r="G295" s="2">
        <v>88</v>
      </c>
      <c r="H295" s="2"/>
      <c r="I295" s="2"/>
      <c r="J295" s="2">
        <v>53</v>
      </c>
      <c r="K295" s="2">
        <v>76</v>
      </c>
      <c r="L295" s="2">
        <v>1</v>
      </c>
      <c r="M295" s="2" t="s">
        <v>3781</v>
      </c>
      <c r="N295" s="2" t="s">
        <v>3782</v>
      </c>
      <c r="O295" s="2" t="s">
        <v>1735</v>
      </c>
      <c r="P295" s="2" t="s">
        <v>3783</v>
      </c>
      <c r="Q295" s="2"/>
      <c r="R295" s="2"/>
      <c r="S295" s="2" t="s">
        <v>3784</v>
      </c>
      <c r="T295" s="2">
        <v>7003862</v>
      </c>
      <c r="U295" s="2"/>
      <c r="V295" s="2"/>
      <c r="W295" s="2"/>
      <c r="X295" s="2" t="s">
        <v>1508</v>
      </c>
      <c r="Y295" s="2" t="s">
        <v>3785</v>
      </c>
      <c r="Z295" s="2" t="s">
        <v>1510</v>
      </c>
      <c r="AA295" s="2" t="s">
        <v>1511</v>
      </c>
      <c r="AB295" s="2" t="s">
        <v>2216</v>
      </c>
      <c r="AC295" s="2" t="s">
        <v>1513</v>
      </c>
      <c r="AD295" s="2" t="s">
        <v>3786</v>
      </c>
    </row>
    <row r="296" spans="1:30" x14ac:dyDescent="0.45">
      <c r="A296" s="2" t="s">
        <v>3787</v>
      </c>
      <c r="B296" s="2" t="s">
        <v>3788</v>
      </c>
      <c r="C296" s="2" t="s">
        <v>3789</v>
      </c>
      <c r="D296" s="2" t="s">
        <v>3790</v>
      </c>
      <c r="E296" s="2">
        <v>2021</v>
      </c>
      <c r="F296" s="2" t="s">
        <v>2829</v>
      </c>
      <c r="G296" s="2">
        <v>40</v>
      </c>
      <c r="H296" s="2"/>
      <c r="I296" s="2">
        <v>103233</v>
      </c>
      <c r="J296" s="2"/>
      <c r="K296" s="2"/>
      <c r="L296" s="2">
        <v>1</v>
      </c>
      <c r="M296" s="2" t="s">
        <v>3791</v>
      </c>
      <c r="N296" s="2" t="s">
        <v>3792</v>
      </c>
      <c r="O296" s="2" t="s">
        <v>3793</v>
      </c>
      <c r="P296" s="2" t="s">
        <v>3794</v>
      </c>
      <c r="Q296" s="2" t="s">
        <v>3795</v>
      </c>
      <c r="R296" s="2"/>
      <c r="S296" s="2" t="s">
        <v>1524</v>
      </c>
      <c r="T296" s="2" t="s">
        <v>2834</v>
      </c>
      <c r="U296" s="2"/>
      <c r="V296" s="2"/>
      <c r="W296" s="2"/>
      <c r="X296" s="2" t="s">
        <v>1508</v>
      </c>
      <c r="Y296" s="2" t="s">
        <v>2835</v>
      </c>
      <c r="Z296" s="2" t="s">
        <v>1510</v>
      </c>
      <c r="AA296" s="2" t="s">
        <v>1511</v>
      </c>
      <c r="AB296" s="2"/>
      <c r="AC296" s="2" t="s">
        <v>1513</v>
      </c>
      <c r="AD296" s="2" t="s">
        <v>3796</v>
      </c>
    </row>
    <row r="297" spans="1:30" x14ac:dyDescent="0.45">
      <c r="A297" s="2" t="s">
        <v>4033</v>
      </c>
      <c r="B297" s="2" t="s">
        <v>4034</v>
      </c>
      <c r="C297" s="2" t="s">
        <v>4035</v>
      </c>
      <c r="D297" s="2" t="s">
        <v>4036</v>
      </c>
      <c r="E297" s="2">
        <v>2021</v>
      </c>
      <c r="F297" s="2" t="s">
        <v>4037</v>
      </c>
      <c r="G297" s="2">
        <v>23</v>
      </c>
      <c r="H297" s="2">
        <v>8</v>
      </c>
      <c r="I297" s="2">
        <v>2100048</v>
      </c>
      <c r="J297" s="2"/>
      <c r="K297" s="2"/>
      <c r="L297" s="2">
        <v>1</v>
      </c>
      <c r="M297" s="2" t="s">
        <v>4038</v>
      </c>
      <c r="N297" s="2" t="s">
        <v>4039</v>
      </c>
      <c r="O297" s="2" t="s">
        <v>1735</v>
      </c>
      <c r="P297" s="2" t="s">
        <v>4040</v>
      </c>
      <c r="Q297" s="2" t="s">
        <v>4041</v>
      </c>
      <c r="R297" s="2"/>
      <c r="S297" s="2" t="s">
        <v>1715</v>
      </c>
      <c r="T297" s="2">
        <v>14381656</v>
      </c>
      <c r="U297" s="2"/>
      <c r="V297" s="2"/>
      <c r="W297" s="2"/>
      <c r="X297" s="2" t="s">
        <v>1508</v>
      </c>
      <c r="Y297" s="2" t="s">
        <v>4042</v>
      </c>
      <c r="Z297" s="2" t="s">
        <v>1510</v>
      </c>
      <c r="AA297" s="2" t="s">
        <v>1511</v>
      </c>
      <c r="AB297" s="2"/>
      <c r="AC297" s="2" t="s">
        <v>1513</v>
      </c>
      <c r="AD297" s="2" t="s">
        <v>4043</v>
      </c>
    </row>
    <row r="298" spans="1:30" x14ac:dyDescent="0.45">
      <c r="A298" s="2" t="s">
        <v>4400</v>
      </c>
      <c r="B298" s="2" t="s">
        <v>4401</v>
      </c>
      <c r="C298" s="2" t="s">
        <v>4402</v>
      </c>
      <c r="D298" s="2" t="s">
        <v>4403</v>
      </c>
      <c r="E298" s="2">
        <v>2021</v>
      </c>
      <c r="F298" s="2" t="s">
        <v>4404</v>
      </c>
      <c r="G298" s="2">
        <v>2</v>
      </c>
      <c r="H298" s="2"/>
      <c r="I298" s="2"/>
      <c r="J298" s="2">
        <v>471</v>
      </c>
      <c r="K298" s="2">
        <v>500</v>
      </c>
      <c r="L298" s="2">
        <v>1</v>
      </c>
      <c r="M298" s="2" t="s">
        <v>4405</v>
      </c>
      <c r="N298" s="2" t="s">
        <v>4406</v>
      </c>
      <c r="O298" s="2" t="s">
        <v>4407</v>
      </c>
      <c r="P298" s="2" t="s">
        <v>4408</v>
      </c>
      <c r="Q298" s="2"/>
      <c r="R298" s="2"/>
      <c r="S298" s="2" t="s">
        <v>3081</v>
      </c>
      <c r="T298" s="2"/>
      <c r="U298" s="2" t="s">
        <v>4409</v>
      </c>
      <c r="V298" s="2"/>
      <c r="W298" s="2"/>
      <c r="X298" s="2" t="s">
        <v>1508</v>
      </c>
      <c r="Y298" s="2" t="s">
        <v>4410</v>
      </c>
      <c r="Z298" s="2" t="s">
        <v>2278</v>
      </c>
      <c r="AA298" s="2" t="s">
        <v>1511</v>
      </c>
      <c r="AB298" s="2"/>
      <c r="AC298" s="2" t="s">
        <v>1513</v>
      </c>
      <c r="AD298" s="2" t="s">
        <v>4411</v>
      </c>
    </row>
    <row r="299" spans="1:30" x14ac:dyDescent="0.45">
      <c r="A299" s="2" t="s">
        <v>4651</v>
      </c>
      <c r="B299" s="2" t="s">
        <v>4652</v>
      </c>
      <c r="C299" s="2" t="s">
        <v>4653</v>
      </c>
      <c r="D299" s="2" t="s">
        <v>4654</v>
      </c>
      <c r="E299" s="2">
        <v>2020</v>
      </c>
      <c r="F299" s="2" t="s">
        <v>4655</v>
      </c>
      <c r="G299" s="2">
        <v>11</v>
      </c>
      <c r="H299" s="2">
        <v>3</v>
      </c>
      <c r="I299" s="2"/>
      <c r="J299" s="2">
        <v>25</v>
      </c>
      <c r="K299" s="2">
        <v>27</v>
      </c>
      <c r="L299" s="2">
        <v>1</v>
      </c>
      <c r="M299" s="2" t="s">
        <v>4656</v>
      </c>
      <c r="N299" s="2" t="s">
        <v>4657</v>
      </c>
      <c r="O299" s="2" t="s">
        <v>4658</v>
      </c>
      <c r="P299" s="2" t="s">
        <v>4659</v>
      </c>
      <c r="Q299" s="2" t="s">
        <v>4660</v>
      </c>
      <c r="R299" s="2"/>
      <c r="S299" s="2" t="s">
        <v>1948</v>
      </c>
      <c r="T299" s="2">
        <v>23684720</v>
      </c>
      <c r="U299" s="2"/>
      <c r="V299" s="2"/>
      <c r="W299" s="2"/>
      <c r="X299" s="2" t="s">
        <v>1508</v>
      </c>
      <c r="Y299" s="2" t="s">
        <v>4661</v>
      </c>
      <c r="Z299" s="2" t="s">
        <v>1641</v>
      </c>
      <c r="AA299" s="2" t="s">
        <v>1511</v>
      </c>
      <c r="AB299" s="2"/>
      <c r="AC299" s="2" t="s">
        <v>1513</v>
      </c>
      <c r="AD299" s="2" t="s">
        <v>4662</v>
      </c>
    </row>
    <row r="300" spans="1:30" x14ac:dyDescent="0.45">
      <c r="A300" s="2" t="s">
        <v>1541</v>
      </c>
      <c r="B300" s="2" t="s">
        <v>1542</v>
      </c>
      <c r="C300" s="2" t="s">
        <v>1543</v>
      </c>
      <c r="D300" s="2" t="s">
        <v>1544</v>
      </c>
      <c r="E300" s="2">
        <v>2024</v>
      </c>
      <c r="F300" s="2" t="s">
        <v>1545</v>
      </c>
      <c r="G300" s="2">
        <v>9</v>
      </c>
      <c r="H300" s="2">
        <v>4</v>
      </c>
      <c r="I300" s="2">
        <v>45002</v>
      </c>
      <c r="J300" s="2"/>
      <c r="K300" s="2"/>
      <c r="L300" s="2">
        <v>0</v>
      </c>
      <c r="M300" s="2" t="s">
        <v>1546</v>
      </c>
      <c r="N300" s="2" t="s">
        <v>1547</v>
      </c>
      <c r="O300" s="2" t="s">
        <v>1548</v>
      </c>
      <c r="P300" s="2" t="s">
        <v>1549</v>
      </c>
      <c r="Q300" s="2" t="s">
        <v>1550</v>
      </c>
      <c r="R300" s="2"/>
      <c r="S300" s="2" t="s">
        <v>1551</v>
      </c>
      <c r="T300" s="2"/>
      <c r="U300" s="2"/>
      <c r="V300" s="2"/>
      <c r="W300" s="2"/>
      <c r="X300" s="2" t="s">
        <v>1508</v>
      </c>
      <c r="Y300" s="2" t="s">
        <v>1552</v>
      </c>
      <c r="Z300" s="2" t="s">
        <v>1510</v>
      </c>
      <c r="AA300" s="2" t="s">
        <v>1511</v>
      </c>
      <c r="AB300" s="2" t="s">
        <v>1539</v>
      </c>
      <c r="AC300" s="2" t="s">
        <v>1513</v>
      </c>
      <c r="AD300" s="2" t="s">
        <v>1553</v>
      </c>
    </row>
    <row r="301" spans="1:30" x14ac:dyDescent="0.45">
      <c r="A301" s="2" t="s">
        <v>1681</v>
      </c>
      <c r="B301" s="2" t="s">
        <v>1682</v>
      </c>
      <c r="C301" s="2" t="s">
        <v>1683</v>
      </c>
      <c r="D301" s="2" t="s">
        <v>1684</v>
      </c>
      <c r="E301" s="2">
        <v>2024</v>
      </c>
      <c r="F301" s="2" t="s">
        <v>1685</v>
      </c>
      <c r="G301" s="2">
        <v>40</v>
      </c>
      <c r="H301" s="2">
        <v>11</v>
      </c>
      <c r="I301" s="2">
        <v>115004</v>
      </c>
      <c r="J301" s="2"/>
      <c r="K301" s="2"/>
      <c r="L301" s="2">
        <v>0</v>
      </c>
      <c r="M301" s="2" t="s">
        <v>1686</v>
      </c>
      <c r="N301" s="2" t="s">
        <v>1687</v>
      </c>
      <c r="O301" s="2" t="s">
        <v>1688</v>
      </c>
      <c r="P301" s="2" t="s">
        <v>1689</v>
      </c>
      <c r="Q301" s="2" t="s">
        <v>1690</v>
      </c>
      <c r="R301" s="2"/>
      <c r="S301" s="2" t="s">
        <v>1551</v>
      </c>
      <c r="T301" s="2">
        <v>2665611</v>
      </c>
      <c r="U301" s="2"/>
      <c r="V301" s="2" t="s">
        <v>1691</v>
      </c>
      <c r="W301" s="2"/>
      <c r="X301" s="2" t="s">
        <v>1508</v>
      </c>
      <c r="Y301" s="2" t="s">
        <v>1692</v>
      </c>
      <c r="Z301" s="2" t="s">
        <v>1510</v>
      </c>
      <c r="AA301" s="2" t="s">
        <v>1511</v>
      </c>
      <c r="AB301" s="2" t="s">
        <v>1539</v>
      </c>
      <c r="AC301" s="2" t="s">
        <v>1513</v>
      </c>
      <c r="AD301" s="2" t="s">
        <v>1693</v>
      </c>
    </row>
    <row r="302" spans="1:30" x14ac:dyDescent="0.45">
      <c r="A302" s="2" t="s">
        <v>1694</v>
      </c>
      <c r="B302" s="2" t="s">
        <v>1695</v>
      </c>
      <c r="C302" s="2" t="s">
        <v>1696</v>
      </c>
      <c r="D302" s="2" t="s">
        <v>711</v>
      </c>
      <c r="E302" s="2">
        <v>2024</v>
      </c>
      <c r="F302" s="2" t="s">
        <v>1697</v>
      </c>
      <c r="G302" s="2">
        <v>235</v>
      </c>
      <c r="H302" s="2"/>
      <c r="I302" s="2">
        <v>121338</v>
      </c>
      <c r="J302" s="2"/>
      <c r="K302" s="2"/>
      <c r="L302" s="2">
        <v>0</v>
      </c>
      <c r="M302" s="2" t="s">
        <v>1698</v>
      </c>
      <c r="N302" s="2" t="s">
        <v>1699</v>
      </c>
      <c r="O302" s="2" t="s">
        <v>1700</v>
      </c>
      <c r="P302" s="2" t="s">
        <v>1701</v>
      </c>
      <c r="Q302" s="2" t="s">
        <v>1702</v>
      </c>
      <c r="R302" s="2"/>
      <c r="S302" s="2" t="s">
        <v>1524</v>
      </c>
      <c r="T302" s="2">
        <v>9601481</v>
      </c>
      <c r="U302" s="3">
        <v>9780120000000</v>
      </c>
      <c r="V302" s="2"/>
      <c r="W302" s="2"/>
      <c r="X302" s="2" t="s">
        <v>1508</v>
      </c>
      <c r="Y302" s="2" t="s">
        <v>1703</v>
      </c>
      <c r="Z302" s="2" t="s">
        <v>1510</v>
      </c>
      <c r="AA302" s="2" t="s">
        <v>1511</v>
      </c>
      <c r="AB302" s="2" t="s">
        <v>1539</v>
      </c>
      <c r="AC302" s="2" t="s">
        <v>1513</v>
      </c>
      <c r="AD302" s="2" t="s">
        <v>1704</v>
      </c>
    </row>
    <row r="303" spans="1:30" x14ac:dyDescent="0.45">
      <c r="A303" s="2" t="s">
        <v>1718</v>
      </c>
      <c r="B303" s="2" t="s">
        <v>1719</v>
      </c>
      <c r="C303" s="2" t="s">
        <v>1720</v>
      </c>
      <c r="D303" s="2" t="s">
        <v>1275</v>
      </c>
      <c r="E303" s="2">
        <v>2024</v>
      </c>
      <c r="F303" s="2" t="s">
        <v>1721</v>
      </c>
      <c r="G303" s="2">
        <v>307</v>
      </c>
      <c r="H303" s="2"/>
      <c r="I303" s="2">
        <v>132617</v>
      </c>
      <c r="J303" s="2"/>
      <c r="K303" s="2"/>
      <c r="L303" s="2">
        <v>0</v>
      </c>
      <c r="M303" s="2" t="s">
        <v>1722</v>
      </c>
      <c r="N303" s="2" t="s">
        <v>1723</v>
      </c>
      <c r="O303" s="2" t="s">
        <v>1561</v>
      </c>
      <c r="P303" s="2" t="s">
        <v>1724</v>
      </c>
      <c r="Q303" s="2" t="s">
        <v>1725</v>
      </c>
      <c r="R303" s="2"/>
      <c r="S303" s="2" t="s">
        <v>1524</v>
      </c>
      <c r="T303" s="2">
        <v>3605442</v>
      </c>
      <c r="U303" s="2" t="s">
        <v>1726</v>
      </c>
      <c r="V303" s="2" t="s">
        <v>1727</v>
      </c>
      <c r="W303" s="2"/>
      <c r="X303" s="2" t="s">
        <v>1508</v>
      </c>
      <c r="Y303" s="2" t="s">
        <v>1721</v>
      </c>
      <c r="Z303" s="2" t="s">
        <v>1510</v>
      </c>
      <c r="AA303" s="2" t="s">
        <v>1511</v>
      </c>
      <c r="AB303" s="2" t="s">
        <v>1539</v>
      </c>
      <c r="AC303" s="2" t="s">
        <v>1513</v>
      </c>
      <c r="AD303" s="2" t="s">
        <v>1728</v>
      </c>
    </row>
    <row r="304" spans="1:30" x14ac:dyDescent="0.45">
      <c r="A304" s="2" t="s">
        <v>1729</v>
      </c>
      <c r="B304" s="2" t="s">
        <v>1730</v>
      </c>
      <c r="C304" s="2">
        <v>57672504400</v>
      </c>
      <c r="D304" s="2" t="s">
        <v>1731</v>
      </c>
      <c r="E304" s="2">
        <v>2024</v>
      </c>
      <c r="F304" s="2" t="s">
        <v>1732</v>
      </c>
      <c r="G304" s="2"/>
      <c r="H304" s="2"/>
      <c r="I304" s="2">
        <v>36</v>
      </c>
      <c r="J304" s="2"/>
      <c r="K304" s="2"/>
      <c r="L304" s="2">
        <v>0</v>
      </c>
      <c r="M304" s="2" t="s">
        <v>1733</v>
      </c>
      <c r="N304" s="2" t="s">
        <v>1734</v>
      </c>
      <c r="O304" s="2" t="s">
        <v>1735</v>
      </c>
      <c r="P304" s="2" t="s">
        <v>1736</v>
      </c>
      <c r="Q304" s="2" t="s">
        <v>1737</v>
      </c>
      <c r="R304" s="2"/>
      <c r="S304" s="2" t="s">
        <v>1738</v>
      </c>
      <c r="T304" s="2"/>
      <c r="U304" s="2" t="s">
        <v>1739</v>
      </c>
      <c r="V304" s="2"/>
      <c r="W304" s="2"/>
      <c r="X304" s="2" t="s">
        <v>1508</v>
      </c>
      <c r="Y304" s="2" t="s">
        <v>1740</v>
      </c>
      <c r="Z304" s="2" t="s">
        <v>1741</v>
      </c>
      <c r="AA304" s="2" t="s">
        <v>1511</v>
      </c>
      <c r="AB304" s="2"/>
      <c r="AC304" s="2" t="s">
        <v>1513</v>
      </c>
      <c r="AD304" s="2" t="s">
        <v>1742</v>
      </c>
    </row>
    <row r="305" spans="1:30" x14ac:dyDescent="0.45">
      <c r="A305" s="2" t="s">
        <v>1794</v>
      </c>
      <c r="B305" s="2" t="s">
        <v>1795</v>
      </c>
      <c r="C305" s="2" t="s">
        <v>1796</v>
      </c>
      <c r="D305" s="2" t="s">
        <v>1308</v>
      </c>
      <c r="E305" s="2">
        <v>2024</v>
      </c>
      <c r="F305" s="2" t="s">
        <v>1797</v>
      </c>
      <c r="G305" s="2">
        <v>110</v>
      </c>
      <c r="H305" s="2">
        <v>10</v>
      </c>
      <c r="I305" s="2">
        <v>104429</v>
      </c>
      <c r="J305" s="2"/>
      <c r="K305" s="2"/>
      <c r="L305" s="2">
        <v>0</v>
      </c>
      <c r="M305" s="2" t="s">
        <v>1798</v>
      </c>
      <c r="N305" s="2" t="s">
        <v>1799</v>
      </c>
      <c r="O305" s="2" t="s">
        <v>1800</v>
      </c>
      <c r="P305" s="2" t="s">
        <v>1801</v>
      </c>
      <c r="Q305" s="2" t="s">
        <v>1802</v>
      </c>
      <c r="R305" s="2"/>
      <c r="S305" s="2" t="s">
        <v>1803</v>
      </c>
      <c r="T305" s="2">
        <v>24699950</v>
      </c>
      <c r="U305" s="2"/>
      <c r="V305" s="2"/>
      <c r="W305" s="2"/>
      <c r="X305" s="2" t="s">
        <v>1508</v>
      </c>
      <c r="Y305" s="2" t="s">
        <v>1804</v>
      </c>
      <c r="Z305" s="2" t="s">
        <v>1510</v>
      </c>
      <c r="AA305" s="2" t="s">
        <v>1511</v>
      </c>
      <c r="AB305" s="2"/>
      <c r="AC305" s="2" t="s">
        <v>1513</v>
      </c>
      <c r="AD305" s="2" t="s">
        <v>1805</v>
      </c>
    </row>
    <row r="306" spans="1:30" x14ac:dyDescent="0.45">
      <c r="A306" s="2" t="s">
        <v>2009</v>
      </c>
      <c r="B306" s="2" t="s">
        <v>2010</v>
      </c>
      <c r="C306" s="2" t="s">
        <v>2011</v>
      </c>
      <c r="D306" s="2" t="s">
        <v>2012</v>
      </c>
      <c r="E306" s="2">
        <v>2024</v>
      </c>
      <c r="F306" s="2" t="s">
        <v>2013</v>
      </c>
      <c r="G306" s="2"/>
      <c r="H306" s="2"/>
      <c r="I306" s="2">
        <v>332</v>
      </c>
      <c r="J306" s="2"/>
      <c r="K306" s="2"/>
      <c r="L306" s="2">
        <v>0</v>
      </c>
      <c r="M306" s="2" t="s">
        <v>2014</v>
      </c>
      <c r="N306" s="2" t="s">
        <v>2015</v>
      </c>
      <c r="O306" s="2" t="s">
        <v>2016</v>
      </c>
      <c r="P306" s="2" t="s">
        <v>2017</v>
      </c>
      <c r="Q306" s="2"/>
      <c r="R306" s="2"/>
      <c r="S306" s="2" t="s">
        <v>1738</v>
      </c>
      <c r="T306" s="2"/>
      <c r="U306" s="2" t="s">
        <v>2018</v>
      </c>
      <c r="V306" s="2"/>
      <c r="W306" s="2"/>
      <c r="X306" s="2" t="s">
        <v>1508</v>
      </c>
      <c r="Y306" s="2" t="s">
        <v>2019</v>
      </c>
      <c r="Z306" s="2" t="s">
        <v>1741</v>
      </c>
      <c r="AA306" s="2" t="s">
        <v>1511</v>
      </c>
      <c r="AB306" s="2" t="s">
        <v>1603</v>
      </c>
      <c r="AC306" s="2" t="s">
        <v>1513</v>
      </c>
      <c r="AD306" s="2" t="s">
        <v>2020</v>
      </c>
    </row>
    <row r="307" spans="1:30" x14ac:dyDescent="0.45">
      <c r="A307" s="2" t="s">
        <v>2021</v>
      </c>
      <c r="B307" s="2" t="s">
        <v>2022</v>
      </c>
      <c r="C307" s="2" t="s">
        <v>2023</v>
      </c>
      <c r="D307" s="2" t="s">
        <v>2024</v>
      </c>
      <c r="E307" s="2">
        <v>2024</v>
      </c>
      <c r="F307" s="2" t="s">
        <v>2013</v>
      </c>
      <c r="G307" s="2"/>
      <c r="H307" s="2"/>
      <c r="I307" s="2">
        <v>852</v>
      </c>
      <c r="J307" s="2"/>
      <c r="K307" s="2"/>
      <c r="L307" s="2">
        <v>0</v>
      </c>
      <c r="M307" s="2" t="s">
        <v>2025</v>
      </c>
      <c r="N307" s="2" t="s">
        <v>2026</v>
      </c>
      <c r="O307" s="2" t="s">
        <v>2016</v>
      </c>
      <c r="P307" s="2" t="s">
        <v>2027</v>
      </c>
      <c r="Q307" s="2"/>
      <c r="R307" s="2"/>
      <c r="S307" s="2" t="s">
        <v>1738</v>
      </c>
      <c r="T307" s="2"/>
      <c r="U307" s="2" t="s">
        <v>2018</v>
      </c>
      <c r="V307" s="2"/>
      <c r="W307" s="2"/>
      <c r="X307" s="2" t="s">
        <v>1508</v>
      </c>
      <c r="Y307" s="2" t="s">
        <v>2019</v>
      </c>
      <c r="Z307" s="2" t="s">
        <v>1741</v>
      </c>
      <c r="AA307" s="2" t="s">
        <v>1511</v>
      </c>
      <c r="AB307" s="2" t="s">
        <v>1603</v>
      </c>
      <c r="AC307" s="2" t="s">
        <v>1513</v>
      </c>
      <c r="AD307" s="2" t="s">
        <v>2028</v>
      </c>
    </row>
    <row r="308" spans="1:30" x14ac:dyDescent="0.45">
      <c r="A308" s="2" t="s">
        <v>2029</v>
      </c>
      <c r="B308" s="2" t="s">
        <v>2030</v>
      </c>
      <c r="C308" s="2" t="s">
        <v>2031</v>
      </c>
      <c r="D308" s="2" t="s">
        <v>2032</v>
      </c>
      <c r="E308" s="2">
        <v>2024</v>
      </c>
      <c r="F308" s="2" t="s">
        <v>2033</v>
      </c>
      <c r="G308" s="2">
        <v>11</v>
      </c>
      <c r="H308" s="2">
        <v>6</v>
      </c>
      <c r="I308" s="2"/>
      <c r="J308" s="2">
        <v>2693</v>
      </c>
      <c r="K308" s="2">
        <v>2702</v>
      </c>
      <c r="L308" s="2">
        <v>0</v>
      </c>
      <c r="M308" s="2" t="s">
        <v>2034</v>
      </c>
      <c r="N308" s="2" t="s">
        <v>2035</v>
      </c>
      <c r="O308" s="2" t="s">
        <v>1735</v>
      </c>
      <c r="P308" s="2" t="s">
        <v>2036</v>
      </c>
      <c r="Q308" s="2" t="s">
        <v>1921</v>
      </c>
      <c r="R308" s="2"/>
      <c r="S308" s="2" t="s">
        <v>1884</v>
      </c>
      <c r="T308" s="2">
        <v>20518153</v>
      </c>
      <c r="U308" s="2"/>
      <c r="V308" s="2"/>
      <c r="W308" s="2"/>
      <c r="X308" s="2" t="s">
        <v>1508</v>
      </c>
      <c r="Y308" s="2" t="s">
        <v>2037</v>
      </c>
      <c r="Z308" s="2" t="s">
        <v>1510</v>
      </c>
      <c r="AA308" s="2" t="s">
        <v>1511</v>
      </c>
      <c r="AB308" s="2"/>
      <c r="AC308" s="2" t="s">
        <v>1513</v>
      </c>
      <c r="AD308" s="2" t="s">
        <v>2038</v>
      </c>
    </row>
    <row r="309" spans="1:30" x14ac:dyDescent="0.45">
      <c r="A309" s="2" t="s">
        <v>2230</v>
      </c>
      <c r="B309" s="2" t="s">
        <v>2231</v>
      </c>
      <c r="C309" s="2" t="s">
        <v>2232</v>
      </c>
      <c r="D309" s="2" t="s">
        <v>2233</v>
      </c>
      <c r="E309" s="2">
        <v>2024</v>
      </c>
      <c r="F309" s="2" t="s">
        <v>2234</v>
      </c>
      <c r="G309" s="2">
        <v>3</v>
      </c>
      <c r="H309" s="2">
        <v>5</v>
      </c>
      <c r="I309" s="2"/>
      <c r="J309" s="2">
        <v>172</v>
      </c>
      <c r="K309" s="2"/>
      <c r="L309" s="2">
        <v>0</v>
      </c>
      <c r="M309" s="2" t="s">
        <v>2235</v>
      </c>
      <c r="N309" s="2" t="s">
        <v>2236</v>
      </c>
      <c r="O309" s="2" t="s">
        <v>2237</v>
      </c>
      <c r="P309" s="2" t="s">
        <v>2238</v>
      </c>
      <c r="Q309" s="2" t="s">
        <v>2239</v>
      </c>
      <c r="R309" s="2"/>
      <c r="S309" s="2" t="s">
        <v>2240</v>
      </c>
      <c r="T309" s="2" t="s">
        <v>2241</v>
      </c>
      <c r="U309" s="2"/>
      <c r="V309" s="2"/>
      <c r="W309" s="2"/>
      <c r="X309" s="2" t="s">
        <v>1508</v>
      </c>
      <c r="Y309" s="2" t="s">
        <v>2242</v>
      </c>
      <c r="Z309" s="2" t="s">
        <v>1641</v>
      </c>
      <c r="AA309" s="2" t="s">
        <v>1511</v>
      </c>
      <c r="AB309" s="2"/>
      <c r="AC309" s="2" t="s">
        <v>1513</v>
      </c>
      <c r="AD309" s="2" t="s">
        <v>2243</v>
      </c>
    </row>
    <row r="310" spans="1:30" x14ac:dyDescent="0.45">
      <c r="A310" s="2" t="s">
        <v>2244</v>
      </c>
      <c r="B310" s="2" t="s">
        <v>2245</v>
      </c>
      <c r="C310" s="2" t="s">
        <v>2246</v>
      </c>
      <c r="D310" s="2" t="s">
        <v>1405</v>
      </c>
      <c r="E310" s="2">
        <v>2024</v>
      </c>
      <c r="F310" s="2" t="s">
        <v>2234</v>
      </c>
      <c r="G310" s="2">
        <v>3</v>
      </c>
      <c r="H310" s="2">
        <v>4</v>
      </c>
      <c r="I310" s="2"/>
      <c r="J310" s="2">
        <v>118</v>
      </c>
      <c r="K310" s="2">
        <v>119</v>
      </c>
      <c r="L310" s="2">
        <v>0</v>
      </c>
      <c r="M310" s="2" t="s">
        <v>2247</v>
      </c>
      <c r="N310" s="2" t="s">
        <v>2248</v>
      </c>
      <c r="O310" s="2" t="s">
        <v>2249</v>
      </c>
      <c r="P310" s="2" t="s">
        <v>2250</v>
      </c>
      <c r="Q310" s="2" t="s">
        <v>2251</v>
      </c>
      <c r="R310" s="2"/>
      <c r="S310" s="2" t="s">
        <v>2240</v>
      </c>
      <c r="T310" s="2" t="s">
        <v>2241</v>
      </c>
      <c r="U310" s="2"/>
      <c r="V310" s="2"/>
      <c r="W310" s="2"/>
      <c r="X310" s="2" t="s">
        <v>1508</v>
      </c>
      <c r="Y310" s="2" t="s">
        <v>2242</v>
      </c>
      <c r="Z310" s="2" t="s">
        <v>1641</v>
      </c>
      <c r="AA310" s="2" t="s">
        <v>1511</v>
      </c>
      <c r="AB310" s="2"/>
      <c r="AC310" s="2" t="s">
        <v>1513</v>
      </c>
      <c r="AD310" s="2" t="s">
        <v>2252</v>
      </c>
    </row>
    <row r="311" spans="1:30" x14ac:dyDescent="0.45">
      <c r="A311" s="2" t="s">
        <v>2267</v>
      </c>
      <c r="B311" s="2" t="s">
        <v>2268</v>
      </c>
      <c r="C311" s="2" t="s">
        <v>2269</v>
      </c>
      <c r="D311" s="2" t="s">
        <v>2270</v>
      </c>
      <c r="E311" s="2">
        <v>2024</v>
      </c>
      <c r="F311" s="2" t="s">
        <v>2271</v>
      </c>
      <c r="G311" s="2"/>
      <c r="H311" s="2"/>
      <c r="I311" s="2"/>
      <c r="J311" s="2">
        <v>117</v>
      </c>
      <c r="K311" s="2">
        <v>129</v>
      </c>
      <c r="L311" s="2">
        <v>0</v>
      </c>
      <c r="M311" s="2" t="s">
        <v>2272</v>
      </c>
      <c r="N311" s="2" t="s">
        <v>2273</v>
      </c>
      <c r="O311" s="2" t="s">
        <v>2274</v>
      </c>
      <c r="P311" s="2" t="s">
        <v>2275</v>
      </c>
      <c r="Q311" s="2"/>
      <c r="R311" s="2"/>
      <c r="S311" s="2" t="s">
        <v>2276</v>
      </c>
      <c r="T311" s="2"/>
      <c r="U311" s="2" t="s">
        <v>2277</v>
      </c>
      <c r="V311" s="2"/>
      <c r="W311" s="2"/>
      <c r="X311" s="2" t="s">
        <v>1508</v>
      </c>
      <c r="Y311" s="2" t="s">
        <v>2271</v>
      </c>
      <c r="Z311" s="2" t="s">
        <v>2278</v>
      </c>
      <c r="AA311" s="2" t="s">
        <v>1511</v>
      </c>
      <c r="AB311" s="2"/>
      <c r="AC311" s="2" t="s">
        <v>1513</v>
      </c>
      <c r="AD311" s="2" t="s">
        <v>2279</v>
      </c>
    </row>
    <row r="312" spans="1:30" x14ac:dyDescent="0.45">
      <c r="A312" s="2" t="s">
        <v>2280</v>
      </c>
      <c r="B312" s="2" t="s">
        <v>2281</v>
      </c>
      <c r="C312" s="2" t="s">
        <v>2282</v>
      </c>
      <c r="D312" s="2" t="s">
        <v>2283</v>
      </c>
      <c r="E312" s="2">
        <v>2024</v>
      </c>
      <c r="F312" s="2" t="s">
        <v>2284</v>
      </c>
      <c r="G312" s="2">
        <v>9</v>
      </c>
      <c r="H312" s="2"/>
      <c r="I312" s="2" t="s">
        <v>2285</v>
      </c>
      <c r="J312" s="2"/>
      <c r="K312" s="2"/>
      <c r="L312" s="2">
        <v>0</v>
      </c>
      <c r="M312" s="2" t="s">
        <v>2286</v>
      </c>
      <c r="N312" s="2" t="s">
        <v>2287</v>
      </c>
      <c r="O312" s="2" t="s">
        <v>2288</v>
      </c>
      <c r="P312" s="2" t="s">
        <v>2289</v>
      </c>
      <c r="Q312" s="2"/>
      <c r="R312" s="2"/>
      <c r="S312" s="2" t="s">
        <v>2263</v>
      </c>
      <c r="T312" s="2"/>
      <c r="U312" s="3">
        <v>9780790000000</v>
      </c>
      <c r="V312" s="2"/>
      <c r="W312" s="2"/>
      <c r="X312" s="2" t="s">
        <v>1508</v>
      </c>
      <c r="Y312" s="2" t="s">
        <v>2290</v>
      </c>
      <c r="Z312" s="2" t="s">
        <v>1741</v>
      </c>
      <c r="AA312" s="2" t="s">
        <v>1511</v>
      </c>
      <c r="AB312" s="2"/>
      <c r="AC312" s="2" t="s">
        <v>1513</v>
      </c>
      <c r="AD312" s="2" t="s">
        <v>2291</v>
      </c>
    </row>
    <row r="313" spans="1:30" x14ac:dyDescent="0.45">
      <c r="A313" s="2" t="s">
        <v>2738</v>
      </c>
      <c r="B313" s="2" t="s">
        <v>2739</v>
      </c>
      <c r="C313" s="2" t="s">
        <v>2740</v>
      </c>
      <c r="D313" s="2" t="s">
        <v>2741</v>
      </c>
      <c r="E313" s="2">
        <v>2023</v>
      </c>
      <c r="F313" s="2" t="s">
        <v>2742</v>
      </c>
      <c r="G313" s="2">
        <v>74</v>
      </c>
      <c r="H313" s="2"/>
      <c r="I313" s="2"/>
      <c r="J313" s="2">
        <v>1</v>
      </c>
      <c r="K313" s="2">
        <v>27</v>
      </c>
      <c r="L313" s="2">
        <v>0</v>
      </c>
      <c r="M313" s="2" t="s">
        <v>2743</v>
      </c>
      <c r="N313" s="2" t="s">
        <v>2744</v>
      </c>
      <c r="O313" s="2" t="s">
        <v>2745</v>
      </c>
      <c r="P313" s="2" t="s">
        <v>2746</v>
      </c>
      <c r="Q313" s="2"/>
      <c r="R313" s="2"/>
      <c r="S313" s="2" t="s">
        <v>2747</v>
      </c>
      <c r="T313" s="2" t="s">
        <v>2748</v>
      </c>
      <c r="U313" s="2" t="s">
        <v>2749</v>
      </c>
      <c r="V313" s="2" t="s">
        <v>2750</v>
      </c>
      <c r="W313" s="2">
        <v>36719975</v>
      </c>
      <c r="X313" s="2" t="s">
        <v>1508</v>
      </c>
      <c r="Y313" s="2" t="s">
        <v>2751</v>
      </c>
      <c r="Z313" s="2" t="s">
        <v>1641</v>
      </c>
      <c r="AA313" s="2" t="s">
        <v>1511</v>
      </c>
      <c r="AB313" s="2" t="s">
        <v>1512</v>
      </c>
      <c r="AC313" s="2" t="s">
        <v>1513</v>
      </c>
      <c r="AD313" s="2" t="s">
        <v>2752</v>
      </c>
    </row>
    <row r="314" spans="1:30" x14ac:dyDescent="0.45">
      <c r="A314" s="2" t="s">
        <v>2889</v>
      </c>
      <c r="B314" s="2" t="s">
        <v>2890</v>
      </c>
      <c r="C314" s="2" t="s">
        <v>2891</v>
      </c>
      <c r="D314" s="2" t="s">
        <v>2892</v>
      </c>
      <c r="E314" s="2">
        <v>2023</v>
      </c>
      <c r="F314" s="2" t="s">
        <v>2257</v>
      </c>
      <c r="G314" s="2">
        <v>2</v>
      </c>
      <c r="H314" s="2"/>
      <c r="I314" s="2" t="s">
        <v>2893</v>
      </c>
      <c r="J314" s="2"/>
      <c r="K314" s="2"/>
      <c r="L314" s="2">
        <v>0</v>
      </c>
      <c r="M314" s="2" t="s">
        <v>2894</v>
      </c>
      <c r="N314" s="2" t="s">
        <v>2895</v>
      </c>
      <c r="O314" s="2" t="s">
        <v>2353</v>
      </c>
      <c r="P314" s="2" t="s">
        <v>2896</v>
      </c>
      <c r="Q314" s="2"/>
      <c r="R314" s="2"/>
      <c r="S314" s="2" t="s">
        <v>2263</v>
      </c>
      <c r="T314" s="2"/>
      <c r="U314" s="2" t="s">
        <v>2897</v>
      </c>
      <c r="V314" s="2"/>
      <c r="W314" s="2"/>
      <c r="X314" s="2" t="s">
        <v>1508</v>
      </c>
      <c r="Y314" s="2" t="s">
        <v>2265</v>
      </c>
      <c r="Z314" s="2" t="s">
        <v>1741</v>
      </c>
      <c r="AA314" s="2" t="s">
        <v>1511</v>
      </c>
      <c r="AB314" s="2"/>
      <c r="AC314" s="2" t="s">
        <v>1513</v>
      </c>
      <c r="AD314" s="2" t="s">
        <v>2898</v>
      </c>
    </row>
    <row r="315" spans="1:30" x14ac:dyDescent="0.45">
      <c r="A315" s="2" t="s">
        <v>2369</v>
      </c>
      <c r="B315" s="2" t="s">
        <v>2370</v>
      </c>
      <c r="C315" s="2" t="s">
        <v>2371</v>
      </c>
      <c r="D315" s="2" t="s">
        <v>2899</v>
      </c>
      <c r="E315" s="2">
        <v>2023</v>
      </c>
      <c r="F315" s="2" t="s">
        <v>2257</v>
      </c>
      <c r="G315" s="2">
        <v>2</v>
      </c>
      <c r="H315" s="2"/>
      <c r="I315" s="2" t="s">
        <v>2900</v>
      </c>
      <c r="J315" s="2"/>
      <c r="K315" s="2"/>
      <c r="L315" s="2">
        <v>0</v>
      </c>
      <c r="M315" s="2" t="s">
        <v>2901</v>
      </c>
      <c r="N315" s="2" t="s">
        <v>2902</v>
      </c>
      <c r="O315" s="2" t="s">
        <v>2903</v>
      </c>
      <c r="P315" s="2" t="s">
        <v>2904</v>
      </c>
      <c r="Q315" s="2"/>
      <c r="R315" s="2"/>
      <c r="S315" s="2" t="s">
        <v>2263</v>
      </c>
      <c r="T315" s="2"/>
      <c r="U315" s="2" t="s">
        <v>2897</v>
      </c>
      <c r="V315" s="2"/>
      <c r="W315" s="2"/>
      <c r="X315" s="2" t="s">
        <v>1508</v>
      </c>
      <c r="Y315" s="2" t="s">
        <v>2265</v>
      </c>
      <c r="Z315" s="2" t="s">
        <v>1741</v>
      </c>
      <c r="AA315" s="2" t="s">
        <v>1511</v>
      </c>
      <c r="AB315" s="2"/>
      <c r="AC315" s="2" t="s">
        <v>1513</v>
      </c>
      <c r="AD315" s="2" t="s">
        <v>2905</v>
      </c>
    </row>
    <row r="316" spans="1:30" x14ac:dyDescent="0.45">
      <c r="A316" s="2" t="s">
        <v>2529</v>
      </c>
      <c r="B316" s="2" t="s">
        <v>2530</v>
      </c>
      <c r="C316" s="2" t="s">
        <v>2531</v>
      </c>
      <c r="D316" s="2" t="s">
        <v>445</v>
      </c>
      <c r="E316" s="2">
        <v>2023</v>
      </c>
      <c r="F316" s="2" t="s">
        <v>2929</v>
      </c>
      <c r="G316" s="2"/>
      <c r="H316" s="2"/>
      <c r="I316" s="2"/>
      <c r="J316" s="2"/>
      <c r="K316" s="2"/>
      <c r="L316" s="2">
        <v>0</v>
      </c>
      <c r="M316" s="2" t="s">
        <v>2930</v>
      </c>
      <c r="N316" s="2" t="s">
        <v>2931</v>
      </c>
      <c r="O316" s="2" t="s">
        <v>2101</v>
      </c>
      <c r="P316" s="2" t="s">
        <v>2535</v>
      </c>
      <c r="Q316" s="2" t="s">
        <v>2932</v>
      </c>
      <c r="R316" s="2"/>
      <c r="S316" s="2" t="s">
        <v>2226</v>
      </c>
      <c r="T316" s="2"/>
      <c r="U316" s="3">
        <v>9781670000000</v>
      </c>
      <c r="V316" s="2"/>
      <c r="W316" s="2"/>
      <c r="X316" s="2" t="s">
        <v>1508</v>
      </c>
      <c r="Y316" s="2" t="s">
        <v>2933</v>
      </c>
      <c r="Z316" s="2" t="s">
        <v>1741</v>
      </c>
      <c r="AA316" s="2" t="s">
        <v>1511</v>
      </c>
      <c r="AB316" s="2"/>
      <c r="AC316" s="2" t="s">
        <v>1513</v>
      </c>
      <c r="AD316" s="2" t="s">
        <v>2934</v>
      </c>
    </row>
    <row r="317" spans="1:30" x14ac:dyDescent="0.45">
      <c r="A317" s="2" t="s">
        <v>2952</v>
      </c>
      <c r="B317" s="2" t="s">
        <v>2953</v>
      </c>
      <c r="C317" s="2" t="s">
        <v>2954</v>
      </c>
      <c r="D317" s="2" t="s">
        <v>2955</v>
      </c>
      <c r="E317" s="2">
        <v>2023</v>
      </c>
      <c r="F317" s="2" t="s">
        <v>2956</v>
      </c>
      <c r="G317" s="2"/>
      <c r="H317" s="2"/>
      <c r="I317" s="2"/>
      <c r="J317" s="2">
        <v>83</v>
      </c>
      <c r="K317" s="2">
        <v>99</v>
      </c>
      <c r="L317" s="2">
        <v>0</v>
      </c>
      <c r="M317" s="2" t="s">
        <v>2957</v>
      </c>
      <c r="N317" s="2" t="s">
        <v>2958</v>
      </c>
      <c r="O317" s="2" t="s">
        <v>2959</v>
      </c>
      <c r="P317" s="2" t="s">
        <v>2960</v>
      </c>
      <c r="Q317" s="2"/>
      <c r="R317" s="2"/>
      <c r="S317" s="2" t="s">
        <v>2961</v>
      </c>
      <c r="T317" s="2"/>
      <c r="U317" s="2" t="s">
        <v>2962</v>
      </c>
      <c r="V317" s="2"/>
      <c r="W317" s="2"/>
      <c r="X317" s="2" t="s">
        <v>1508</v>
      </c>
      <c r="Y317" s="2" t="s">
        <v>2963</v>
      </c>
      <c r="Z317" s="2" t="s">
        <v>2278</v>
      </c>
      <c r="AA317" s="2" t="s">
        <v>1511</v>
      </c>
      <c r="AB317" s="2" t="s">
        <v>1603</v>
      </c>
      <c r="AC317" s="2" t="s">
        <v>1513</v>
      </c>
      <c r="AD317" s="2" t="s">
        <v>2964</v>
      </c>
    </row>
    <row r="318" spans="1:30" x14ac:dyDescent="0.45">
      <c r="A318" s="2" t="s">
        <v>2986</v>
      </c>
      <c r="B318" s="2" t="s">
        <v>2987</v>
      </c>
      <c r="C318" s="2" t="s">
        <v>2988</v>
      </c>
      <c r="D318" s="2" t="s">
        <v>2989</v>
      </c>
      <c r="E318" s="2">
        <v>2023</v>
      </c>
      <c r="F318" s="2" t="s">
        <v>2990</v>
      </c>
      <c r="G318" s="2">
        <v>2689</v>
      </c>
      <c r="H318" s="2"/>
      <c r="I318" s="2"/>
      <c r="J318" s="2">
        <v>13</v>
      </c>
      <c r="K318" s="2">
        <v>25</v>
      </c>
      <c r="L318" s="2">
        <v>0</v>
      </c>
      <c r="M318" s="2" t="s">
        <v>2991</v>
      </c>
      <c r="N318" s="2" t="s">
        <v>2992</v>
      </c>
      <c r="O318" s="2" t="s">
        <v>2993</v>
      </c>
      <c r="P318" s="2" t="s">
        <v>2994</v>
      </c>
      <c r="Q318" s="2" t="s">
        <v>2995</v>
      </c>
      <c r="R318" s="2"/>
      <c r="S318" s="2" t="s">
        <v>2996</v>
      </c>
      <c r="T318" s="2">
        <v>10643745</v>
      </c>
      <c r="U318" s="2" t="s">
        <v>2997</v>
      </c>
      <c r="V318" s="2"/>
      <c r="W318" s="2">
        <v>37430043</v>
      </c>
      <c r="X318" s="2" t="s">
        <v>1508</v>
      </c>
      <c r="Y318" s="2" t="s">
        <v>2998</v>
      </c>
      <c r="Z318" s="2" t="s">
        <v>2278</v>
      </c>
      <c r="AA318" s="2" t="s">
        <v>1511</v>
      </c>
      <c r="AB318" s="2"/>
      <c r="AC318" s="2" t="s">
        <v>1513</v>
      </c>
      <c r="AD318" s="2" t="s">
        <v>2999</v>
      </c>
    </row>
    <row r="319" spans="1:30" x14ac:dyDescent="0.45">
      <c r="A319" s="2" t="s">
        <v>3095</v>
      </c>
      <c r="B319" s="2" t="s">
        <v>3096</v>
      </c>
      <c r="C319" s="2" t="s">
        <v>3097</v>
      </c>
      <c r="D319" s="2" t="s">
        <v>3098</v>
      </c>
      <c r="E319" s="2">
        <v>2023</v>
      </c>
      <c r="F319" s="2" t="s">
        <v>3088</v>
      </c>
      <c r="G319" s="2"/>
      <c r="H319" s="2"/>
      <c r="I319" s="2"/>
      <c r="J319" s="2">
        <v>67</v>
      </c>
      <c r="K319" s="2">
        <v>70</v>
      </c>
      <c r="L319" s="2">
        <v>0</v>
      </c>
      <c r="M319" s="2" t="s">
        <v>3099</v>
      </c>
      <c r="N319" s="2" t="s">
        <v>3100</v>
      </c>
      <c r="O319" s="2" t="s">
        <v>1735</v>
      </c>
      <c r="P319" s="2" t="s">
        <v>3101</v>
      </c>
      <c r="Q319" s="2"/>
      <c r="R319" s="2"/>
      <c r="S319" s="2" t="s">
        <v>2226</v>
      </c>
      <c r="T319" s="2"/>
      <c r="U319" s="3">
        <v>9798350000000</v>
      </c>
      <c r="V319" s="2"/>
      <c r="W319" s="2"/>
      <c r="X319" s="2" t="s">
        <v>1508</v>
      </c>
      <c r="Y319" s="2" t="s">
        <v>3093</v>
      </c>
      <c r="Z319" s="2" t="s">
        <v>1741</v>
      </c>
      <c r="AA319" s="2" t="s">
        <v>1511</v>
      </c>
      <c r="AB319" s="2"/>
      <c r="AC319" s="2" t="s">
        <v>1513</v>
      </c>
      <c r="AD319" s="2" t="s">
        <v>3102</v>
      </c>
    </row>
    <row r="320" spans="1:30" x14ac:dyDescent="0.45">
      <c r="A320" s="2" t="s">
        <v>3103</v>
      </c>
      <c r="B320" s="2" t="s">
        <v>3104</v>
      </c>
      <c r="C320" s="2" t="s">
        <v>3105</v>
      </c>
      <c r="D320" s="2" t="s">
        <v>3106</v>
      </c>
      <c r="E320" s="2">
        <v>2023</v>
      </c>
      <c r="F320" s="2" t="s">
        <v>3088</v>
      </c>
      <c r="G320" s="2"/>
      <c r="H320" s="2"/>
      <c r="I320" s="2"/>
      <c r="J320" s="2">
        <v>192</v>
      </c>
      <c r="K320" s="2">
        <v>195</v>
      </c>
      <c r="L320" s="2">
        <v>0</v>
      </c>
      <c r="M320" s="2" t="s">
        <v>3107</v>
      </c>
      <c r="N320" s="2" t="s">
        <v>3108</v>
      </c>
      <c r="O320" s="2" t="s">
        <v>1735</v>
      </c>
      <c r="P320" s="2" t="s">
        <v>3109</v>
      </c>
      <c r="Q320" s="2"/>
      <c r="R320" s="2"/>
      <c r="S320" s="2" t="s">
        <v>2226</v>
      </c>
      <c r="T320" s="2"/>
      <c r="U320" s="3">
        <v>9798350000000</v>
      </c>
      <c r="V320" s="2"/>
      <c r="W320" s="2"/>
      <c r="X320" s="2" t="s">
        <v>1508</v>
      </c>
      <c r="Y320" s="2" t="s">
        <v>3093</v>
      </c>
      <c r="Z320" s="2" t="s">
        <v>1741</v>
      </c>
      <c r="AA320" s="2" t="s">
        <v>1511</v>
      </c>
      <c r="AB320" s="2"/>
      <c r="AC320" s="2" t="s">
        <v>1513</v>
      </c>
      <c r="AD320" s="2" t="s">
        <v>3110</v>
      </c>
    </row>
    <row r="321" spans="1:30" x14ac:dyDescent="0.45">
      <c r="A321" s="2" t="s">
        <v>3218</v>
      </c>
      <c r="B321" s="2" t="s">
        <v>3219</v>
      </c>
      <c r="C321" s="2" t="s">
        <v>3220</v>
      </c>
      <c r="D321" s="2" t="s">
        <v>3221</v>
      </c>
      <c r="E321" s="2">
        <v>2022</v>
      </c>
      <c r="F321" s="2" t="s">
        <v>3222</v>
      </c>
      <c r="G321" s="2">
        <v>325</v>
      </c>
      <c r="H321" s="2"/>
      <c r="I321" s="2">
        <v>132861</v>
      </c>
      <c r="J321" s="2"/>
      <c r="K321" s="2"/>
      <c r="L321" s="2">
        <v>0</v>
      </c>
      <c r="M321" s="2" t="s">
        <v>3223</v>
      </c>
      <c r="N321" s="2" t="s">
        <v>3224</v>
      </c>
      <c r="O321" s="2" t="s">
        <v>3225</v>
      </c>
      <c r="P321" s="2" t="s">
        <v>3226</v>
      </c>
      <c r="Q321" s="2" t="s">
        <v>3227</v>
      </c>
      <c r="R321" s="2"/>
      <c r="S321" s="2" t="s">
        <v>1506</v>
      </c>
      <c r="T321" s="2" t="s">
        <v>3228</v>
      </c>
      <c r="U321" s="2"/>
      <c r="V321" s="2" t="s">
        <v>3229</v>
      </c>
      <c r="W321" s="2"/>
      <c r="X321" s="2" t="s">
        <v>1508</v>
      </c>
      <c r="Y321" s="2" t="s">
        <v>3230</v>
      </c>
      <c r="Z321" s="2" t="s">
        <v>1510</v>
      </c>
      <c r="AA321" s="2" t="s">
        <v>1511</v>
      </c>
      <c r="AB321" s="2" t="s">
        <v>1539</v>
      </c>
      <c r="AC321" s="2" t="s">
        <v>1513</v>
      </c>
      <c r="AD321" s="2" t="s">
        <v>3231</v>
      </c>
    </row>
    <row r="322" spans="1:30" x14ac:dyDescent="0.45">
      <c r="A322" s="2" t="s">
        <v>3359</v>
      </c>
      <c r="B322" s="2" t="s">
        <v>3360</v>
      </c>
      <c r="C322" s="2">
        <v>36983411900</v>
      </c>
      <c r="D322" s="2" t="s">
        <v>3361</v>
      </c>
      <c r="E322" s="2">
        <v>2022</v>
      </c>
      <c r="F322" s="2" t="s">
        <v>1826</v>
      </c>
      <c r="G322" s="2">
        <v>32</v>
      </c>
      <c r="H322" s="2"/>
      <c r="I322" s="2">
        <v>103897</v>
      </c>
      <c r="J322" s="2"/>
      <c r="K322" s="2"/>
      <c r="L322" s="2">
        <v>0</v>
      </c>
      <c r="M322" s="2" t="s">
        <v>3362</v>
      </c>
      <c r="N322" s="2" t="s">
        <v>3363</v>
      </c>
      <c r="O322" s="2" t="s">
        <v>3364</v>
      </c>
      <c r="P322" s="2" t="s">
        <v>3365</v>
      </c>
      <c r="Q322" s="2" t="s">
        <v>3366</v>
      </c>
      <c r="R322" s="2"/>
      <c r="S322" s="2" t="s">
        <v>1524</v>
      </c>
      <c r="T322" s="2"/>
      <c r="U322" s="2"/>
      <c r="V322" s="2"/>
      <c r="W322" s="2"/>
      <c r="X322" s="2" t="s">
        <v>1508</v>
      </c>
      <c r="Y322" s="2" t="s">
        <v>1832</v>
      </c>
      <c r="Z322" s="2" t="s">
        <v>1510</v>
      </c>
      <c r="AA322" s="2" t="s">
        <v>1511</v>
      </c>
      <c r="AB322" s="2"/>
      <c r="AC322" s="2" t="s">
        <v>1513</v>
      </c>
      <c r="AD322" s="2" t="s">
        <v>3367</v>
      </c>
    </row>
    <row r="323" spans="1:30" x14ac:dyDescent="0.45">
      <c r="A323" s="2" t="s">
        <v>3453</v>
      </c>
      <c r="B323" s="2" t="s">
        <v>3454</v>
      </c>
      <c r="C323" s="2" t="s">
        <v>3455</v>
      </c>
      <c r="D323" s="2" t="s">
        <v>3456</v>
      </c>
      <c r="E323" s="2">
        <v>2022</v>
      </c>
      <c r="F323" s="2" t="s">
        <v>1806</v>
      </c>
      <c r="G323" s="2">
        <v>258</v>
      </c>
      <c r="H323" s="2"/>
      <c r="I323" s="2">
        <v>115573</v>
      </c>
      <c r="J323" s="2"/>
      <c r="K323" s="2"/>
      <c r="L323" s="2">
        <v>0</v>
      </c>
      <c r="M323" s="2" t="s">
        <v>3457</v>
      </c>
      <c r="N323" s="2" t="s">
        <v>3458</v>
      </c>
      <c r="O323" s="2" t="s">
        <v>2781</v>
      </c>
      <c r="P323" s="2" t="s">
        <v>3459</v>
      </c>
      <c r="Q323" s="2" t="s">
        <v>3460</v>
      </c>
      <c r="R323" s="2"/>
      <c r="S323" s="2" t="s">
        <v>1524</v>
      </c>
      <c r="T323" s="2">
        <v>1968904</v>
      </c>
      <c r="U323" s="2"/>
      <c r="V323" s="2" t="s">
        <v>1809</v>
      </c>
      <c r="W323" s="2"/>
      <c r="X323" s="2" t="s">
        <v>1508</v>
      </c>
      <c r="Y323" s="2" t="s">
        <v>1810</v>
      </c>
      <c r="Z323" s="2" t="s">
        <v>3461</v>
      </c>
      <c r="AA323" s="2" t="s">
        <v>1511</v>
      </c>
      <c r="AB323" s="2"/>
      <c r="AC323" s="2" t="s">
        <v>1513</v>
      </c>
      <c r="AD323" s="2" t="s">
        <v>3462</v>
      </c>
    </row>
    <row r="324" spans="1:30" x14ac:dyDescent="0.45">
      <c r="A324" s="2" t="s">
        <v>3685</v>
      </c>
      <c r="B324" s="2" t="s">
        <v>3686</v>
      </c>
      <c r="C324" s="2" t="s">
        <v>3687</v>
      </c>
      <c r="D324" s="2" t="s">
        <v>3688</v>
      </c>
      <c r="E324" s="2">
        <v>2022</v>
      </c>
      <c r="F324" s="2" t="s">
        <v>3689</v>
      </c>
      <c r="G324" s="2" t="s">
        <v>3690</v>
      </c>
      <c r="H324" s="2"/>
      <c r="I324" s="2"/>
      <c r="J324" s="2"/>
      <c r="K324" s="2"/>
      <c r="L324" s="2">
        <v>0</v>
      </c>
      <c r="M324" s="2"/>
      <c r="N324" s="2" t="s">
        <v>3691</v>
      </c>
      <c r="O324" s="2" t="s">
        <v>3692</v>
      </c>
      <c r="P324" s="2" t="s">
        <v>3693</v>
      </c>
      <c r="Q324" s="2" t="s">
        <v>3694</v>
      </c>
      <c r="R324" s="2"/>
      <c r="S324" s="2" t="s">
        <v>3695</v>
      </c>
      <c r="T324" s="2">
        <v>741795</v>
      </c>
      <c r="U324" s="2" t="s">
        <v>3696</v>
      </c>
      <c r="V324" s="2"/>
      <c r="W324" s="2"/>
      <c r="X324" s="2" t="s">
        <v>1508</v>
      </c>
      <c r="Y324" s="2" t="s">
        <v>3697</v>
      </c>
      <c r="Z324" s="2" t="s">
        <v>1741</v>
      </c>
      <c r="AA324" s="2" t="s">
        <v>1511</v>
      </c>
      <c r="AB324" s="2"/>
      <c r="AC324" s="2" t="s">
        <v>1513</v>
      </c>
      <c r="AD324" s="2" t="s">
        <v>3698</v>
      </c>
    </row>
    <row r="325" spans="1:30" x14ac:dyDescent="0.45">
      <c r="A325" s="2" t="s">
        <v>3719</v>
      </c>
      <c r="B325" s="2" t="s">
        <v>3720</v>
      </c>
      <c r="C325" s="2" t="s">
        <v>3721</v>
      </c>
      <c r="D325" s="2" t="s">
        <v>3722</v>
      </c>
      <c r="E325" s="2">
        <v>2022</v>
      </c>
      <c r="F325" s="2" t="s">
        <v>3723</v>
      </c>
      <c r="G325" s="2"/>
      <c r="H325" s="2"/>
      <c r="I325" s="2" t="s">
        <v>3724</v>
      </c>
      <c r="J325" s="2"/>
      <c r="K325" s="2"/>
      <c r="L325" s="2">
        <v>0</v>
      </c>
      <c r="M325" s="2" t="s">
        <v>3725</v>
      </c>
      <c r="N325" s="2" t="s">
        <v>3726</v>
      </c>
      <c r="O325" s="2" t="s">
        <v>3727</v>
      </c>
      <c r="P325" s="2" t="s">
        <v>3728</v>
      </c>
      <c r="Q325" s="2"/>
      <c r="R325" s="2"/>
      <c r="S325" s="2" t="s">
        <v>2263</v>
      </c>
      <c r="T325" s="2"/>
      <c r="U325" s="3">
        <v>9780790000000</v>
      </c>
      <c r="V325" s="2"/>
      <c r="W325" s="2"/>
      <c r="X325" s="2" t="s">
        <v>1508</v>
      </c>
      <c r="Y325" s="2" t="s">
        <v>3729</v>
      </c>
      <c r="Z325" s="2" t="s">
        <v>1741</v>
      </c>
      <c r="AA325" s="2" t="s">
        <v>1511</v>
      </c>
      <c r="AB325" s="2"/>
      <c r="AC325" s="2" t="s">
        <v>1513</v>
      </c>
      <c r="AD325" s="2" t="s">
        <v>3730</v>
      </c>
    </row>
    <row r="326" spans="1:30" x14ac:dyDescent="0.45">
      <c r="A326" s="2" t="s">
        <v>3062</v>
      </c>
      <c r="B326" s="2" t="s">
        <v>3063</v>
      </c>
      <c r="C326" s="2" t="s">
        <v>3064</v>
      </c>
      <c r="D326" s="2" t="s">
        <v>3746</v>
      </c>
      <c r="E326" s="2">
        <v>2022</v>
      </c>
      <c r="F326" s="2" t="s">
        <v>2257</v>
      </c>
      <c r="G326" s="2" t="s">
        <v>3747</v>
      </c>
      <c r="H326" s="2"/>
      <c r="I326" s="2" t="s">
        <v>3748</v>
      </c>
      <c r="J326" s="2"/>
      <c r="K326" s="2"/>
      <c r="L326" s="2">
        <v>0</v>
      </c>
      <c r="M326" s="2" t="s">
        <v>3749</v>
      </c>
      <c r="N326" s="2" t="s">
        <v>3750</v>
      </c>
      <c r="O326" s="2" t="s">
        <v>1930</v>
      </c>
      <c r="P326" s="2" t="s">
        <v>3751</v>
      </c>
      <c r="Q326" s="2" t="s">
        <v>2355</v>
      </c>
      <c r="R326" s="2"/>
      <c r="S326" s="2" t="s">
        <v>2263</v>
      </c>
      <c r="T326" s="2"/>
      <c r="U326" s="2" t="s">
        <v>3752</v>
      </c>
      <c r="V326" s="2"/>
      <c r="W326" s="2"/>
      <c r="X326" s="2" t="s">
        <v>1508</v>
      </c>
      <c r="Y326" s="2" t="s">
        <v>2265</v>
      </c>
      <c r="Z326" s="2" t="s">
        <v>1741</v>
      </c>
      <c r="AA326" s="2" t="s">
        <v>1511</v>
      </c>
      <c r="AB326" s="2"/>
      <c r="AC326" s="2" t="s">
        <v>1513</v>
      </c>
      <c r="AD326" s="2" t="s">
        <v>3753</v>
      </c>
    </row>
    <row r="327" spans="1:30" x14ac:dyDescent="0.45">
      <c r="A327" s="2" t="s">
        <v>4101</v>
      </c>
      <c r="B327" s="2" t="s">
        <v>4102</v>
      </c>
      <c r="C327" s="2" t="s">
        <v>4103</v>
      </c>
      <c r="D327" s="2" t="s">
        <v>4104</v>
      </c>
      <c r="E327" s="2">
        <v>2021</v>
      </c>
      <c r="F327" s="2" t="s">
        <v>4105</v>
      </c>
      <c r="G327" s="2"/>
      <c r="H327" s="2"/>
      <c r="I327" s="2"/>
      <c r="J327" s="2">
        <v>1744</v>
      </c>
      <c r="K327" s="2">
        <v>1746</v>
      </c>
      <c r="L327" s="2">
        <v>0</v>
      </c>
      <c r="M327" s="2" t="s">
        <v>4106</v>
      </c>
      <c r="N327" s="2" t="s">
        <v>4107</v>
      </c>
      <c r="O327" s="2" t="s">
        <v>4108</v>
      </c>
      <c r="P327" s="2" t="s">
        <v>4109</v>
      </c>
      <c r="Q327" s="2"/>
      <c r="R327" s="2"/>
      <c r="S327" s="2" t="s">
        <v>2226</v>
      </c>
      <c r="T327" s="2">
        <v>1608371</v>
      </c>
      <c r="U327" s="2" t="s">
        <v>4110</v>
      </c>
      <c r="V327" s="2" t="s">
        <v>4111</v>
      </c>
      <c r="W327" s="2"/>
      <c r="X327" s="2" t="s">
        <v>1508</v>
      </c>
      <c r="Y327" s="2" t="s">
        <v>4112</v>
      </c>
      <c r="Z327" s="2" t="s">
        <v>1741</v>
      </c>
      <c r="AA327" s="2" t="s">
        <v>1511</v>
      </c>
      <c r="AB327" s="2"/>
      <c r="AC327" s="2" t="s">
        <v>1513</v>
      </c>
      <c r="AD327" s="2" t="s">
        <v>4113</v>
      </c>
    </row>
    <row r="328" spans="1:30" x14ac:dyDescent="0.45">
      <c r="A328" s="2" t="s">
        <v>4275</v>
      </c>
      <c r="B328" s="2" t="s">
        <v>4276</v>
      </c>
      <c r="C328" s="2" t="s">
        <v>4277</v>
      </c>
      <c r="D328" s="2" t="s">
        <v>1347</v>
      </c>
      <c r="E328" s="2">
        <v>2021</v>
      </c>
      <c r="F328" s="2" t="s">
        <v>4278</v>
      </c>
      <c r="G328" s="2"/>
      <c r="H328" s="2"/>
      <c r="I328" s="2"/>
      <c r="J328" s="2">
        <v>243</v>
      </c>
      <c r="K328" s="2">
        <v>277</v>
      </c>
      <c r="L328" s="2">
        <v>0</v>
      </c>
      <c r="M328" s="2" t="s">
        <v>4279</v>
      </c>
      <c r="N328" s="2" t="s">
        <v>4280</v>
      </c>
      <c r="O328" s="2" t="s">
        <v>4281</v>
      </c>
      <c r="P328" s="2" t="s">
        <v>4282</v>
      </c>
      <c r="Q328" s="2"/>
      <c r="R328" s="2"/>
      <c r="S328" s="2" t="s">
        <v>3028</v>
      </c>
      <c r="T328" s="2"/>
      <c r="U328" s="2" t="s">
        <v>4283</v>
      </c>
      <c r="V328" s="2"/>
      <c r="W328" s="2"/>
      <c r="X328" s="2" t="s">
        <v>1508</v>
      </c>
      <c r="Y328" s="2" t="s">
        <v>4278</v>
      </c>
      <c r="Z328" s="2" t="s">
        <v>2278</v>
      </c>
      <c r="AA328" s="2" t="s">
        <v>1511</v>
      </c>
      <c r="AB328" s="2"/>
      <c r="AC328" s="2" t="s">
        <v>1513</v>
      </c>
      <c r="AD328" s="2" t="s">
        <v>4284</v>
      </c>
    </row>
    <row r="329" spans="1:30" x14ac:dyDescent="0.45">
      <c r="A329" s="2" t="s">
        <v>4044</v>
      </c>
      <c r="B329" s="2" t="s">
        <v>4045</v>
      </c>
      <c r="C329" s="2" t="s">
        <v>4046</v>
      </c>
      <c r="D329" s="2" t="s">
        <v>1301</v>
      </c>
      <c r="E329" s="2">
        <v>2021</v>
      </c>
      <c r="F329" s="2" t="s">
        <v>4307</v>
      </c>
      <c r="G329" s="2"/>
      <c r="H329" s="2"/>
      <c r="I329" s="2"/>
      <c r="J329" s="2"/>
      <c r="K329" s="2"/>
      <c r="L329" s="2">
        <v>0</v>
      </c>
      <c r="M329" s="2" t="s">
        <v>4314</v>
      </c>
      <c r="N329" s="2" t="s">
        <v>4315</v>
      </c>
      <c r="O329" s="2" t="s">
        <v>4051</v>
      </c>
      <c r="P329" s="2" t="s">
        <v>4052</v>
      </c>
      <c r="Q329" s="2"/>
      <c r="R329" s="2"/>
      <c r="S329" s="2" t="s">
        <v>2226</v>
      </c>
      <c r="T329" s="2"/>
      <c r="U329" s="3">
        <v>9781670000000</v>
      </c>
      <c r="V329" s="2"/>
      <c r="W329" s="2"/>
      <c r="X329" s="2" t="s">
        <v>1508</v>
      </c>
      <c r="Y329" s="2" t="s">
        <v>4312</v>
      </c>
      <c r="Z329" s="2" t="s">
        <v>1741</v>
      </c>
      <c r="AA329" s="2" t="s">
        <v>1511</v>
      </c>
      <c r="AB329" s="2"/>
      <c r="AC329" s="2" t="s">
        <v>1513</v>
      </c>
      <c r="AD329" s="2" t="s">
        <v>4316</v>
      </c>
    </row>
    <row r="330" spans="1:30" x14ac:dyDescent="0.45">
      <c r="A330" s="2" t="s">
        <v>5129</v>
      </c>
      <c r="B330" s="2" t="s">
        <v>5130</v>
      </c>
      <c r="C330" s="2" t="s">
        <v>5131</v>
      </c>
      <c r="D330" s="2" t="s">
        <v>5132</v>
      </c>
      <c r="E330" s="2">
        <v>2020</v>
      </c>
      <c r="F330" s="2" t="s">
        <v>5133</v>
      </c>
      <c r="G330" s="2">
        <v>746</v>
      </c>
      <c r="H330" s="2"/>
      <c r="I330" s="2"/>
      <c r="J330" s="2">
        <v>17</v>
      </c>
      <c r="K330" s="2">
        <v>39</v>
      </c>
      <c r="L330" s="2">
        <v>0</v>
      </c>
      <c r="M330" s="2" t="s">
        <v>5134</v>
      </c>
      <c r="N330" s="2" t="s">
        <v>5135</v>
      </c>
      <c r="O330" s="2" t="s">
        <v>5136</v>
      </c>
      <c r="P330" s="2" t="s">
        <v>5137</v>
      </c>
      <c r="Q330" s="2" t="s">
        <v>5138</v>
      </c>
      <c r="R330" s="2"/>
      <c r="S330" s="2" t="s">
        <v>5139</v>
      </c>
      <c r="T330" s="2">
        <v>2714132</v>
      </c>
      <c r="U330" s="2" t="s">
        <v>5140</v>
      </c>
      <c r="V330" s="2"/>
      <c r="W330" s="2"/>
      <c r="X330" s="2" t="s">
        <v>1508</v>
      </c>
      <c r="Y330" s="2" t="s">
        <v>5141</v>
      </c>
      <c r="Z330" s="2" t="s">
        <v>1741</v>
      </c>
      <c r="AA330" s="2" t="s">
        <v>1511</v>
      </c>
      <c r="AB330" s="2"/>
      <c r="AC330" s="2" t="s">
        <v>1513</v>
      </c>
      <c r="AD330" s="2" t="s">
        <v>5142</v>
      </c>
    </row>
  </sheetData>
  <autoFilter ref="A1:AD1" xr:uid="{6078ED81-03FF-446F-A2B7-A993C50DB877}"/>
  <sortState xmlns:xlrd2="http://schemas.microsoft.com/office/spreadsheetml/2017/richdata2" ref="A2:AD330">
    <sortCondition descending="1" ref="L2:L330"/>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74AF8-0581-4E20-8FAF-099B964847A4}">
  <dimension ref="A1:I330"/>
  <sheetViews>
    <sheetView tabSelected="1" workbookViewId="0">
      <selection activeCell="H1" sqref="H1:I5"/>
    </sheetView>
  </sheetViews>
  <sheetFormatPr defaultRowHeight="14.25" x14ac:dyDescent="0.45"/>
  <cols>
    <col min="1" max="2" width="43" customWidth="1"/>
    <col min="3" max="3" width="16" bestFit="1" customWidth="1"/>
    <col min="4" max="5" width="52.46484375" customWidth="1"/>
    <col min="6" max="6" width="13.265625" bestFit="1" customWidth="1"/>
    <col min="8" max="8" width="23.33203125" bestFit="1" customWidth="1"/>
    <col min="9" max="9" width="11.73046875" bestFit="1" customWidth="1"/>
  </cols>
  <sheetData>
    <row r="1" spans="1:9" x14ac:dyDescent="0.45">
      <c r="A1" s="5" t="s">
        <v>5180</v>
      </c>
      <c r="B1" s="5" t="s">
        <v>5184</v>
      </c>
      <c r="C1" s="5" t="s">
        <v>5181</v>
      </c>
      <c r="D1" s="5" t="s">
        <v>5182</v>
      </c>
      <c r="E1" s="5" t="s">
        <v>5185</v>
      </c>
      <c r="F1" s="5" t="s">
        <v>5183</v>
      </c>
      <c r="H1" s="10" t="s">
        <v>5186</v>
      </c>
      <c r="I1" s="11"/>
    </row>
    <row r="2" spans="1:9" x14ac:dyDescent="0.45">
      <c r="A2" t="s">
        <v>391</v>
      </c>
      <c r="B2" t="str">
        <f>_xlfn.REGEXREPLACE(query2!B2, "https://doi.org/","")</f>
        <v>10.1038/s41467-021-21219-y</v>
      </c>
      <c r="C2">
        <v>294</v>
      </c>
      <c r="D2" s="2" t="s">
        <v>391</v>
      </c>
      <c r="E2" s="2" t="str">
        <f>'rio results'!M2</f>
        <v>10.1038/s41467-021-21219-y</v>
      </c>
      <c r="F2" s="2">
        <v>279</v>
      </c>
      <c r="H2" s="12" t="s">
        <v>5187</v>
      </c>
      <c r="I2" s="13" cm="1">
        <f t="array" ref="I2">COUNT(1-ISBLANK(A2:A200))</f>
        <v>199</v>
      </c>
    </row>
    <row r="3" spans="1:9" x14ac:dyDescent="0.45">
      <c r="A3" t="s">
        <v>20</v>
      </c>
      <c r="B3" t="str">
        <f>_xlfn.REGEXREPLACE(query2!B3, "https://doi.org/","")</f>
        <v>10.1088/2631-8695/ac2353</v>
      </c>
      <c r="C3">
        <v>124</v>
      </c>
      <c r="D3" s="2" t="s">
        <v>4939</v>
      </c>
      <c r="E3" s="2" t="str">
        <f>'rio results'!M3</f>
        <v>10.1136/bmj.m772</v>
      </c>
      <c r="F3" s="2">
        <v>170</v>
      </c>
      <c r="H3" s="14" t="s">
        <v>5188</v>
      </c>
      <c r="I3" s="15" cm="1">
        <f t="array" ref="I3">COUNT(1-ISBLANK(D2:D330))</f>
        <v>329</v>
      </c>
    </row>
    <row r="4" spans="1:9" x14ac:dyDescent="0.45">
      <c r="A4" t="s">
        <v>383</v>
      </c>
      <c r="B4" t="str">
        <f>_xlfn.REGEXREPLACE(query2!B4, "https://doi.org/","")</f>
        <v>10.1126/sciadv.aba5847</v>
      </c>
      <c r="C4">
        <v>123</v>
      </c>
      <c r="D4" s="2" t="s">
        <v>3405</v>
      </c>
      <c r="E4" s="2" t="str">
        <f>'rio results'!M4</f>
        <v>10.1038/s41586-022-04821-y</v>
      </c>
      <c r="F4" s="2">
        <v>142</v>
      </c>
      <c r="H4" s="16" t="s">
        <v>5189</v>
      </c>
      <c r="I4" s="17" cm="1">
        <f t="array" ref="I4">SUM(IF(NOT(ISNA(_xlfn.XLOOKUP(B2:B200,$E$2:$E$330,$E$2:$E$330)))=TRUE, 1, 0))/I2</f>
        <v>0.74874371859296485</v>
      </c>
    </row>
    <row r="5" spans="1:9" x14ac:dyDescent="0.45">
      <c r="A5" t="s">
        <v>32</v>
      </c>
      <c r="B5" t="str">
        <f>_xlfn.REGEXREPLACE(query2!B5, "https://doi.org/","")</f>
        <v>10.1038/s41598-020-75393-y</v>
      </c>
      <c r="C5">
        <v>82</v>
      </c>
      <c r="D5" s="2" t="s">
        <v>2207</v>
      </c>
      <c r="E5" s="2" t="str">
        <f>'rio results'!M5</f>
        <v>10.1039/d3ta06953b</v>
      </c>
      <c r="F5" s="2">
        <v>122</v>
      </c>
      <c r="H5" s="16" t="s">
        <v>5190</v>
      </c>
      <c r="I5" s="17" cm="1">
        <f t="array" ref="I5">SUM(IF(NOT(ISNA(_xlfn.XLOOKUP(E2:E330,$B$2:$B$200,$B$2:$B$200)))=TRUE, 1, 0))/I3</f>
        <v>0.45288753799392095</v>
      </c>
    </row>
    <row r="6" spans="1:9" x14ac:dyDescent="0.45">
      <c r="A6" t="s">
        <v>481</v>
      </c>
      <c r="B6" t="str">
        <f>_xlfn.REGEXREPLACE(query2!B6, "https://doi.org/","")</f>
        <v>10.1016/j.cossms.2022.101016</v>
      </c>
      <c r="C6">
        <v>73</v>
      </c>
      <c r="D6" s="2" t="s">
        <v>20</v>
      </c>
      <c r="E6" s="2" t="str">
        <f>'rio results'!M6</f>
        <v>10.1088/2631-8695/ac2353</v>
      </c>
      <c r="F6" s="2">
        <v>121</v>
      </c>
    </row>
    <row r="7" spans="1:9" x14ac:dyDescent="0.45">
      <c r="A7" t="s">
        <v>68</v>
      </c>
      <c r="B7" t="str">
        <f>_xlfn.REGEXREPLACE(query2!B7, "https://doi.org/","")</f>
        <v>10.1016/j.ensm.2021.05.011</v>
      </c>
      <c r="C7">
        <v>71</v>
      </c>
      <c r="D7" s="2" t="s">
        <v>2554</v>
      </c>
      <c r="E7" s="2" t="str">
        <f>'rio results'!M7</f>
        <v>10.1088/2515-7639/acc550</v>
      </c>
      <c r="F7" s="2">
        <v>111</v>
      </c>
    </row>
    <row r="8" spans="1:9" x14ac:dyDescent="0.45">
      <c r="A8" t="s">
        <v>489</v>
      </c>
      <c r="B8" t="str">
        <f>_xlfn.REGEXREPLACE(query2!B8, "https://doi.org/","")</f>
        <v>10.1016/j.ijhydene.2022.10.080</v>
      </c>
      <c r="C8">
        <v>69</v>
      </c>
      <c r="D8" s="2" t="s">
        <v>3859</v>
      </c>
      <c r="E8" s="2" t="str">
        <f>'rio results'!M8</f>
        <v>10.2967/jnumed.120.261016</v>
      </c>
      <c r="F8" s="2">
        <v>104</v>
      </c>
    </row>
    <row r="9" spans="1:9" x14ac:dyDescent="0.45">
      <c r="A9" t="s">
        <v>466</v>
      </c>
      <c r="B9" t="str">
        <f>_xlfn.REGEXREPLACE(query2!B9, "https://doi.org/","")</f>
        <v>10.1016/j.tips.2024.03.004</v>
      </c>
      <c r="C9">
        <v>68</v>
      </c>
      <c r="D9" s="2" t="s">
        <v>3169</v>
      </c>
      <c r="E9" s="2" t="str">
        <f>'rio results'!M9</f>
        <v>10.1038/s43586-021-00089-0</v>
      </c>
      <c r="F9" s="2">
        <v>90</v>
      </c>
    </row>
    <row r="10" spans="1:9" x14ac:dyDescent="0.45">
      <c r="A10" t="s">
        <v>642</v>
      </c>
      <c r="B10" t="str">
        <f>_xlfn.REGEXREPLACE(query2!B10, "https://doi.org/","")</f>
        <v>10.1007/s13204-020-01542-4</v>
      </c>
      <c r="C10">
        <v>68</v>
      </c>
      <c r="D10" s="2" t="s">
        <v>4755</v>
      </c>
      <c r="E10" s="2" t="str">
        <f>'rio results'!M10</f>
        <v>10.1126/sciadv.aba5847</v>
      </c>
      <c r="F10" s="2">
        <v>89</v>
      </c>
    </row>
    <row r="11" spans="1:9" x14ac:dyDescent="0.45">
      <c r="A11" t="s">
        <v>42</v>
      </c>
      <c r="B11" t="str">
        <f>_xlfn.REGEXREPLACE(query2!B11, "https://doi.org/","")</f>
        <v>10.1016/j.addma.2022.103357</v>
      </c>
      <c r="C11">
        <v>67</v>
      </c>
      <c r="D11" s="2" t="s">
        <v>4001</v>
      </c>
      <c r="E11" s="2" t="str">
        <f>'rio results'!M11</f>
        <v>10.1093/wbro/lkaa001</v>
      </c>
      <c r="F11" s="2">
        <v>82</v>
      </c>
    </row>
    <row r="12" spans="1:9" x14ac:dyDescent="0.45">
      <c r="A12" t="s">
        <v>77</v>
      </c>
      <c r="B12" t="str">
        <f>_xlfn.REGEXREPLACE(query2!B12, "https://doi.org/","")</f>
        <v>10.1016/j.optmat.2021.111258</v>
      </c>
      <c r="C12">
        <v>64</v>
      </c>
      <c r="D12" s="2" t="s">
        <v>3814</v>
      </c>
      <c r="E12" s="2" t="str">
        <f>'rio results'!M12</f>
        <v>10.1186/s41181-021-00121-4</v>
      </c>
      <c r="F12" s="2">
        <v>79</v>
      </c>
    </row>
    <row r="13" spans="1:9" x14ac:dyDescent="0.45">
      <c r="A13" t="s">
        <v>421</v>
      </c>
      <c r="B13" t="str">
        <f>_xlfn.REGEXREPLACE(query2!B13, "https://doi.org/","")</f>
        <v>10.1016/j.ijhydene.2021.02.077</v>
      </c>
      <c r="C13">
        <v>62</v>
      </c>
      <c r="D13" s="2" t="s">
        <v>42</v>
      </c>
      <c r="E13" s="2" t="str">
        <f>'rio results'!M13</f>
        <v>10.1016/j.addma.2022.103357</v>
      </c>
      <c r="F13" s="2">
        <v>77</v>
      </c>
    </row>
    <row r="14" spans="1:9" x14ac:dyDescent="0.45">
      <c r="A14" t="s">
        <v>733</v>
      </c>
      <c r="B14" t="str">
        <f>_xlfn.REGEXREPLACE(query2!B14, "https://doi.org/","")</f>
        <v>10.1016/j.electacta.2021.138358</v>
      </c>
      <c r="C14">
        <v>60</v>
      </c>
      <c r="D14" s="2" t="s">
        <v>481</v>
      </c>
      <c r="E14" s="2" t="str">
        <f>'rio results'!M14</f>
        <v>10.1016/j.cossms.2022.101016</v>
      </c>
      <c r="F14" s="2">
        <v>73</v>
      </c>
    </row>
    <row r="15" spans="1:9" x14ac:dyDescent="0.45">
      <c r="A15" t="s">
        <v>474</v>
      </c>
      <c r="B15" t="str">
        <f>_xlfn.REGEXREPLACE(query2!B15, "https://doi.org/","")</f>
        <v>10.1039/d0dt03313h</v>
      </c>
      <c r="C15">
        <v>58</v>
      </c>
      <c r="D15" s="2" t="s">
        <v>4354</v>
      </c>
      <c r="E15" s="2" t="str">
        <f>'rio results'!M15</f>
        <v>10.14778/3447689.3447700</v>
      </c>
      <c r="F15" s="2">
        <v>71</v>
      </c>
    </row>
    <row r="16" spans="1:9" x14ac:dyDescent="0.45">
      <c r="A16" t="s">
        <v>429</v>
      </c>
      <c r="B16" t="str">
        <f>_xlfn.REGEXREPLACE(query2!B16, "https://doi.org/","")</f>
        <v>10.1016/j.matdes.2020.108797</v>
      </c>
      <c r="C16">
        <v>56</v>
      </c>
      <c r="D16" s="2" t="s">
        <v>32</v>
      </c>
      <c r="E16" s="2" t="str">
        <f>'rio results'!M16</f>
        <v>10.1038/s41598-020-75393-y</v>
      </c>
      <c r="F16" s="2">
        <v>70</v>
      </c>
    </row>
    <row r="17" spans="1:6" x14ac:dyDescent="0.45">
      <c r="A17" t="s">
        <v>450</v>
      </c>
      <c r="B17" t="str">
        <f>_xlfn.REGEXREPLACE(query2!B17, "https://doi.org/","")</f>
        <v>10.1016/j.est.2020.102020</v>
      </c>
      <c r="C17">
        <v>55</v>
      </c>
      <c r="D17" s="2" t="s">
        <v>5053</v>
      </c>
      <c r="E17" s="2" t="str">
        <f>'rio results'!M17</f>
        <v>10.1021/acscatal.9b04347</v>
      </c>
      <c r="F17" s="2">
        <v>70</v>
      </c>
    </row>
    <row r="18" spans="1:6" x14ac:dyDescent="0.45">
      <c r="A18" t="s">
        <v>573</v>
      </c>
      <c r="B18" t="str">
        <f>_xlfn.REGEXREPLACE(query2!B18, "https://doi.org/","")</f>
        <v>10.1002/adma.202002534</v>
      </c>
      <c r="C18">
        <v>55</v>
      </c>
      <c r="D18" s="2" t="s">
        <v>4769</v>
      </c>
      <c r="E18" s="2" t="str">
        <f>'rio results'!M18</f>
        <v>10.1109/TEM.2019.2893133</v>
      </c>
      <c r="F18" s="2">
        <v>68</v>
      </c>
    </row>
    <row r="19" spans="1:6" x14ac:dyDescent="0.45">
      <c r="A19" t="s">
        <v>598</v>
      </c>
      <c r="B19" t="str">
        <f>_xlfn.REGEXREPLACE(query2!B19, "https://doi.org/","")</f>
        <v>10.1021/acssensors.4c01717</v>
      </c>
      <c r="C19">
        <v>49</v>
      </c>
      <c r="D19" s="2" t="s">
        <v>642</v>
      </c>
      <c r="E19" s="2" t="str">
        <f>'rio results'!M19</f>
        <v>10.1007/s13204-020-01542-4</v>
      </c>
      <c r="F19" s="2">
        <v>65</v>
      </c>
    </row>
    <row r="20" spans="1:6" x14ac:dyDescent="0.45">
      <c r="A20" t="s">
        <v>525</v>
      </c>
      <c r="B20" t="str">
        <f>_xlfn.REGEXREPLACE(query2!B20, "https://doi.org/","")</f>
        <v>10.1039/c9ra09628k</v>
      </c>
      <c r="C20">
        <v>46</v>
      </c>
      <c r="D20" s="2" t="s">
        <v>466</v>
      </c>
      <c r="E20" s="2" t="str">
        <f>'rio results'!M20</f>
        <v>10.1016/j.tips.2024.03.004</v>
      </c>
      <c r="F20" s="2">
        <v>64</v>
      </c>
    </row>
    <row r="21" spans="1:6" x14ac:dyDescent="0.45">
      <c r="A21" t="s">
        <v>798</v>
      </c>
      <c r="B21" t="str">
        <f>_xlfn.REGEXREPLACE(query2!B21, "https://doi.org/","")</f>
        <v>10.3389/fphys.2020.00813</v>
      </c>
      <c r="C21">
        <v>46</v>
      </c>
      <c r="D21" s="2" t="s">
        <v>3302</v>
      </c>
      <c r="E21" s="2" t="str">
        <f>'rio results'!M21</f>
        <v>10.1002/adfm.202203300</v>
      </c>
      <c r="F21" s="2">
        <v>64</v>
      </c>
    </row>
    <row r="22" spans="1:6" x14ac:dyDescent="0.45">
      <c r="A22" t="s">
        <v>60</v>
      </c>
      <c r="B22" t="str">
        <f>_xlfn.REGEXREPLACE(query2!B22, "https://doi.org/","")</f>
        <v>10.1038/s41528-022-00139-x</v>
      </c>
      <c r="C22">
        <v>44</v>
      </c>
      <c r="D22" s="2" t="s">
        <v>5021</v>
      </c>
      <c r="E22" s="2" t="str">
        <f>'rio results'!M22</f>
        <v>10.1016/j.electacta.2019.135575</v>
      </c>
      <c r="F22" s="2">
        <v>64</v>
      </c>
    </row>
    <row r="23" spans="1:6" x14ac:dyDescent="0.45">
      <c r="A23" t="s">
        <v>541</v>
      </c>
      <c r="B23" t="str">
        <f>_xlfn.REGEXREPLACE(query2!B23, "https://doi.org/","")</f>
        <v>10.1002/adfm.202300973</v>
      </c>
      <c r="C23">
        <v>44</v>
      </c>
      <c r="D23" s="2" t="s">
        <v>3768</v>
      </c>
      <c r="E23" s="2" t="str">
        <f>'rio results'!M23</f>
        <v>10.1007/s42242-021-00171-2</v>
      </c>
      <c r="F23" s="2">
        <v>63</v>
      </c>
    </row>
    <row r="24" spans="1:6" x14ac:dyDescent="0.45">
      <c r="A24" t="s">
        <v>406</v>
      </c>
      <c r="B24" t="str">
        <f>_xlfn.REGEXREPLACE(query2!B24, "https://doi.org/","")</f>
        <v>10.1016/j.carbon.2020.03.038</v>
      </c>
      <c r="C24">
        <v>43</v>
      </c>
      <c r="D24" s="2" t="s">
        <v>3641</v>
      </c>
      <c r="E24" s="2" t="str">
        <f>'rio results'!M24</f>
        <v>10.1111/dar.13370</v>
      </c>
      <c r="F24" s="2">
        <v>62</v>
      </c>
    </row>
    <row r="25" spans="1:6" x14ac:dyDescent="0.45">
      <c r="A25" t="s">
        <v>127</v>
      </c>
      <c r="B25" t="str">
        <f>_xlfn.REGEXREPLACE(query2!B25, "https://doi.org/","")</f>
        <v>10.1016/j.trac.2023.117223</v>
      </c>
      <c r="C25">
        <v>41</v>
      </c>
      <c r="D25" s="2" t="s">
        <v>4798</v>
      </c>
      <c r="E25" s="2" t="str">
        <f>'rio results'!M25</f>
        <v>10.1145/3357236.3395569</v>
      </c>
      <c r="F25" s="2">
        <v>61</v>
      </c>
    </row>
    <row r="26" spans="1:6" x14ac:dyDescent="0.45">
      <c r="A26" t="s">
        <v>666</v>
      </c>
      <c r="B26" t="str">
        <f>_xlfn.REGEXREPLACE(query2!B26, "https://doi.org/","")</f>
        <v>10.1177/0169796x221104855</v>
      </c>
      <c r="C26">
        <v>39</v>
      </c>
      <c r="D26" s="2" t="s">
        <v>489</v>
      </c>
      <c r="E26" s="2" t="str">
        <f>'rio results'!M26</f>
        <v>10.1016/j.ijhydene.2022.10.080</v>
      </c>
      <c r="F26" s="2">
        <v>60</v>
      </c>
    </row>
    <row r="27" spans="1:6" x14ac:dyDescent="0.45">
      <c r="A27" t="s">
        <v>635</v>
      </c>
      <c r="B27" t="str">
        <f>_xlfn.REGEXREPLACE(query2!B27, "https://doi.org/","")</f>
        <v>10.1038/s41598-022-19111-w</v>
      </c>
      <c r="C27">
        <v>38</v>
      </c>
      <c r="D27" s="2" t="s">
        <v>429</v>
      </c>
      <c r="E27" s="2" t="str">
        <f>'rio results'!M27</f>
        <v>10.1016/j.matdes.2020.108797</v>
      </c>
      <c r="F27" s="2">
        <v>60</v>
      </c>
    </row>
    <row r="28" spans="1:6" x14ac:dyDescent="0.45">
      <c r="A28" t="s">
        <v>173</v>
      </c>
      <c r="B28" t="str">
        <f>_xlfn.REGEXREPLACE(query2!B28, "https://doi.org/","")</f>
        <v>10.1557/s43579-023-00480-w</v>
      </c>
      <c r="C28">
        <v>37</v>
      </c>
      <c r="D28" s="2" t="s">
        <v>421</v>
      </c>
      <c r="E28" s="2" t="str">
        <f>'rio results'!M28</f>
        <v>10.1016/j.ijhydene.2021.02.077</v>
      </c>
      <c r="F28" s="2">
        <v>57</v>
      </c>
    </row>
    <row r="29" spans="1:6" x14ac:dyDescent="0.45">
      <c r="A29" t="s">
        <v>741</v>
      </c>
      <c r="B29" t="str">
        <f>_xlfn.REGEXREPLACE(query2!B29, "https://doi.org/","")</f>
        <v>10.1002/admt.202201897</v>
      </c>
      <c r="C29">
        <v>36</v>
      </c>
      <c r="D29" s="2" t="s">
        <v>4415</v>
      </c>
      <c r="E29" s="2" t="str">
        <f>'rio results'!M29</f>
        <v>10.1039/d0dt03313h</v>
      </c>
      <c r="F29" s="2">
        <v>57</v>
      </c>
    </row>
    <row r="30" spans="1:6" x14ac:dyDescent="0.45">
      <c r="A30" t="s">
        <v>778</v>
      </c>
      <c r="B30" t="str">
        <f>_xlfn.REGEXREPLACE(query2!B30, "https://doi.org/","")</f>
        <v>10.1016/j.electacta.2022.141676</v>
      </c>
      <c r="C30">
        <v>36</v>
      </c>
      <c r="D30" s="2" t="s">
        <v>77</v>
      </c>
      <c r="E30" s="2" t="str">
        <f>'rio results'!M30</f>
        <v>10.1016/j.optmat.2021.111258</v>
      </c>
      <c r="F30" s="2">
        <v>56</v>
      </c>
    </row>
    <row r="31" spans="1:6" x14ac:dyDescent="0.45">
      <c r="A31" t="s">
        <v>413</v>
      </c>
      <c r="B31" t="str">
        <f>_xlfn.REGEXREPLACE(query2!B31, "https://doi.org/","")</f>
        <v>10.1038/s41378-022-00465-0</v>
      </c>
      <c r="C31">
        <v>35</v>
      </c>
      <c r="D31" s="2" t="s">
        <v>4070</v>
      </c>
      <c r="E31" s="2" t="str">
        <f>'rio results'!M31</f>
        <v>10.1016/j.electacta.2021.138358</v>
      </c>
      <c r="F31" s="2">
        <v>55</v>
      </c>
    </row>
    <row r="32" spans="1:6" x14ac:dyDescent="0.45">
      <c r="A32" t="s">
        <v>517</v>
      </c>
      <c r="B32" t="str">
        <f>_xlfn.REGEXREPLACE(query2!B32, "https://doi.org/","")</f>
        <v>10.1021/acs.analchem.1c03393</v>
      </c>
      <c r="C32">
        <v>35</v>
      </c>
      <c r="D32" s="2" t="s">
        <v>573</v>
      </c>
      <c r="E32" s="2" t="str">
        <f>'rio results'!M32</f>
        <v>10.1002/adma.202002534</v>
      </c>
      <c r="F32" s="2">
        <v>54</v>
      </c>
    </row>
    <row r="33" spans="1:6" x14ac:dyDescent="0.45">
      <c r="A33" t="s">
        <v>837</v>
      </c>
      <c r="B33" t="str">
        <f>_xlfn.REGEXREPLACE(query2!B33, "https://doi.org/","")</f>
        <v>10.1021/acsnano.3c03593</v>
      </c>
      <c r="C33">
        <v>35</v>
      </c>
      <c r="D33" s="2" t="s">
        <v>450</v>
      </c>
      <c r="E33" s="2" t="str">
        <f>'rio results'!M33</f>
        <v>10.1016/j.est.2020.102020</v>
      </c>
      <c r="F33" s="2">
        <v>52</v>
      </c>
    </row>
    <row r="34" spans="1:6" x14ac:dyDescent="0.45">
      <c r="A34" t="s">
        <v>142</v>
      </c>
      <c r="B34" t="str">
        <f>_xlfn.REGEXREPLACE(query2!B34, "https://doi.org/","")</f>
        <v>10.1039/d0mh00785d</v>
      </c>
      <c r="C34">
        <v>34</v>
      </c>
      <c r="D34" s="2" t="s">
        <v>3383</v>
      </c>
      <c r="E34" s="2" t="str">
        <f>'rio results'!M34</f>
        <v>10.1016/j.seta.2022.102196</v>
      </c>
      <c r="F34" s="2">
        <v>51</v>
      </c>
    </row>
    <row r="35" spans="1:6" x14ac:dyDescent="0.45">
      <c r="A35" t="s">
        <v>437</v>
      </c>
      <c r="B35" t="str">
        <f>_xlfn.REGEXREPLACE(query2!B35, "https://doi.org/","")</f>
        <v>10.1021/acs.analchem.3c05190</v>
      </c>
      <c r="C35">
        <v>34</v>
      </c>
      <c r="D35" s="2" t="s">
        <v>2000</v>
      </c>
      <c r="E35" s="2" t="str">
        <f>'rio results'!M35</f>
        <v>10.1016/j.nanoen.2024.109504</v>
      </c>
      <c r="F35" s="2">
        <v>47</v>
      </c>
    </row>
    <row r="36" spans="1:6" x14ac:dyDescent="0.45">
      <c r="A36" t="s">
        <v>51</v>
      </c>
      <c r="B36" t="str">
        <f>_xlfn.REGEXREPLACE(query2!B36, "https://doi.org/","")</f>
        <v>10.1016/j.isci.2022.104119</v>
      </c>
      <c r="C36">
        <v>32</v>
      </c>
      <c r="D36" s="2" t="s">
        <v>5012</v>
      </c>
      <c r="E36" s="2" t="str">
        <f>'rio results'!M36</f>
        <v>10.1039/c9ra09628k</v>
      </c>
      <c r="F36" s="2">
        <v>45</v>
      </c>
    </row>
    <row r="37" spans="1:6" x14ac:dyDescent="0.45">
      <c r="A37" t="s">
        <v>606</v>
      </c>
      <c r="B37" t="str">
        <f>_xlfn.REGEXREPLACE(query2!B37, "https://doi.org/","")</f>
        <v>10.1016/j.mser.2024.100876</v>
      </c>
      <c r="C37">
        <v>31</v>
      </c>
      <c r="D37" s="2" t="s">
        <v>666</v>
      </c>
      <c r="E37" s="2" t="str">
        <f>'rio results'!M37</f>
        <v>10.1177/0169796X221104855</v>
      </c>
      <c r="F37" s="2">
        <v>44</v>
      </c>
    </row>
    <row r="38" spans="1:6" x14ac:dyDescent="0.45">
      <c r="A38" t="s">
        <v>650</v>
      </c>
      <c r="B38" t="str">
        <f>_xlfn.REGEXREPLACE(query2!B38, "https://doi.org/","")</f>
        <v>10.1088/1361-6528/acca8b</v>
      </c>
      <c r="C38">
        <v>31</v>
      </c>
      <c r="D38" s="2" t="s">
        <v>3547</v>
      </c>
      <c r="E38" s="2" t="str">
        <f>'rio results'!M38</f>
        <v>10.1021/acscentsci.1c01108</v>
      </c>
      <c r="F38" s="2">
        <v>44</v>
      </c>
    </row>
    <row r="39" spans="1:6" x14ac:dyDescent="0.45">
      <c r="A39" t="s">
        <v>757</v>
      </c>
      <c r="B39" t="str">
        <f>_xlfn.REGEXREPLACE(query2!B39, "https://doi.org/","")</f>
        <v>10.1016/j.oceaneng.2024.119294</v>
      </c>
      <c r="C39">
        <v>29</v>
      </c>
      <c r="D39" s="2" t="s">
        <v>5094</v>
      </c>
      <c r="E39" s="2" t="str">
        <f>'rio results'!M39</f>
        <v>10.1007/978-3-030-58568-6_21</v>
      </c>
      <c r="F39" s="2">
        <v>44</v>
      </c>
    </row>
    <row r="40" spans="1:6" x14ac:dyDescent="0.45">
      <c r="A40" t="s">
        <v>589</v>
      </c>
      <c r="B40" t="str">
        <f>_xlfn.REGEXREPLACE(query2!B40, "https://doi.org/","")</f>
        <v>10.3389/frobt.2020.573096</v>
      </c>
      <c r="C40">
        <v>28</v>
      </c>
      <c r="D40" s="2" t="s">
        <v>598</v>
      </c>
      <c r="E40" s="2" t="str">
        <f>'rio results'!M40</f>
        <v>10.1021/acssensors.4c01717</v>
      </c>
      <c r="F40" s="2">
        <v>43</v>
      </c>
    </row>
    <row r="41" spans="1:6" x14ac:dyDescent="0.45">
      <c r="A41" t="s">
        <v>771</v>
      </c>
      <c r="B41" t="str">
        <f>_xlfn.REGEXREPLACE(query2!B41, "https://doi.org/","")</f>
        <v>10.1038/s44172-023-00097-w</v>
      </c>
      <c r="C41">
        <v>27</v>
      </c>
      <c r="D41" s="2" t="s">
        <v>2818</v>
      </c>
      <c r="E41" s="2" t="str">
        <f>'rio results'!M41</f>
        <v>10.1038/s41565-022-01280-4</v>
      </c>
      <c r="F41" s="2">
        <v>41</v>
      </c>
    </row>
    <row r="42" spans="1:6" x14ac:dyDescent="0.45">
      <c r="A42" t="s">
        <v>581</v>
      </c>
      <c r="B42" t="str">
        <f>_xlfn.REGEXREPLACE(query2!B42, "https://doi.org/","")</f>
        <v>10.1063/5.0244878</v>
      </c>
      <c r="C42">
        <v>26</v>
      </c>
      <c r="D42" s="2" t="s">
        <v>4191</v>
      </c>
      <c r="E42" s="2" t="str">
        <f>'rio results'!M42</f>
        <v>10.1002/admt.202000938</v>
      </c>
      <c r="F42" s="2">
        <v>41</v>
      </c>
    </row>
    <row r="43" spans="1:6" x14ac:dyDescent="0.45">
      <c r="A43" t="s">
        <v>677</v>
      </c>
      <c r="B43" t="str">
        <f>_xlfn.REGEXREPLACE(query2!B43, "https://doi.org/","")</f>
        <v>10.1039/d1ce00962a</v>
      </c>
      <c r="C43">
        <v>26</v>
      </c>
      <c r="D43" s="2" t="s">
        <v>60</v>
      </c>
      <c r="E43" s="2" t="str">
        <f>'rio results'!M43</f>
        <v>10.1038/s41528-022-00139-x</v>
      </c>
      <c r="F43" s="2">
        <v>39</v>
      </c>
    </row>
    <row r="44" spans="1:6" x14ac:dyDescent="0.45">
      <c r="A44" t="s">
        <v>885</v>
      </c>
      <c r="B44" t="str">
        <f>_xlfn.REGEXREPLACE(query2!B44, "https://doi.org/","")</f>
        <v>10.1002/admt.202201349</v>
      </c>
      <c r="C44">
        <v>25</v>
      </c>
      <c r="D44" s="2" t="s">
        <v>406</v>
      </c>
      <c r="E44" s="2" t="str">
        <f>'rio results'!M44</f>
        <v>10.1016/j.carbon.2020.03.038</v>
      </c>
      <c r="F44" s="2">
        <v>38</v>
      </c>
    </row>
    <row r="45" spans="1:6" x14ac:dyDescent="0.45">
      <c r="A45" t="s">
        <v>119</v>
      </c>
      <c r="B45" t="str">
        <f>_xlfn.REGEXREPLACE(query2!B45, "https://doi.org/","")</f>
        <v>10.1038/s41528-024-00309-z</v>
      </c>
      <c r="C45">
        <v>24</v>
      </c>
      <c r="D45" s="2" t="s">
        <v>4500</v>
      </c>
      <c r="E45" s="2" t="str">
        <f>'rio results'!M45</f>
        <v>10.1007/s10816-020-09445-y</v>
      </c>
      <c r="F45" s="2">
        <v>37</v>
      </c>
    </row>
    <row r="46" spans="1:6" x14ac:dyDescent="0.45">
      <c r="A46" t="s">
        <v>932</v>
      </c>
      <c r="B46" t="str">
        <f>_xlfn.REGEXREPLACE(query2!B46, "https://doi.org/","")</f>
        <v>10.1016/j.ijhydene.2024.11.288</v>
      </c>
      <c r="C46">
        <v>24</v>
      </c>
      <c r="D46" s="2" t="s">
        <v>4710</v>
      </c>
      <c r="E46" s="2" t="str">
        <f>'rio results'!M46</f>
        <v>10.1016/j.ejor.2020.01.061</v>
      </c>
      <c r="F46" s="2">
        <v>37</v>
      </c>
    </row>
    <row r="47" spans="1:6" x14ac:dyDescent="0.45">
      <c r="A47" t="s">
        <v>86</v>
      </c>
      <c r="B47" t="str">
        <f>_xlfn.REGEXREPLACE(query2!B47, "https://doi.org/","")</f>
        <v>10.1016/j.jpowsour.2020.228714</v>
      </c>
      <c r="C47">
        <v>23</v>
      </c>
      <c r="D47" s="2" t="s">
        <v>798</v>
      </c>
      <c r="E47" s="2" t="str">
        <f>'rio results'!M47</f>
        <v>10.3389/fphys.2020.00813</v>
      </c>
      <c r="F47" s="2">
        <v>37</v>
      </c>
    </row>
    <row r="48" spans="1:6" x14ac:dyDescent="0.45">
      <c r="A48" t="s">
        <v>619</v>
      </c>
      <c r="B48" t="str">
        <f>_xlfn.REGEXREPLACE(query2!B48, "https://doi.org/","")</f>
        <v>10.1364/oe.417724</v>
      </c>
      <c r="C48">
        <v>23</v>
      </c>
      <c r="D48" s="2" t="s">
        <v>3800</v>
      </c>
      <c r="E48" s="2" t="str">
        <f>'rio results'!M48</f>
        <v>10.1088/1402-4896/ac2024</v>
      </c>
      <c r="F48" s="2">
        <v>36</v>
      </c>
    </row>
    <row r="49" spans="1:6" x14ac:dyDescent="0.45">
      <c r="A49" t="s">
        <v>95</v>
      </c>
      <c r="B49" t="str">
        <f>_xlfn.REGEXREPLACE(query2!B49, "https://doi.org/","")</f>
        <v>10.1016/j.jmapro.2024.01.029</v>
      </c>
      <c r="C49">
        <v>22</v>
      </c>
      <c r="D49" s="2" t="s">
        <v>4116</v>
      </c>
      <c r="E49" s="2" t="str">
        <f>'rio results'!M49</f>
        <v>10.1093/police/paaa040</v>
      </c>
      <c r="F49" s="2">
        <v>36</v>
      </c>
    </row>
    <row r="50" spans="1:6" x14ac:dyDescent="0.45">
      <c r="A50" t="s">
        <v>718</v>
      </c>
      <c r="B50" t="str">
        <f>_xlfn.REGEXREPLACE(query2!B50, "https://doi.org/","")</f>
        <v>10.1016/b978-0-12-823144-9.00069-8</v>
      </c>
      <c r="C50">
        <v>22</v>
      </c>
      <c r="D50" s="2" t="s">
        <v>127</v>
      </c>
      <c r="E50" s="2" t="str">
        <f>'rio results'!M50</f>
        <v>10.1016/j.trac.2023.117223</v>
      </c>
      <c r="F50" s="2">
        <v>35</v>
      </c>
    </row>
    <row r="51" spans="1:6" x14ac:dyDescent="0.45">
      <c r="A51" t="s">
        <v>939</v>
      </c>
      <c r="B51" t="str">
        <f>_xlfn.REGEXREPLACE(query2!B51, "https://doi.org/","")</f>
        <v>10.1002/er.6974</v>
      </c>
      <c r="C51">
        <v>22</v>
      </c>
      <c r="D51" s="2" t="s">
        <v>4093</v>
      </c>
      <c r="E51" s="2" t="str">
        <f>'rio results'!M51</f>
        <v>10.1021/acsaelm.1c00296</v>
      </c>
      <c r="F51" s="2">
        <v>35</v>
      </c>
    </row>
    <row r="52" spans="1:6" x14ac:dyDescent="0.45">
      <c r="A52" t="s">
        <v>1066</v>
      </c>
      <c r="B52" t="str">
        <f>_xlfn.REGEXREPLACE(query2!B52, "https://doi.org/","")</f>
        <v>10.1016/j.enggeo.2020.105693</v>
      </c>
      <c r="C52">
        <v>22</v>
      </c>
      <c r="D52" s="2" t="s">
        <v>635</v>
      </c>
      <c r="E52" s="2" t="str">
        <f>'rio results'!M52</f>
        <v>10.1038/s41598-022-19111-w</v>
      </c>
      <c r="F52" s="2">
        <v>34</v>
      </c>
    </row>
    <row r="53" spans="1:6" x14ac:dyDescent="0.45">
      <c r="A53" t="s">
        <v>157</v>
      </c>
      <c r="B53" t="str">
        <f>_xlfn.REGEXREPLACE(query2!B53, "https://doi.org/","")</f>
        <v>10.1021/acs.chemmater.1c03450</v>
      </c>
      <c r="C53">
        <v>21</v>
      </c>
      <c r="D53" s="2" t="s">
        <v>2566</v>
      </c>
      <c r="E53" s="2" t="str">
        <f>'rio results'!M53</f>
        <v>10.1021/acsnano.3c03593</v>
      </c>
      <c r="F53" s="2">
        <v>33</v>
      </c>
    </row>
    <row r="54" spans="1:6" x14ac:dyDescent="0.45">
      <c r="A54" t="s">
        <v>213</v>
      </c>
      <c r="B54" t="str">
        <f>_xlfn.REGEXREPLACE(query2!B54, "https://doi.org/","")</f>
        <v>10.1039/c9mh01782h</v>
      </c>
      <c r="C54">
        <v>21</v>
      </c>
      <c r="D54" s="2" t="s">
        <v>778</v>
      </c>
      <c r="E54" s="2" t="str">
        <f>'rio results'!M54</f>
        <v>10.1016/j.electacta.2022.141676</v>
      </c>
      <c r="F54" s="2">
        <v>33</v>
      </c>
    </row>
    <row r="55" spans="1:6" x14ac:dyDescent="0.45">
      <c r="A55" t="s">
        <v>557</v>
      </c>
      <c r="B55" t="str">
        <f>_xlfn.REGEXREPLACE(query2!B55, "https://doi.org/","")</f>
        <v>10.1016/j.snb.2021.129527</v>
      </c>
      <c r="C55">
        <v>21</v>
      </c>
      <c r="D55" s="2" t="s">
        <v>3923</v>
      </c>
      <c r="E55" s="2" t="str">
        <f>'rio results'!M55</f>
        <v>10.1016/j.enggeo.2021.106238</v>
      </c>
      <c r="F55" s="2">
        <v>33</v>
      </c>
    </row>
    <row r="56" spans="1:6" x14ac:dyDescent="0.45">
      <c r="A56" t="s">
        <v>703</v>
      </c>
      <c r="B56" t="str">
        <f>_xlfn.REGEXREPLACE(query2!B56, "https://doi.org/","")</f>
        <v>10.1021/acsaem.9b01754</v>
      </c>
      <c r="C56">
        <v>21</v>
      </c>
      <c r="D56" s="2" t="s">
        <v>741</v>
      </c>
      <c r="E56" s="2" t="str">
        <f>'rio results'!M56</f>
        <v>10.1002/admt.202201897</v>
      </c>
      <c r="F56" s="2">
        <v>32</v>
      </c>
    </row>
    <row r="57" spans="1:6" x14ac:dyDescent="0.45">
      <c r="A57" t="s">
        <v>726</v>
      </c>
      <c r="B57" t="str">
        <f>_xlfn.REGEXREPLACE(query2!B57, "https://doi.org/","")</f>
        <v>10.3390/s24082585</v>
      </c>
      <c r="C57">
        <v>21</v>
      </c>
      <c r="D57" s="2" t="s">
        <v>517</v>
      </c>
      <c r="E57" s="2" t="str">
        <f>'rio results'!M57</f>
        <v>10.1021/acs.analchem.1c03393</v>
      </c>
      <c r="F57" s="2">
        <v>32</v>
      </c>
    </row>
    <row r="58" spans="1:6" x14ac:dyDescent="0.45">
      <c r="A58" t="s">
        <v>134</v>
      </c>
      <c r="B58" t="str">
        <f>_xlfn.REGEXREPLACE(query2!B58, "https://doi.org/","")</f>
        <v>10.1039/d4ey00104d</v>
      </c>
      <c r="C58">
        <v>19</v>
      </c>
      <c r="D58" s="2" t="s">
        <v>3910</v>
      </c>
      <c r="E58" s="2" t="str">
        <f>'rio results'!M58</f>
        <v>10.1016/j.apsusc.2021.150126</v>
      </c>
      <c r="F58" s="2">
        <v>31</v>
      </c>
    </row>
    <row r="59" spans="1:6" x14ac:dyDescent="0.45">
      <c r="A59" t="s">
        <v>198</v>
      </c>
      <c r="B59" t="str">
        <f>_xlfn.REGEXREPLACE(query2!B59, "https://doi.org/","")</f>
        <v>10.1021/acs.accounts.4c00308</v>
      </c>
      <c r="C59">
        <v>19</v>
      </c>
      <c r="D59" s="2" t="s">
        <v>4458</v>
      </c>
      <c r="E59" s="2" t="str">
        <f>'rio results'!M59</f>
        <v>10.1149/1945-7111/abc99e</v>
      </c>
      <c r="F59" s="2">
        <v>31</v>
      </c>
    </row>
    <row r="60" spans="1:6" x14ac:dyDescent="0.45">
      <c r="A60" t="s">
        <v>785</v>
      </c>
      <c r="B60" t="str">
        <f>_xlfn.REGEXREPLACE(query2!B60, "https://doi.org/","")</f>
        <v>10.1016/j.ijfatigue.2020.105697</v>
      </c>
      <c r="C60">
        <v>19</v>
      </c>
      <c r="D60" s="2" t="s">
        <v>2520</v>
      </c>
      <c r="E60" s="2" t="str">
        <f>'rio results'!M60</f>
        <v>10.1557/s43579-023-00480-w</v>
      </c>
      <c r="F60" s="2">
        <v>30</v>
      </c>
    </row>
    <row r="61" spans="1:6" x14ac:dyDescent="0.45">
      <c r="A61" t="s">
        <v>189</v>
      </c>
      <c r="B61" t="str">
        <f>_xlfn.REGEXREPLACE(query2!B61, "https://doi.org/","")</f>
        <v>10.1021/acsaem.0c00069</v>
      </c>
      <c r="C61">
        <v>18</v>
      </c>
      <c r="D61" s="2" t="s">
        <v>413</v>
      </c>
      <c r="E61" s="2" t="str">
        <f>'rio results'!M61</f>
        <v>10.1038/s41378-022-00465-0</v>
      </c>
      <c r="F61" s="2">
        <v>30</v>
      </c>
    </row>
    <row r="62" spans="1:6" x14ac:dyDescent="0.45">
      <c r="A62" t="s">
        <v>565</v>
      </c>
      <c r="B62" t="str">
        <f>_xlfn.REGEXREPLACE(query2!B62, "https://doi.org/","")</f>
        <v>10.1063/5.0020661</v>
      </c>
      <c r="C62">
        <v>18</v>
      </c>
      <c r="D62" s="2" t="s">
        <v>4977</v>
      </c>
      <c r="E62" s="2" t="str">
        <f>'rio results'!M62</f>
        <v>10.1093/annweh/wxaa001</v>
      </c>
      <c r="F62" s="2">
        <v>30</v>
      </c>
    </row>
    <row r="63" spans="1:6" x14ac:dyDescent="0.45">
      <c r="A63" t="s">
        <v>164</v>
      </c>
      <c r="B63" t="str">
        <f>_xlfn.REGEXREPLACE(query2!B63, "https://doi.org/","")</f>
        <v>10.1016/j.matdes.2023.112332</v>
      </c>
      <c r="C63">
        <v>17</v>
      </c>
      <c r="D63" s="2" t="s">
        <v>2659</v>
      </c>
      <c r="E63" s="2" t="str">
        <f>'rio results'!M63</f>
        <v>10.1088/1361-6528/acca8b</v>
      </c>
      <c r="F63" s="2">
        <v>29</v>
      </c>
    </row>
    <row r="64" spans="1:6" x14ac:dyDescent="0.45">
      <c r="A64" t="s">
        <v>1117</v>
      </c>
      <c r="B64" t="str">
        <f>_xlfn.REGEXREPLACE(query2!B64, "https://doi.org/","")</f>
        <v>10.1111/1365-2435.13621</v>
      </c>
      <c r="C64">
        <v>17</v>
      </c>
      <c r="D64" s="2" t="s">
        <v>3840</v>
      </c>
      <c r="E64" s="2" t="str">
        <f>'rio results'!M64</f>
        <v>10.1016/j.enconman.2021.114805</v>
      </c>
      <c r="F64" s="2">
        <v>29</v>
      </c>
    </row>
    <row r="65" spans="1:6" x14ac:dyDescent="0.45">
      <c r="A65" t="s">
        <v>111</v>
      </c>
      <c r="B65" t="str">
        <f>_xlfn.REGEXREPLACE(query2!B65, "https://doi.org/","")</f>
        <v>10.1002/aisy.202200189</v>
      </c>
      <c r="C65">
        <v>16</v>
      </c>
      <c r="D65" s="2" t="s">
        <v>142</v>
      </c>
      <c r="E65" s="2" t="str">
        <f>'rio results'!M65</f>
        <v>10.1039/d0mh00785d</v>
      </c>
      <c r="F65" s="2">
        <v>29</v>
      </c>
    </row>
    <row r="66" spans="1:6" x14ac:dyDescent="0.45">
      <c r="A66" t="s">
        <v>893</v>
      </c>
      <c r="B66" t="str">
        <f>_xlfn.REGEXREPLACE(query2!B66, "https://doi.org/","")</f>
        <v>10.3390/s21175947</v>
      </c>
      <c r="C66">
        <v>16</v>
      </c>
      <c r="D66" s="2" t="s">
        <v>437</v>
      </c>
      <c r="E66" s="2" t="str">
        <f>'rio results'!M66</f>
        <v>10.1021/acs.analchem.3c05190</v>
      </c>
      <c r="F66" s="2">
        <v>28</v>
      </c>
    </row>
    <row r="67" spans="1:6" x14ac:dyDescent="0.45">
      <c r="A67" t="s">
        <v>901</v>
      </c>
      <c r="B67" t="str">
        <f>_xlfn.REGEXREPLACE(query2!B67, "https://doi.org/","")</f>
        <v>10.1063/5.0081185</v>
      </c>
      <c r="C67">
        <v>16</v>
      </c>
      <c r="D67" s="2" t="s">
        <v>2509</v>
      </c>
      <c r="E67" s="2" t="str">
        <f>'rio results'!M67</f>
        <v>10.3390/en16196809</v>
      </c>
      <c r="F67" s="2">
        <v>28</v>
      </c>
    </row>
    <row r="68" spans="1:6" x14ac:dyDescent="0.45">
      <c r="A68" t="s">
        <v>627</v>
      </c>
      <c r="B68" t="str">
        <f>_xlfn.REGEXREPLACE(query2!B68, "https://doi.org/","")</f>
        <v>10.1016/j.jpowsour.2024.235537</v>
      </c>
      <c r="C68">
        <v>15</v>
      </c>
      <c r="D68" s="2" t="s">
        <v>51</v>
      </c>
      <c r="E68" s="2" t="str">
        <f>'rio results'!M68</f>
        <v>10.1016/j.isci.2022.104119</v>
      </c>
      <c r="F68" s="2">
        <v>28</v>
      </c>
    </row>
    <row r="69" spans="1:6" x14ac:dyDescent="0.45">
      <c r="A69" t="s">
        <v>510</v>
      </c>
      <c r="B69" t="str">
        <f>_xlfn.REGEXREPLACE(query2!B69, "https://doi.org/","")</f>
        <v>10.1039/c9tc06454k</v>
      </c>
      <c r="C69">
        <v>14</v>
      </c>
      <c r="D69" s="2" t="s">
        <v>4199</v>
      </c>
      <c r="E69" s="2" t="str">
        <f>'rio results'!M69</f>
        <v>10.1007/s10346-020-01552-x</v>
      </c>
      <c r="F69" s="2">
        <v>28</v>
      </c>
    </row>
    <row r="70" spans="1:6" x14ac:dyDescent="0.45">
      <c r="A70" t="s">
        <v>814</v>
      </c>
      <c r="B70" t="str">
        <f>_xlfn.REGEXREPLACE(query2!B70, "https://doi.org/","")</f>
        <v>10.1038/s41699-023-00433-w</v>
      </c>
      <c r="C70">
        <v>14</v>
      </c>
      <c r="D70" s="2" t="s">
        <v>757</v>
      </c>
      <c r="E70" s="2" t="str">
        <f>'rio results'!M70</f>
        <v>10.1016/j.oceaneng.2024.119294</v>
      </c>
      <c r="F70" s="2">
        <v>27</v>
      </c>
    </row>
    <row r="71" spans="1:6" x14ac:dyDescent="0.45">
      <c r="A71" t="s">
        <v>830</v>
      </c>
      <c r="B71" t="str">
        <f>_xlfn.REGEXREPLACE(query2!B71, "https://doi.org/","")</f>
        <v>10.1088/1361-6528/ab72b6</v>
      </c>
      <c r="C71">
        <v>14</v>
      </c>
      <c r="D71" s="2" t="s">
        <v>589</v>
      </c>
      <c r="E71" s="2" t="str">
        <f>'rio results'!M71</f>
        <v>10.3389/frobt.2020.573096</v>
      </c>
      <c r="F71" s="2">
        <v>27</v>
      </c>
    </row>
    <row r="72" spans="1:6" x14ac:dyDescent="0.45">
      <c r="A72" t="s">
        <v>861</v>
      </c>
      <c r="B72" t="str">
        <f>_xlfn.REGEXREPLACE(query2!B72, "https://doi.org/","")</f>
        <v>10.3390/s21010225</v>
      </c>
      <c r="C72">
        <v>14</v>
      </c>
      <c r="D72" s="2" t="s">
        <v>2703</v>
      </c>
      <c r="E72" s="2" t="str">
        <f>'rio results'!M72</f>
        <v>10.1016/j.jcat.2023.04.008</v>
      </c>
      <c r="F72" s="2">
        <v>26</v>
      </c>
    </row>
    <row r="73" spans="1:6" x14ac:dyDescent="0.45">
      <c r="A73" t="s">
        <v>533</v>
      </c>
      <c r="B73" t="str">
        <f>_xlfn.REGEXREPLACE(query2!B73, "https://doi.org/","")</f>
        <v>10.1016/j.clet.2020.100024</v>
      </c>
      <c r="C73">
        <v>13</v>
      </c>
      <c r="D73" s="2" t="s">
        <v>4922</v>
      </c>
      <c r="E73" s="2" t="str">
        <f>'rio results'!M73</f>
        <v>10.1016/j.aquatox.2020.105446</v>
      </c>
      <c r="F73" s="2">
        <v>26</v>
      </c>
    </row>
    <row r="74" spans="1:6" x14ac:dyDescent="0.45">
      <c r="A74" t="s">
        <v>853</v>
      </c>
      <c r="B74" t="str">
        <f>_xlfn.REGEXREPLACE(query2!B74, "https://doi.org/","")</f>
        <v>10.1016/j.powtec.2020.04.031</v>
      </c>
      <c r="C74">
        <v>13</v>
      </c>
      <c r="D74" s="2" t="s">
        <v>771</v>
      </c>
      <c r="E74" s="2" t="str">
        <f>'rio results'!M74</f>
        <v>10.1038/s44172-023-00097-w</v>
      </c>
      <c r="F74" s="2">
        <v>25</v>
      </c>
    </row>
    <row r="75" spans="1:6" x14ac:dyDescent="0.45">
      <c r="A75" t="s">
        <v>1087</v>
      </c>
      <c r="B75" t="str">
        <f>_xlfn.REGEXREPLACE(query2!B75, "https://doi.org/","")</f>
        <v>10.1177/0169796x221104856</v>
      </c>
      <c r="C75">
        <v>13</v>
      </c>
      <c r="D75" s="2" t="s">
        <v>2432</v>
      </c>
      <c r="E75" s="2" t="str">
        <f>'rio results'!M75</f>
        <v>10.1038/s41598-023-37313-8</v>
      </c>
      <c r="F75" s="2">
        <v>24</v>
      </c>
    </row>
    <row r="76" spans="1:6" x14ac:dyDescent="0.45">
      <c r="A76" t="s">
        <v>103</v>
      </c>
      <c r="B76" t="str">
        <f>_xlfn.REGEXREPLACE(query2!B76, "https://doi.org/","")</f>
        <v>10.1002/adsr.202300003</v>
      </c>
      <c r="C76">
        <v>12</v>
      </c>
      <c r="D76" s="2" t="s">
        <v>2789</v>
      </c>
      <c r="E76" s="2" t="str">
        <f>'rio results'!M76</f>
        <v>10.1002/admt.202201349</v>
      </c>
      <c r="F76" s="2">
        <v>24</v>
      </c>
    </row>
    <row r="77" spans="1:6" x14ac:dyDescent="0.45">
      <c r="A77" t="s">
        <v>748</v>
      </c>
      <c r="B77" t="str">
        <f>_xlfn.REGEXREPLACE(query2!B77, "https://doi.org/","")</f>
        <v>10.1021/acs.jpcc.0c09527</v>
      </c>
      <c r="C77">
        <v>12</v>
      </c>
      <c r="D77" s="2" t="s">
        <v>3114</v>
      </c>
      <c r="E77" s="2" t="str">
        <f>'rio results'!M77</f>
        <v>10.3389/fimmu.2022.1074740</v>
      </c>
      <c r="F77" s="2">
        <v>24</v>
      </c>
    </row>
    <row r="78" spans="1:6" x14ac:dyDescent="0.45">
      <c r="A78" t="s">
        <v>877</v>
      </c>
      <c r="B78" t="str">
        <f>_xlfn.REGEXREPLACE(query2!B78, "https://doi.org/","")</f>
        <v>10.1002/celc.202200161</v>
      </c>
      <c r="C78">
        <v>12</v>
      </c>
      <c r="D78" s="2" t="s">
        <v>677</v>
      </c>
      <c r="E78" s="2" t="str">
        <f>'rio results'!M78</f>
        <v>10.1039/d1ce00962a</v>
      </c>
      <c r="F78" s="2">
        <v>24</v>
      </c>
    </row>
    <row r="79" spans="1:6" x14ac:dyDescent="0.45">
      <c r="A79" t="s">
        <v>228</v>
      </c>
      <c r="B79" t="str">
        <f>_xlfn.REGEXREPLACE(query2!B79, "https://doi.org/","")</f>
        <v>10.1002/adfm.202305733</v>
      </c>
      <c r="C79">
        <v>11</v>
      </c>
      <c r="D79" s="2" t="s">
        <v>3431</v>
      </c>
      <c r="E79" s="2" t="str">
        <f>'rio results'!M79</f>
        <v>10.1111/risa.13834</v>
      </c>
      <c r="F79" s="2">
        <v>23</v>
      </c>
    </row>
    <row r="80" spans="1:6" x14ac:dyDescent="0.45">
      <c r="A80" t="s">
        <v>501</v>
      </c>
      <c r="B80" t="str">
        <f>_xlfn.REGEXREPLACE(query2!B80, "https://doi.org/","")</f>
        <v>10.1149/1945-7111/abc99e</v>
      </c>
      <c r="C80">
        <v>11</v>
      </c>
      <c r="D80" s="2" t="s">
        <v>86</v>
      </c>
      <c r="E80" s="2" t="str">
        <f>'rio results'!M80</f>
        <v>10.1016/j.jpowsour.2020.228714</v>
      </c>
      <c r="F80" s="2">
        <v>23</v>
      </c>
    </row>
    <row r="81" spans="1:6" x14ac:dyDescent="0.45">
      <c r="A81" t="s">
        <v>1030</v>
      </c>
      <c r="B81" t="str">
        <f>_xlfn.REGEXREPLACE(query2!B81, "https://doi.org/","")</f>
        <v>10.3390/ma17133306</v>
      </c>
      <c r="C81">
        <v>10</v>
      </c>
      <c r="D81" s="2" t="s">
        <v>1215</v>
      </c>
      <c r="E81" s="2" t="str">
        <f>'rio results'!M81</f>
        <v>10.1021/acsnano.0c03466</v>
      </c>
      <c r="F81" s="2">
        <v>23</v>
      </c>
    </row>
    <row r="82" spans="1:6" x14ac:dyDescent="0.45">
      <c r="A82" t="s">
        <v>1125</v>
      </c>
      <c r="B82" t="str">
        <f>_xlfn.REGEXREPLACE(query2!B82, "https://doi.org/","")</f>
        <v>10.1111/poms.13605</v>
      </c>
      <c r="C82">
        <v>10</v>
      </c>
      <c r="D82" s="2" t="s">
        <v>2577</v>
      </c>
      <c r="E82" s="2" t="str">
        <f>'rio results'!M82</f>
        <v>10.1016/j.ecoenv.2023.115227</v>
      </c>
      <c r="F82" s="2">
        <v>22</v>
      </c>
    </row>
    <row r="83" spans="1:6" x14ac:dyDescent="0.45">
      <c r="A83" t="s">
        <v>253</v>
      </c>
      <c r="B83" t="str">
        <f>_xlfn.REGEXREPLACE(query2!B83, "https://doi.org/","")</f>
        <v>10.1088/2058-8585/acb722</v>
      </c>
      <c r="C83">
        <v>9</v>
      </c>
      <c r="D83" s="2" t="s">
        <v>3486</v>
      </c>
      <c r="E83" s="2" t="str">
        <f>'rio results'!M83</f>
        <v>10.1016/j.energy.2021.123050</v>
      </c>
      <c r="F83" s="2">
        <v>22</v>
      </c>
    </row>
    <row r="84" spans="1:6" x14ac:dyDescent="0.45">
      <c r="A84" t="s">
        <v>845</v>
      </c>
      <c r="B84" t="str">
        <f>_xlfn.REGEXREPLACE(query2!B84, "https://doi.org/","")</f>
        <v>10.1016/j.sna.2020.112045</v>
      </c>
      <c r="C84">
        <v>9</v>
      </c>
      <c r="D84" s="2" t="s">
        <v>4534</v>
      </c>
      <c r="E84" s="2" t="str">
        <f>'rio results'!M84</f>
        <v>10.1145/3414685.3417772</v>
      </c>
      <c r="F84" s="2">
        <v>22</v>
      </c>
    </row>
    <row r="85" spans="1:6" x14ac:dyDescent="0.45">
      <c r="A85" t="s">
        <v>978</v>
      </c>
      <c r="B85" t="str">
        <f>_xlfn.REGEXREPLACE(query2!B85, "https://doi.org/","")</f>
        <v>10.3390/nano13010018</v>
      </c>
      <c r="C85">
        <v>9</v>
      </c>
      <c r="D85" s="2" t="s">
        <v>4644</v>
      </c>
      <c r="E85" s="2" t="str">
        <f>'rio results'!M85</f>
        <v>10.5210/FM.V25I9.10801</v>
      </c>
      <c r="F85" s="2">
        <v>22</v>
      </c>
    </row>
    <row r="86" spans="1:6" x14ac:dyDescent="0.45">
      <c r="A86" t="s">
        <v>970</v>
      </c>
      <c r="B86" t="str">
        <f>_xlfn.REGEXREPLACE(query2!B86, "https://doi.org/","")</f>
        <v>10.1016/j.mtcomm.2024.109928</v>
      </c>
      <c r="C86">
        <v>8</v>
      </c>
      <c r="D86" s="2" t="s">
        <v>1066</v>
      </c>
      <c r="E86" s="2" t="str">
        <f>'rio results'!M86</f>
        <v>10.1016/j.enggeo.2020.105693</v>
      </c>
      <c r="F86" s="2">
        <v>22</v>
      </c>
    </row>
    <row r="87" spans="1:6" x14ac:dyDescent="0.45">
      <c r="A87" t="s">
        <v>149</v>
      </c>
      <c r="B87" t="str">
        <f>_xlfn.REGEXREPLACE(query2!B87, "https://doi.org/","")</f>
        <v>10.1016/j.jallcom.2024.174816</v>
      </c>
      <c r="C87">
        <v>7</v>
      </c>
      <c r="D87" s="2" t="s">
        <v>4840</v>
      </c>
      <c r="E87" s="2" t="str">
        <f>'rio results'!M87</f>
        <v>10.1016/j.omtm.2020.01.009</v>
      </c>
      <c r="F87" s="2">
        <v>22</v>
      </c>
    </row>
    <row r="88" spans="1:6" x14ac:dyDescent="0.45">
      <c r="A88" t="s">
        <v>205</v>
      </c>
      <c r="B88" t="str">
        <f>_xlfn.REGEXREPLACE(query2!B88, "https://doi.org/","")</f>
        <v>10.1016/j.matdes.2024.113535</v>
      </c>
      <c r="C88">
        <v>7</v>
      </c>
      <c r="D88" s="2" t="s">
        <v>5109</v>
      </c>
      <c r="E88" s="2" t="str">
        <f>'rio results'!M88</f>
        <v>10.1051/meca/2020068</v>
      </c>
      <c r="F88" s="2">
        <v>22</v>
      </c>
    </row>
    <row r="89" spans="1:6" x14ac:dyDescent="0.45">
      <c r="A89" t="s">
        <v>370</v>
      </c>
      <c r="B89" t="str">
        <f>_xlfn.REGEXREPLACE(query2!B89, "https://doi.org/","")</f>
        <v>10.1039/d0nr08652e</v>
      </c>
      <c r="C89">
        <v>7</v>
      </c>
      <c r="D89" s="2" t="s">
        <v>2497</v>
      </c>
      <c r="E89" s="2" t="str">
        <f>'rio results'!M89</f>
        <v>10.1021/acsestwater.3c00275</v>
      </c>
      <c r="F89" s="2">
        <v>21</v>
      </c>
    </row>
    <row r="90" spans="1:6" x14ac:dyDescent="0.45">
      <c r="A90" t="s">
        <v>399</v>
      </c>
      <c r="B90" t="str">
        <f>_xlfn.REGEXREPLACE(query2!B90, "https://doi.org/","")</f>
        <v>10.1021/acsami.0c00724</v>
      </c>
      <c r="C90">
        <v>7</v>
      </c>
      <c r="D90" s="2" t="s">
        <v>3873</v>
      </c>
      <c r="E90" s="2" t="str">
        <f>'rio results'!M90</f>
        <v>10.1002/er.6974</v>
      </c>
      <c r="F90" s="2">
        <v>21</v>
      </c>
    </row>
    <row r="91" spans="1:6" x14ac:dyDescent="0.45">
      <c r="A91" t="s">
        <v>764</v>
      </c>
      <c r="B91" t="str">
        <f>_xlfn.REGEXREPLACE(query2!B91, "https://doi.org/","")</f>
        <v>10.1134/s1063776120070080</v>
      </c>
      <c r="C91">
        <v>7</v>
      </c>
      <c r="D91" s="2" t="s">
        <v>619</v>
      </c>
      <c r="E91" s="2" t="str">
        <f>'rio results'!M91</f>
        <v>10.1364/OE.417724</v>
      </c>
      <c r="F91" s="2">
        <v>21</v>
      </c>
    </row>
    <row r="92" spans="1:6" x14ac:dyDescent="0.45">
      <c r="A92" t="s">
        <v>925</v>
      </c>
      <c r="B92" t="str">
        <f>_xlfn.REGEXREPLACE(query2!B92, "https://doi.org/","")</f>
        <v>10.1021/acs.macromol.1c01613</v>
      </c>
      <c r="C92">
        <v>7</v>
      </c>
      <c r="D92" s="2" t="s">
        <v>119</v>
      </c>
      <c r="E92" s="2" t="str">
        <f>'rio results'!M92</f>
        <v>10.1038/s41528-024-00309-z</v>
      </c>
      <c r="F92" s="2">
        <v>20</v>
      </c>
    </row>
    <row r="93" spans="1:6" x14ac:dyDescent="0.45">
      <c r="A93" t="s">
        <v>262</v>
      </c>
      <c r="B93" t="str">
        <f>_xlfn.REGEXREPLACE(query2!B93, "https://doi.org/","")</f>
        <v>10.1016/j.tsf.2020.138206</v>
      </c>
      <c r="C93">
        <v>6</v>
      </c>
      <c r="D93" s="2" t="s">
        <v>581</v>
      </c>
      <c r="E93" s="2" t="str">
        <f>'rio results'!M93</f>
        <v>10.1063/5.0244878</v>
      </c>
      <c r="F93" s="2">
        <v>20</v>
      </c>
    </row>
    <row r="94" spans="1:6" x14ac:dyDescent="0.45">
      <c r="A94" t="s">
        <v>269</v>
      </c>
      <c r="B94" t="str">
        <f>_xlfn.REGEXREPLACE(query2!B94, "https://doi.org/","")</f>
        <v>10.1063/5.0106934</v>
      </c>
      <c r="C94">
        <v>6</v>
      </c>
      <c r="D94" s="2" t="s">
        <v>726</v>
      </c>
      <c r="E94" s="2" t="str">
        <f>'rio results'!M94</f>
        <v>10.3390/s24082585</v>
      </c>
      <c r="F94" s="2">
        <v>20</v>
      </c>
    </row>
    <row r="95" spans="1:6" x14ac:dyDescent="0.45">
      <c r="A95" t="s">
        <v>276</v>
      </c>
      <c r="B95" t="str">
        <f>_xlfn.REGEXREPLACE(query2!B95, "https://doi.org/","")</f>
        <v>10.1098/rsos.210141</v>
      </c>
      <c r="C95">
        <v>6</v>
      </c>
      <c r="D95" s="2" t="s">
        <v>2798</v>
      </c>
      <c r="E95" s="2" t="str">
        <f>'rio results'!M95</f>
        <v>10.3390/su15054250</v>
      </c>
      <c r="F95" s="2">
        <v>20</v>
      </c>
    </row>
    <row r="96" spans="1:6" x14ac:dyDescent="0.45">
      <c r="A96" t="s">
        <v>308</v>
      </c>
      <c r="B96" t="str">
        <f>_xlfn.REGEXREPLACE(query2!B96, "https://doi.org/","")</f>
        <v>10.1115/1.4055149</v>
      </c>
      <c r="C96">
        <v>6</v>
      </c>
      <c r="D96" s="2" t="s">
        <v>157</v>
      </c>
      <c r="E96" s="2" t="str">
        <f>'rio results'!M96</f>
        <v>10.1021/acs.chemmater.1c03450</v>
      </c>
      <c r="F96" s="2">
        <v>20</v>
      </c>
    </row>
    <row r="97" spans="1:6" x14ac:dyDescent="0.45">
      <c r="A97" t="s">
        <v>324</v>
      </c>
      <c r="B97" t="str">
        <f>_xlfn.REGEXREPLACE(query2!B97, "https://doi.org/","")</f>
        <v>10.1063/5.0175532</v>
      </c>
      <c r="C97">
        <v>6</v>
      </c>
      <c r="D97" s="2" t="s">
        <v>4128</v>
      </c>
      <c r="E97" s="2" t="str">
        <f>'rio results'!M97</f>
        <v>10.1016/j.trd.2021.102789</v>
      </c>
      <c r="F97" s="2">
        <v>20</v>
      </c>
    </row>
    <row r="98" spans="1:6" x14ac:dyDescent="0.45">
      <c r="A98" t="s">
        <v>346</v>
      </c>
      <c r="B98" t="str">
        <f>_xlfn.REGEXREPLACE(query2!B98, "https://doi.org/","")</f>
        <v>10.1016/j.jasrep.2022.103800</v>
      </c>
      <c r="C98">
        <v>6</v>
      </c>
      <c r="D98" s="2" t="s">
        <v>4243</v>
      </c>
      <c r="E98" s="2" t="str">
        <f>'rio results'!M98</f>
        <v>10.1016/j.drugalcdep.2020.108420</v>
      </c>
      <c r="F98" s="2">
        <v>20</v>
      </c>
    </row>
    <row r="99" spans="1:6" x14ac:dyDescent="0.45">
      <c r="A99" t="s">
        <v>1043</v>
      </c>
      <c r="B99" t="str">
        <f>_xlfn.REGEXREPLACE(query2!B99, "https://doi.org/","")</f>
        <v>10.3390/cryst10121109</v>
      </c>
      <c r="C99">
        <v>6</v>
      </c>
      <c r="D99" s="2" t="s">
        <v>4850</v>
      </c>
      <c r="E99" s="2" t="str">
        <f>'rio results'!M99</f>
        <v>10.1039/c9mh01782h</v>
      </c>
      <c r="F99" s="2">
        <v>20</v>
      </c>
    </row>
    <row r="100" spans="1:6" x14ac:dyDescent="0.45">
      <c r="A100" t="s">
        <v>1079</v>
      </c>
      <c r="B100" t="str">
        <f>_xlfn.REGEXREPLACE(query2!B100, "https://doi.org/","")</f>
        <v>10.1016/j.ijheatmasstransfer.2021.122098</v>
      </c>
      <c r="C100">
        <v>6</v>
      </c>
      <c r="D100" s="2" t="s">
        <v>4955</v>
      </c>
      <c r="E100" s="2" t="str">
        <f>'rio results'!M100</f>
        <v>10.1016/j.jhazmat.2019.121644</v>
      </c>
      <c r="F100" s="2">
        <v>20</v>
      </c>
    </row>
    <row r="101" spans="1:6" x14ac:dyDescent="0.45">
      <c r="A101" t="s">
        <v>243</v>
      </c>
      <c r="B101" t="str">
        <f>_xlfn.REGEXREPLACE(query2!B101, "https://doi.org/","")</f>
        <v>10.1145/3544548.3581024</v>
      </c>
      <c r="C101">
        <v>5</v>
      </c>
      <c r="D101" s="2" t="s">
        <v>703</v>
      </c>
      <c r="E101" s="2" t="str">
        <f>'rio results'!M101</f>
        <v>10.1021/acsaem.9b01754</v>
      </c>
      <c r="F101" s="2">
        <v>20</v>
      </c>
    </row>
    <row r="102" spans="1:6" x14ac:dyDescent="0.45">
      <c r="A102" t="s">
        <v>284</v>
      </c>
      <c r="B102" t="str">
        <f>_xlfn.REGEXREPLACE(query2!B102, "https://doi.org/","")</f>
        <v>10.1039/d1ma00847a</v>
      </c>
      <c r="C102">
        <v>5</v>
      </c>
      <c r="D102" s="2" t="s">
        <v>932</v>
      </c>
      <c r="E102" s="2" t="str">
        <f>'rio results'!M102</f>
        <v>10.1016/j.ijhydene.2024.11.288</v>
      </c>
      <c r="F102" s="2">
        <v>19</v>
      </c>
    </row>
    <row r="103" spans="1:6" x14ac:dyDescent="0.45">
      <c r="A103" t="s">
        <v>658</v>
      </c>
      <c r="B103" t="str">
        <f>_xlfn.REGEXREPLACE(query2!B103, "https://doi.org/","")</f>
        <v>10.1137/22m1506985</v>
      </c>
      <c r="C103">
        <v>5</v>
      </c>
      <c r="D103" s="2" t="s">
        <v>3583</v>
      </c>
      <c r="E103" s="2" t="str">
        <f>'rio results'!M103</f>
        <v>10.1002/adma.202108493</v>
      </c>
      <c r="F103" s="2">
        <v>19</v>
      </c>
    </row>
    <row r="104" spans="1:6" x14ac:dyDescent="0.45">
      <c r="A104" t="s">
        <v>684</v>
      </c>
      <c r="B104" t="str">
        <f>_xlfn.REGEXREPLACE(query2!B104, "https://doi.org/","")</f>
        <v>10.1080/00207721.2024.2408526</v>
      </c>
      <c r="C104">
        <v>5</v>
      </c>
      <c r="D104" s="2" t="s">
        <v>557</v>
      </c>
      <c r="E104" s="2" t="str">
        <f>'rio results'!M104</f>
        <v>10.1016/j.snb.2021.129527</v>
      </c>
      <c r="F104" s="2">
        <v>19</v>
      </c>
    </row>
    <row r="105" spans="1:6" x14ac:dyDescent="0.45">
      <c r="A105" t="s">
        <v>792</v>
      </c>
      <c r="B105" t="str">
        <f>_xlfn.REGEXREPLACE(query2!B105, "https://doi.org/","")</f>
        <v>10.1038/s41467-024-51024-2</v>
      </c>
      <c r="C105">
        <v>5</v>
      </c>
      <c r="D105" s="2" t="s">
        <v>4548</v>
      </c>
      <c r="E105" s="2" t="str">
        <f>'rio results'!M105</f>
        <v>10.1063/5.0020661</v>
      </c>
      <c r="F105" s="2">
        <v>19</v>
      </c>
    </row>
    <row r="106" spans="1:6" x14ac:dyDescent="0.45">
      <c r="A106" t="s">
        <v>822</v>
      </c>
      <c r="B106" t="str">
        <f>_xlfn.REGEXREPLACE(query2!B106, "https://doi.org/","")</f>
        <v>10.1103/physrevresearch.6.033055</v>
      </c>
      <c r="C106">
        <v>5</v>
      </c>
      <c r="D106" s="2" t="s">
        <v>2717</v>
      </c>
      <c r="E106" s="2" t="str">
        <f>'rio results'!M106</f>
        <v>10.1039/d3se00277b</v>
      </c>
      <c r="F106" s="2">
        <v>18</v>
      </c>
    </row>
    <row r="107" spans="1:6" x14ac:dyDescent="0.45">
      <c r="A107" t="s">
        <v>917</v>
      </c>
      <c r="B107" t="str">
        <f>_xlfn.REGEXREPLACE(query2!B107, "https://doi.org/","")</f>
        <v>10.1016/j.sna.2023.114728</v>
      </c>
      <c r="C107">
        <v>5</v>
      </c>
      <c r="D107" s="2" t="s">
        <v>4596</v>
      </c>
      <c r="E107" s="2" t="str">
        <f>'rio results'!M107</f>
        <v>10.1002/adom.202000664</v>
      </c>
      <c r="F107" s="2">
        <v>18</v>
      </c>
    </row>
    <row r="108" spans="1:6" x14ac:dyDescent="0.45">
      <c r="A108" t="s">
        <v>985</v>
      </c>
      <c r="B108" t="str">
        <f>_xlfn.REGEXREPLACE(query2!B108, "https://doi.org/","")</f>
        <v>10.1016/j.matchemphys.2022.126272</v>
      </c>
      <c r="C108">
        <v>5</v>
      </c>
      <c r="D108" s="2" t="s">
        <v>4830</v>
      </c>
      <c r="E108" s="2" t="str">
        <f>'rio results'!M108</f>
        <v>10.1021/acsaem.0c00069</v>
      </c>
      <c r="F108" s="2">
        <v>18</v>
      </c>
    </row>
    <row r="109" spans="1:6" x14ac:dyDescent="0.45">
      <c r="A109" t="s">
        <v>992</v>
      </c>
      <c r="B109" t="str">
        <f>_xlfn.REGEXREPLACE(query2!B109, "https://doi.org/","")</f>
        <v>10.1016/b978-0-08-102795-0.00003-7</v>
      </c>
      <c r="C109">
        <v>5</v>
      </c>
      <c r="D109" s="2" t="s">
        <v>4898</v>
      </c>
      <c r="E109" s="2" t="str">
        <f>'rio results'!M109</f>
        <v>10.1088/1361-6528/ab72b6</v>
      </c>
      <c r="F109" s="2">
        <v>18</v>
      </c>
    </row>
    <row r="110" spans="1:6" x14ac:dyDescent="0.45">
      <c r="A110" t="s">
        <v>1007</v>
      </c>
      <c r="B110" t="str">
        <f>_xlfn.REGEXREPLACE(query2!B110, "https://doi.org/","")</f>
        <v>10.1177/0169796x221107217</v>
      </c>
      <c r="C110">
        <v>5</v>
      </c>
      <c r="D110" s="2" t="s">
        <v>5030</v>
      </c>
      <c r="E110" s="2" t="str">
        <f>'rio results'!M110</f>
        <v>10.1016/j.jpowsour.2019.227359</v>
      </c>
      <c r="F110" s="2">
        <v>18</v>
      </c>
    </row>
    <row r="111" spans="1:6" x14ac:dyDescent="0.45">
      <c r="A111" t="s">
        <v>1050</v>
      </c>
      <c r="B111" t="str">
        <f>_xlfn.REGEXREPLACE(query2!B111, "https://doi.org/","")</f>
        <v>10.1103/physrevb.103.054201</v>
      </c>
      <c r="C111">
        <v>5</v>
      </c>
      <c r="D111" s="2" t="s">
        <v>2461</v>
      </c>
      <c r="E111" s="2" t="str">
        <f>'rio results'!M111</f>
        <v>10.1016/j.jpowsour.2023.233565</v>
      </c>
      <c r="F111" s="2">
        <v>17</v>
      </c>
    </row>
    <row r="112" spans="1:6" x14ac:dyDescent="0.45">
      <c r="A112" t="s">
        <v>1133</v>
      </c>
      <c r="B112" t="str">
        <f>_xlfn.REGEXREPLACE(query2!B112, "https://doi.org/","")</f>
        <v>10.1016/j.actbio.2024.10.029</v>
      </c>
      <c r="C112">
        <v>5</v>
      </c>
      <c r="D112" s="2" t="s">
        <v>164</v>
      </c>
      <c r="E112" s="2" t="str">
        <f>'rio results'!M112</f>
        <v>10.1016/j.matdes.2023.112332</v>
      </c>
      <c r="F112" s="2">
        <v>17</v>
      </c>
    </row>
    <row r="113" spans="1:6" x14ac:dyDescent="0.45">
      <c r="A113" t="s">
        <v>1147</v>
      </c>
      <c r="B113" t="str">
        <f>_xlfn.REGEXREPLACE(query2!B113, "https://doi.org/","")</f>
        <v>10.1021/acsaem.2c01548</v>
      </c>
      <c r="C113">
        <v>5</v>
      </c>
      <c r="D113" s="2" t="s">
        <v>718</v>
      </c>
      <c r="E113" s="2" t="str">
        <f>'rio results'!M113</f>
        <v>10.1016/B978-0-12-823144-9.00069-8</v>
      </c>
      <c r="F113" s="2">
        <v>17</v>
      </c>
    </row>
    <row r="114" spans="1:6" x14ac:dyDescent="0.45">
      <c r="A114" t="s">
        <v>1169</v>
      </c>
      <c r="B114" t="str">
        <f>_xlfn.REGEXREPLACE(query2!B114, "https://doi.org/","")</f>
        <v>10.1016/j.aquatox.2023.106640</v>
      </c>
      <c r="C114">
        <v>5</v>
      </c>
      <c r="D114" s="2" t="s">
        <v>3076</v>
      </c>
      <c r="E114" s="2" t="str">
        <f>'rio results'!M114</f>
        <v>10.1017/9781108878142</v>
      </c>
      <c r="F114" s="2">
        <v>17</v>
      </c>
    </row>
    <row r="115" spans="1:6" x14ac:dyDescent="0.45">
      <c r="A115" t="s">
        <v>1117</v>
      </c>
      <c r="B115" t="str">
        <f>_xlfn.REGEXREPLACE(query2!B115, "https://doi.org/","")</f>
        <v>10.1101/2020.02.24.963421</v>
      </c>
      <c r="C115">
        <v>5</v>
      </c>
      <c r="D115" s="2" t="s">
        <v>3395</v>
      </c>
      <c r="E115" s="2" t="str">
        <f>'rio results'!M115</f>
        <v>10.3389/fimmu.2022.917790</v>
      </c>
      <c r="F115" s="2">
        <v>17</v>
      </c>
    </row>
    <row r="116" spans="1:6" x14ac:dyDescent="0.45">
      <c r="A116" t="s">
        <v>181</v>
      </c>
      <c r="B116" t="str">
        <f>_xlfn.REGEXREPLACE(query2!B116, "https://doi.org/","")</f>
        <v>10.1002/aisy.202300015</v>
      </c>
      <c r="C116">
        <v>4</v>
      </c>
      <c r="D116" s="2" t="s">
        <v>3991</v>
      </c>
      <c r="E116" s="2" t="str">
        <f>'rio results'!M116</f>
        <v>10.1039/d1ra04480j</v>
      </c>
      <c r="F116" s="2">
        <v>17</v>
      </c>
    </row>
    <row r="117" spans="1:6" x14ac:dyDescent="0.45">
      <c r="A117" t="s">
        <v>236</v>
      </c>
      <c r="B117" t="str">
        <f>_xlfn.REGEXREPLACE(query2!B117, "https://doi.org/","")</f>
        <v>10.1109/wifs53200.2021.9648379</v>
      </c>
      <c r="C117">
        <v>4</v>
      </c>
      <c r="D117" s="2" t="s">
        <v>4297</v>
      </c>
      <c r="E117" s="2" t="str">
        <f>'rio results'!M117</f>
        <v>10.1016/B978-0-12-823708-3.00002-X</v>
      </c>
      <c r="F117" s="2">
        <v>17</v>
      </c>
    </row>
    <row r="118" spans="1:6" x14ac:dyDescent="0.45">
      <c r="A118" t="s">
        <v>331</v>
      </c>
      <c r="B118" t="str">
        <f>_xlfn.REGEXREPLACE(query2!B118, "https://doi.org/","")</f>
        <v>10.1103/physrevlett.131.049701</v>
      </c>
      <c r="C118">
        <v>4</v>
      </c>
      <c r="D118" s="2" t="s">
        <v>1117</v>
      </c>
      <c r="E118" s="2" t="str">
        <f>'rio results'!M118</f>
        <v>10.1111/1365-2435.13621</v>
      </c>
      <c r="F118" s="2">
        <v>17</v>
      </c>
    </row>
    <row r="119" spans="1:6" x14ac:dyDescent="0.45">
      <c r="A119" t="s">
        <v>691</v>
      </c>
      <c r="B119" t="str">
        <f>_xlfn.REGEXREPLACE(query2!B119, "https://doi.org/","")</f>
        <v>10.1016/b978-0-12-818475-2.00002-7</v>
      </c>
      <c r="C119">
        <v>4</v>
      </c>
      <c r="D119" s="2" t="s">
        <v>785</v>
      </c>
      <c r="E119" s="2" t="str">
        <f>'rio results'!M119</f>
        <v>10.1016/j.ijfatigue.2020.105697</v>
      </c>
      <c r="F119" s="2">
        <v>17</v>
      </c>
    </row>
    <row r="120" spans="1:6" x14ac:dyDescent="0.45">
      <c r="A120" t="s">
        <v>909</v>
      </c>
      <c r="B120" t="str">
        <f>_xlfn.REGEXREPLACE(query2!B120, "https://doi.org/","")</f>
        <v>10.1016/j.nanoen.2021.106280</v>
      </c>
      <c r="C120">
        <v>4</v>
      </c>
      <c r="D120" s="2" t="s">
        <v>5169</v>
      </c>
      <c r="E120" s="2" t="str">
        <f>'rio results'!M120</f>
        <v>10.1002/cncr.32455</v>
      </c>
      <c r="F120" s="2">
        <v>17</v>
      </c>
    </row>
    <row r="121" spans="1:6" x14ac:dyDescent="0.45">
      <c r="A121" t="s">
        <v>947</v>
      </c>
      <c r="B121" t="str">
        <f>_xlfn.REGEXREPLACE(query2!B121, "https://doi.org/","")</f>
        <v>10.1007/s13233-024-00261-x</v>
      </c>
      <c r="C121">
        <v>4</v>
      </c>
      <c r="D121" s="2" t="s">
        <v>3888</v>
      </c>
      <c r="E121" s="2" t="str">
        <f>'rio results'!M121</f>
        <v>10.3389/fimmu.2021.732298</v>
      </c>
      <c r="F121" s="2">
        <v>16</v>
      </c>
    </row>
    <row r="122" spans="1:6" x14ac:dyDescent="0.45">
      <c r="A122" t="s">
        <v>962</v>
      </c>
      <c r="B122" t="str">
        <f>_xlfn.REGEXREPLACE(query2!B122, "https://doi.org/","")</f>
        <v>10.1002/batt.202300367</v>
      </c>
      <c r="C122">
        <v>4</v>
      </c>
      <c r="D122" s="2" t="s">
        <v>1890</v>
      </c>
      <c r="E122" s="2" t="str">
        <f>'rio results'!M122</f>
        <v>10.1002/adfm.202313793</v>
      </c>
      <c r="F122" s="2">
        <v>15</v>
      </c>
    </row>
    <row r="123" spans="1:6" x14ac:dyDescent="0.45">
      <c r="A123" t="s">
        <v>1000</v>
      </c>
      <c r="B123" t="str">
        <f>_xlfn.REGEXREPLACE(query2!B123, "https://doi.org/","")</f>
        <v>10.1002/aisy.202100003</v>
      </c>
      <c r="C123">
        <v>4</v>
      </c>
      <c r="D123" s="2" t="s">
        <v>95</v>
      </c>
      <c r="E123" s="2" t="str">
        <f>'rio results'!M123</f>
        <v>10.1016/j.jmapro.2024.01.029</v>
      </c>
      <c r="F123" s="2">
        <v>15</v>
      </c>
    </row>
    <row r="124" spans="1:6" x14ac:dyDescent="0.45">
      <c r="A124" t="s">
        <v>1155</v>
      </c>
      <c r="B124" t="str">
        <f>_xlfn.REGEXREPLACE(query2!B124, "https://doi.org/","")</f>
        <v>10.1088/1748-0221/17/11/c11002</v>
      </c>
      <c r="C124">
        <v>4</v>
      </c>
      <c r="D124" s="2" t="s">
        <v>2340</v>
      </c>
      <c r="E124" s="2" t="str">
        <f>'rio results'!M124</f>
        <v>10.1039/d3su00335c</v>
      </c>
      <c r="F124" s="2">
        <v>15</v>
      </c>
    </row>
    <row r="125" spans="1:6" x14ac:dyDescent="0.45">
      <c r="A125" t="s">
        <v>1194</v>
      </c>
      <c r="B125" t="str">
        <f>_xlfn.REGEXREPLACE(query2!B125, "https://doi.org/","")</f>
        <v>10.1016/j.jallcom.2024.176341</v>
      </c>
      <c r="C125">
        <v>4</v>
      </c>
      <c r="D125" s="2" t="s">
        <v>3956</v>
      </c>
      <c r="E125" s="2" t="str">
        <f>'rio results'!M125</f>
        <v>10.3390/s21175947</v>
      </c>
      <c r="F125" s="2">
        <v>15</v>
      </c>
    </row>
    <row r="126" spans="1:6" x14ac:dyDescent="0.45">
      <c r="A126" t="s">
        <v>315</v>
      </c>
      <c r="B126" t="str">
        <f>_xlfn.REGEXREPLACE(query2!B126, "https://doi.org/","")</f>
        <v>10.1021/acsami.4c01045</v>
      </c>
      <c r="C126">
        <v>3</v>
      </c>
      <c r="D126" s="2" t="s">
        <v>4149</v>
      </c>
      <c r="E126" s="2" t="str">
        <f>'rio results'!M126</f>
        <v>10.3389/fmats.2021.639823</v>
      </c>
      <c r="F126" s="2">
        <v>15</v>
      </c>
    </row>
    <row r="127" spans="1:6" x14ac:dyDescent="0.45">
      <c r="A127" t="s">
        <v>339</v>
      </c>
      <c r="B127" t="str">
        <f>_xlfn.REGEXREPLACE(query2!B127, "https://doi.org/","")</f>
        <v>10.1016/j.enconman.2024.118780</v>
      </c>
      <c r="C127">
        <v>3</v>
      </c>
      <c r="D127" s="2" t="s">
        <v>4366</v>
      </c>
      <c r="E127" s="2" t="str">
        <f>'rio results'!M127</f>
        <v>10.3390/s21010225</v>
      </c>
      <c r="F127" s="2">
        <v>15</v>
      </c>
    </row>
    <row r="128" spans="1:6" x14ac:dyDescent="0.45">
      <c r="A128" t="s">
        <v>355</v>
      </c>
      <c r="B128" t="str">
        <f>_xlfn.REGEXREPLACE(query2!B128, "https://doi.org/","")</f>
        <v>10.1007/s10924-024-03300-x</v>
      </c>
      <c r="C128">
        <v>3</v>
      </c>
      <c r="D128" s="2" t="s">
        <v>4874</v>
      </c>
      <c r="E128" s="2" t="str">
        <f>'rio results'!M128</f>
        <v>10.1016/j.quaint.2019.05.003</v>
      </c>
      <c r="F128" s="2">
        <v>15</v>
      </c>
    </row>
    <row r="129" spans="1:6" x14ac:dyDescent="0.45">
      <c r="A129" t="s">
        <v>549</v>
      </c>
      <c r="B129" t="str">
        <f>_xlfn.REGEXREPLACE(query2!B129, "https://doi.org/","")</f>
        <v>10.1002/adma.202170148</v>
      </c>
      <c r="C129">
        <v>3</v>
      </c>
      <c r="D129" s="2" t="s">
        <v>5146</v>
      </c>
      <c r="E129" s="2" t="str">
        <f>'rio results'!M129</f>
        <v>10.1080/00952990.2020.1771721</v>
      </c>
      <c r="F129" s="2">
        <v>15</v>
      </c>
    </row>
    <row r="130" spans="1:6" x14ac:dyDescent="0.45">
      <c r="A130" t="s">
        <v>1014</v>
      </c>
      <c r="B130" t="str">
        <f>_xlfn.REGEXREPLACE(query2!B130, "https://doi.org/","")</f>
        <v>10.1103/physrevb.109.224421</v>
      </c>
      <c r="C130">
        <v>3</v>
      </c>
      <c r="D130" s="2" t="s">
        <v>1670</v>
      </c>
      <c r="E130" s="2" t="str">
        <f>'rio results'!M130</f>
        <v>10.1016/S2542-5196(24)00244-4</v>
      </c>
      <c r="F130" s="2">
        <v>14</v>
      </c>
    </row>
    <row r="131" spans="1:6" x14ac:dyDescent="0.45">
      <c r="A131" t="s">
        <v>1037</v>
      </c>
      <c r="B131" t="str">
        <f>_xlfn.REGEXREPLACE(query2!B131, "https://doi.org/","")</f>
        <v>10.1016/j.ceramint.2024.02.223</v>
      </c>
      <c r="C131">
        <v>3</v>
      </c>
      <c r="D131" s="2" t="s">
        <v>134</v>
      </c>
      <c r="E131" s="2" t="str">
        <f>'rio results'!M131</f>
        <v>10.1039/d4ey00104d</v>
      </c>
      <c r="F131" s="2">
        <v>14</v>
      </c>
    </row>
    <row r="132" spans="1:6" x14ac:dyDescent="0.45">
      <c r="A132" t="s">
        <v>1102</v>
      </c>
      <c r="B132" t="str">
        <f>_xlfn.REGEXREPLACE(query2!B132, "https://doi.org/","")</f>
        <v>10.1111/rssc.12572</v>
      </c>
      <c r="C132">
        <v>3</v>
      </c>
      <c r="D132" s="2" t="s">
        <v>2777</v>
      </c>
      <c r="E132" s="2" t="str">
        <f>'rio results'!M132</f>
        <v>10.1177/14680874221082636</v>
      </c>
      <c r="F132" s="2">
        <v>14</v>
      </c>
    </row>
    <row r="133" spans="1:6" x14ac:dyDescent="0.45">
      <c r="A133" t="s">
        <v>1207</v>
      </c>
      <c r="B133" t="str">
        <f>_xlfn.REGEXREPLACE(query2!B133, "https://doi.org/","")</f>
        <v>10.1080/00207543.2020.1735656</v>
      </c>
      <c r="C133">
        <v>3</v>
      </c>
      <c r="D133" s="2" t="s">
        <v>3235</v>
      </c>
      <c r="E133" s="2" t="str">
        <f>'rio results'!M133</f>
        <v>10.1007/s12520-022-01676-2</v>
      </c>
      <c r="F133" s="2">
        <v>14</v>
      </c>
    </row>
    <row r="134" spans="1:6" x14ac:dyDescent="0.45">
      <c r="A134" t="s">
        <v>1030</v>
      </c>
      <c r="B134" t="str">
        <f>_xlfn.REGEXREPLACE(query2!B134, "https://doi.org/","")</f>
        <v>10.20944/preprints202406.0404.v1</v>
      </c>
      <c r="C134">
        <v>3</v>
      </c>
      <c r="D134" s="2" t="s">
        <v>3338</v>
      </c>
      <c r="E134" s="2" t="str">
        <f>'rio results'!M134</f>
        <v>10.1002/adom.202200862</v>
      </c>
      <c r="F134" s="2">
        <v>14</v>
      </c>
    </row>
    <row r="135" spans="1:6" x14ac:dyDescent="0.45">
      <c r="A135" t="s">
        <v>1444</v>
      </c>
      <c r="B135" t="str">
        <f>_xlfn.REGEXREPLACE(query2!B135, "https://doi.org/","")</f>
        <v>10.1111/sjtg.12539</v>
      </c>
      <c r="C135">
        <v>3</v>
      </c>
      <c r="D135" s="2" t="s">
        <v>3534</v>
      </c>
      <c r="E135" s="2" t="str">
        <f>'rio results'!M135</f>
        <v>10.1063/5.0081185</v>
      </c>
      <c r="F135" s="2">
        <v>14</v>
      </c>
    </row>
    <row r="136" spans="1:6" x14ac:dyDescent="0.45">
      <c r="A136" t="s">
        <v>291</v>
      </c>
      <c r="B136" t="str">
        <f>_xlfn.REGEXREPLACE(query2!B136, "https://doi.org/","")</f>
        <v>10.1109/fleps57599.2023.10220223</v>
      </c>
      <c r="C136">
        <v>2</v>
      </c>
      <c r="D136" s="2" t="s">
        <v>3981</v>
      </c>
      <c r="E136" s="2" t="str">
        <f>'rio results'!M136</f>
        <v>10.1111/dar.13261</v>
      </c>
      <c r="F136" s="2">
        <v>14</v>
      </c>
    </row>
    <row r="137" spans="1:6" x14ac:dyDescent="0.45">
      <c r="A137" t="s">
        <v>299</v>
      </c>
      <c r="B137" t="str">
        <f>_xlfn.REGEXREPLACE(query2!B137, "https://doi.org/","")</f>
        <v>10.1115/detc2024-142944</v>
      </c>
      <c r="C137">
        <v>2</v>
      </c>
      <c r="D137" s="2" t="s">
        <v>4428</v>
      </c>
      <c r="E137" s="2" t="str">
        <f>'rio results'!M137</f>
        <v>10.1021/acs.langmuir.0c02868</v>
      </c>
      <c r="F137" s="2">
        <v>14</v>
      </c>
    </row>
    <row r="138" spans="1:6" x14ac:dyDescent="0.45">
      <c r="A138" t="s">
        <v>362</v>
      </c>
      <c r="B138" t="str">
        <f>_xlfn.REGEXREPLACE(query2!B138, "https://doi.org/","")</f>
        <v>10.1088/1361-6528/ad0410</v>
      </c>
      <c r="C138">
        <v>2</v>
      </c>
      <c r="D138" s="2" t="s">
        <v>2451</v>
      </c>
      <c r="E138" s="2" t="str">
        <f>'rio results'!M138</f>
        <v>10.1002/adfm.202305733</v>
      </c>
      <c r="F138" s="2">
        <v>13</v>
      </c>
    </row>
    <row r="139" spans="1:6" x14ac:dyDescent="0.45">
      <c r="A139" t="s">
        <v>377</v>
      </c>
      <c r="B139" t="str">
        <f>_xlfn.REGEXREPLACE(query2!B139, "https://doi.org/","")</f>
        <v>10.1021/acs.chas.3c00072</v>
      </c>
      <c r="C139">
        <v>2</v>
      </c>
      <c r="D139" s="2" t="s">
        <v>1087</v>
      </c>
      <c r="E139" s="2" t="str">
        <f>'rio results'!M139</f>
        <v>10.1177/0169796X221104856</v>
      </c>
      <c r="F139" s="2">
        <v>13</v>
      </c>
    </row>
    <row r="140" spans="1:6" x14ac:dyDescent="0.45">
      <c r="A140" t="s">
        <v>954</v>
      </c>
      <c r="B140" t="str">
        <f>_xlfn.REGEXREPLACE(query2!B140, "https://doi.org/","")</f>
        <v>10.1103/physrevapplied.22.024058</v>
      </c>
      <c r="C140">
        <v>2</v>
      </c>
      <c r="D140" s="2" t="s">
        <v>4675</v>
      </c>
      <c r="E140" s="2" t="str">
        <f>'rio results'!M140</f>
        <v>10.1016/j.drugpo.2020.102864</v>
      </c>
      <c r="F140" s="2">
        <v>13</v>
      </c>
    </row>
    <row r="141" spans="1:6" x14ac:dyDescent="0.45">
      <c r="A141" t="s">
        <v>1058</v>
      </c>
      <c r="B141" t="str">
        <f>_xlfn.REGEXREPLACE(query2!B141, "https://doi.org/","")</f>
        <v>10.1109/jflex.2023.3237991</v>
      </c>
      <c r="C141">
        <v>2</v>
      </c>
      <c r="D141" s="2" t="s">
        <v>4967</v>
      </c>
      <c r="E141" s="2" t="str">
        <f>'rio results'!M141</f>
        <v>10.1039/c9tc06454k</v>
      </c>
      <c r="F141" s="2">
        <v>13</v>
      </c>
    </row>
    <row r="142" spans="1:6" x14ac:dyDescent="0.45">
      <c r="A142" t="s">
        <v>1073</v>
      </c>
      <c r="B142" t="str">
        <f>_xlfn.REGEXREPLACE(query2!B142, "https://doi.org/","")</f>
        <v>10.3390/bioengineering10030326</v>
      </c>
      <c r="C142">
        <v>2</v>
      </c>
      <c r="D142" s="2" t="s">
        <v>1030</v>
      </c>
      <c r="E142" s="2" t="str">
        <f>'rio results'!M142</f>
        <v>10.3390/ma17133306</v>
      </c>
      <c r="F142" s="2">
        <v>12</v>
      </c>
    </row>
    <row r="143" spans="1:6" x14ac:dyDescent="0.45">
      <c r="A143" t="s">
        <v>1094</v>
      </c>
      <c r="B143" t="str">
        <f>_xlfn.REGEXREPLACE(query2!B143, "https://doi.org/","")</f>
        <v>10.1109/mems49605.2023.10052235</v>
      </c>
      <c r="C143">
        <v>2</v>
      </c>
      <c r="D143" s="2" t="s">
        <v>103</v>
      </c>
      <c r="E143" s="2" t="str">
        <f>'rio results'!M143</f>
        <v>10.1002/adsr.202300003</v>
      </c>
      <c r="F143" s="2">
        <v>12</v>
      </c>
    </row>
    <row r="144" spans="1:6" x14ac:dyDescent="0.45">
      <c r="A144" t="s">
        <v>1110</v>
      </c>
      <c r="B144" t="str">
        <f>_xlfn.REGEXREPLACE(query2!B144, "https://doi.org/","")</f>
        <v>10.1149/ma2023-02371770mtgabs</v>
      </c>
      <c r="C144">
        <v>2</v>
      </c>
      <c r="D144" s="2" t="s">
        <v>3676</v>
      </c>
      <c r="E144" s="2" t="str">
        <f>'rio results'!M144</f>
        <v>10.1039/d1ra07216a</v>
      </c>
      <c r="F144" s="2">
        <v>12</v>
      </c>
    </row>
    <row r="145" spans="1:6" x14ac:dyDescent="0.45">
      <c r="A145" t="s">
        <v>1223</v>
      </c>
      <c r="B145" t="str">
        <f>_xlfn.REGEXREPLACE(query2!B145, "https://doi.org/","")</f>
        <v>10.1002/solr.202100992</v>
      </c>
      <c r="C145">
        <v>2</v>
      </c>
      <c r="D145" s="2" t="s">
        <v>3897</v>
      </c>
      <c r="E145" s="2" t="str">
        <f>'rio results'!M145</f>
        <v>10.1108/IJOES-02-2021-0033</v>
      </c>
      <c r="F145" s="2">
        <v>12</v>
      </c>
    </row>
    <row r="146" spans="1:6" x14ac:dyDescent="0.45">
      <c r="A146" t="s">
        <v>220</v>
      </c>
      <c r="B146" t="str">
        <f>_xlfn.REGEXREPLACE(query2!B146, "https://doi.org/","")</f>
        <v>10.1139/cjc-2023-0232</v>
      </c>
      <c r="C146">
        <v>1</v>
      </c>
      <c r="D146" s="2" t="s">
        <v>748</v>
      </c>
      <c r="E146" s="2" t="str">
        <f>'rio results'!M146</f>
        <v>10.1021/acs.jpcc.0c09527</v>
      </c>
      <c r="F146" s="2">
        <v>12</v>
      </c>
    </row>
    <row r="147" spans="1:6" x14ac:dyDescent="0.45">
      <c r="A147" t="s">
        <v>806</v>
      </c>
      <c r="B147" t="str">
        <f>_xlfn.REGEXREPLACE(query2!B147, "https://doi.org/","")</f>
        <v>10.1016/j.supflu.2023.105939</v>
      </c>
      <c r="C147">
        <v>1</v>
      </c>
      <c r="D147" s="2" t="s">
        <v>4666</v>
      </c>
      <c r="E147" s="2" t="str">
        <f>'rio results'!M147</f>
        <v>10.1115/1.4047616</v>
      </c>
      <c r="F147" s="2">
        <v>12</v>
      </c>
    </row>
    <row r="148" spans="1:6" x14ac:dyDescent="0.45">
      <c r="A148" t="s">
        <v>869</v>
      </c>
      <c r="B148" t="str">
        <f>_xlfn.REGEXREPLACE(query2!B148, "https://doi.org/","")</f>
        <v>10.3389/frai.2023.1137961</v>
      </c>
      <c r="C148">
        <v>1</v>
      </c>
      <c r="D148" s="2" t="s">
        <v>2765</v>
      </c>
      <c r="E148" s="2" t="str">
        <f>'rio results'!M148</f>
        <v>10.1109/JSEN.2023.3247695</v>
      </c>
      <c r="F148" s="2">
        <v>11</v>
      </c>
    </row>
    <row r="149" spans="1:6" x14ac:dyDescent="0.45">
      <c r="A149" t="s">
        <v>1021</v>
      </c>
      <c r="B149" t="str">
        <f>_xlfn.REGEXREPLACE(query2!B149, "https://doi.org/","")</f>
        <v>10.1109/edtm53872.2022.9797966</v>
      </c>
      <c r="C149">
        <v>1</v>
      </c>
      <c r="D149" s="2" t="s">
        <v>3475</v>
      </c>
      <c r="E149" s="2" t="str">
        <f>'rio results'!M149</f>
        <v>10.1002/celc.202200161</v>
      </c>
      <c r="F149" s="2">
        <v>11</v>
      </c>
    </row>
    <row r="150" spans="1:6" x14ac:dyDescent="0.45">
      <c r="A150" t="s">
        <v>1141</v>
      </c>
      <c r="B150" t="str">
        <f>_xlfn.REGEXREPLACE(query2!B150, "https://doi.org/","")</f>
        <v>10.1109/lsens.2024.3509373</v>
      </c>
      <c r="C150">
        <v>1</v>
      </c>
      <c r="D150" s="2" t="s">
        <v>3522</v>
      </c>
      <c r="E150" s="2" t="str">
        <f>'rio results'!M150</f>
        <v>10.1111/poms.13605</v>
      </c>
      <c r="F150" s="2">
        <v>11</v>
      </c>
    </row>
    <row r="151" spans="1:6" x14ac:dyDescent="0.45">
      <c r="A151" t="s">
        <v>1162</v>
      </c>
      <c r="B151" t="str">
        <f>_xlfn.REGEXREPLACE(query2!B151, "https://doi.org/","")</f>
        <v>10.1145/3670947.3670960</v>
      </c>
      <c r="C151">
        <v>1</v>
      </c>
      <c r="D151" s="2" t="s">
        <v>3618</v>
      </c>
      <c r="E151" s="2" t="str">
        <f>'rio results'!M151</f>
        <v>10.1111/jace.18114</v>
      </c>
      <c r="F151" s="2">
        <v>11</v>
      </c>
    </row>
    <row r="152" spans="1:6" x14ac:dyDescent="0.45">
      <c r="A152" t="s">
        <v>1177</v>
      </c>
      <c r="B152" t="str">
        <f>_xlfn.REGEXREPLACE(query2!B152, "https://doi.org/","")</f>
        <v>10.1103/physrevb.110.064401</v>
      </c>
      <c r="C152">
        <v>1</v>
      </c>
      <c r="D152" s="2" t="s">
        <v>3628</v>
      </c>
      <c r="E152" s="2" t="str">
        <f>'rio results'!M152</f>
        <v>10.1016/j.jsams.2021.08.022</v>
      </c>
      <c r="F152" s="2">
        <v>11</v>
      </c>
    </row>
    <row r="153" spans="1:6" x14ac:dyDescent="0.45">
      <c r="A153" t="s">
        <v>1183</v>
      </c>
      <c r="B153" t="str">
        <f>_xlfn.REGEXREPLACE(query2!B153, "https://doi.org/","")</f>
        <v>10.1002/adem.202100048</v>
      </c>
      <c r="C153">
        <v>1</v>
      </c>
      <c r="D153" s="2" t="s">
        <v>533</v>
      </c>
      <c r="E153" s="2" t="str">
        <f>'rio results'!M153</f>
        <v>10.1016/j.clet.2020.100024</v>
      </c>
      <c r="F153" s="2">
        <v>11</v>
      </c>
    </row>
    <row r="154" spans="1:6" x14ac:dyDescent="0.45">
      <c r="A154" t="s">
        <v>1189</v>
      </c>
      <c r="B154" t="str">
        <f>_xlfn.REGEXREPLACE(query2!B154, "https://doi.org/","")</f>
        <v>10.26434/chemrxiv-2021-lj2bz</v>
      </c>
      <c r="C154">
        <v>1</v>
      </c>
      <c r="D154" s="2" t="s">
        <v>853</v>
      </c>
      <c r="E154" s="2" t="str">
        <f>'rio results'!M154</f>
        <v>10.1016/j.powtec.2020.04.031</v>
      </c>
      <c r="F154" s="2">
        <v>11</v>
      </c>
    </row>
    <row r="155" spans="1:6" x14ac:dyDescent="0.45">
      <c r="A155" t="s">
        <v>1201</v>
      </c>
      <c r="B155" t="str">
        <f>_xlfn.REGEXREPLACE(query2!B155, "https://doi.org/","")</f>
        <v>10.1109/sensors60989.2024.10784982</v>
      </c>
      <c r="C155">
        <v>1</v>
      </c>
      <c r="D155" s="2" t="s">
        <v>627</v>
      </c>
      <c r="E155" s="2" t="str">
        <f>'rio results'!M155</f>
        <v>10.1016/j.jpowsour.2024.235537</v>
      </c>
      <c r="F155" s="2">
        <v>10</v>
      </c>
    </row>
    <row r="156" spans="1:6" x14ac:dyDescent="0.45">
      <c r="A156" t="s">
        <v>1215</v>
      </c>
      <c r="B156" t="str">
        <f>_xlfn.REGEXREPLACE(query2!B156, "https://doi.org/","")</f>
        <v>10.1021/acsnano.0c03466</v>
      </c>
      <c r="C156">
        <v>1</v>
      </c>
      <c r="D156" s="2" t="s">
        <v>2883</v>
      </c>
      <c r="E156" s="2" t="str">
        <f>'rio results'!M156</f>
        <v>10.1149/1945-7111/ad0dc3</v>
      </c>
      <c r="F156" s="2">
        <v>10</v>
      </c>
    </row>
    <row r="157" spans="1:6" x14ac:dyDescent="0.45">
      <c r="A157" t="s">
        <v>1236</v>
      </c>
      <c r="B157" t="str">
        <f>_xlfn.REGEXREPLACE(query2!B157, "https://doi.org/","")</f>
        <v>10.1117/12.3003941</v>
      </c>
      <c r="C157">
        <v>1</v>
      </c>
      <c r="D157" s="2" t="s">
        <v>3127</v>
      </c>
      <c r="E157" s="2" t="str">
        <f>'rio results'!M157</f>
        <v>10.57698/v16i3.005</v>
      </c>
      <c r="F157" s="2">
        <v>10</v>
      </c>
    </row>
    <row r="158" spans="1:6" x14ac:dyDescent="0.45">
      <c r="A158" t="s">
        <v>501</v>
      </c>
      <c r="B158" t="str">
        <f>_xlfn.REGEXREPLACE(query2!B158, "https://doi.org/","")</f>
        <v>10.1149/ma2020-01302305mtgabs</v>
      </c>
      <c r="C158">
        <v>1</v>
      </c>
      <c r="D158" s="2" t="s">
        <v>3268</v>
      </c>
      <c r="E158" s="2" t="str">
        <f>'rio results'!M158</f>
        <v>10.1016/j.omtm.2022.05.006</v>
      </c>
      <c r="F158" s="2">
        <v>10</v>
      </c>
    </row>
    <row r="159" spans="1:6" x14ac:dyDescent="0.45">
      <c r="A159" t="s">
        <v>1259</v>
      </c>
      <c r="B159" t="str">
        <f>_xlfn.REGEXREPLACE(query2!B159, "https://doi.org/","")</f>
        <v>10.1016/j.envres.2022.115201</v>
      </c>
      <c r="C159">
        <v>1</v>
      </c>
      <c r="D159" s="2" t="s">
        <v>3509</v>
      </c>
      <c r="E159" s="2" t="str">
        <f>'rio results'!M159</f>
        <v>10.1007/s12553-022-00655-w</v>
      </c>
      <c r="F159" s="2">
        <v>10</v>
      </c>
    </row>
    <row r="160" spans="1:6" x14ac:dyDescent="0.45">
      <c r="A160" t="s">
        <v>1282</v>
      </c>
      <c r="B160" t="str">
        <f>_xlfn.REGEXREPLACE(query2!B160, "https://doi.org/","")</f>
        <v>10.1149/ma2022-01412468mtgabs</v>
      </c>
      <c r="C160">
        <v>1</v>
      </c>
      <c r="D160" s="2" t="s">
        <v>4047</v>
      </c>
      <c r="E160" s="2" t="str">
        <f>'rio results'!M160</f>
        <v>10.1021/acsphotonics.1c00525</v>
      </c>
      <c r="F160" s="2">
        <v>10</v>
      </c>
    </row>
    <row r="161" spans="1:6" x14ac:dyDescent="0.45">
      <c r="A161" t="s">
        <v>445</v>
      </c>
      <c r="B161" t="str">
        <f>_xlfn.REGEXREPLACE(query2!B161, "https://doi.org/","")</f>
        <v>10.1109/fleps57599.2023.10220417</v>
      </c>
      <c r="C161">
        <v>0</v>
      </c>
      <c r="D161" s="2" t="s">
        <v>1755</v>
      </c>
      <c r="E161" s="2" t="str">
        <f>'rio results'!M161</f>
        <v>10.1145/3686169.3686211</v>
      </c>
      <c r="F161" s="2">
        <v>9</v>
      </c>
    </row>
    <row r="162" spans="1:6" x14ac:dyDescent="0.45">
      <c r="A162" t="s">
        <v>458</v>
      </c>
      <c r="B162" t="str">
        <f>_xlfn.REGEXREPLACE(query2!B162, "https://doi.org/","")</f>
        <v>10.1016/b978-0-323-95478-5.00044-3</v>
      </c>
      <c r="C162">
        <v>0</v>
      </c>
      <c r="D162" s="2" t="s">
        <v>149</v>
      </c>
      <c r="E162" s="2" t="str">
        <f>'rio results'!M162</f>
        <v>10.1016/j.jallcom.2024.174816</v>
      </c>
      <c r="F162" s="2">
        <v>9</v>
      </c>
    </row>
    <row r="163" spans="1:6" x14ac:dyDescent="0.45">
      <c r="A163" t="s">
        <v>496</v>
      </c>
      <c r="B163" t="str">
        <f>_xlfn.REGEXREPLACE(query2!B163, "https://doi.org/","")</f>
        <v>10.2139/ssrn.4834657</v>
      </c>
      <c r="C163">
        <v>0</v>
      </c>
      <c r="D163" s="2" t="s">
        <v>2320</v>
      </c>
      <c r="E163" s="2">
        <f>'rio results'!M163</f>
        <v>0</v>
      </c>
      <c r="F163" s="2">
        <v>9</v>
      </c>
    </row>
    <row r="164" spans="1:6" x14ac:dyDescent="0.45">
      <c r="A164" t="s">
        <v>613</v>
      </c>
      <c r="B164" t="str">
        <f>_xlfn.REGEXREPLACE(query2!B164, "https://doi.org/","")</f>
        <v>10.1149/ma2020-01462626mtgabs</v>
      </c>
      <c r="C164">
        <v>0</v>
      </c>
      <c r="D164" s="2" t="s">
        <v>2372</v>
      </c>
      <c r="E164" s="2" t="str">
        <f>'rio results'!M164</f>
        <v>10.1007/s00170-023-12618-0</v>
      </c>
      <c r="F164" s="2">
        <v>9</v>
      </c>
    </row>
    <row r="165" spans="1:6" x14ac:dyDescent="0.45">
      <c r="A165" t="s">
        <v>308</v>
      </c>
      <c r="B165" t="str">
        <f>_xlfn.REGEXREPLACE(query2!B165, "https://doi.org/","")</f>
        <v>10.1115/detc2022-89511</v>
      </c>
      <c r="C165">
        <v>0</v>
      </c>
      <c r="D165" s="2" t="s">
        <v>814</v>
      </c>
      <c r="E165" s="2" t="str">
        <f>'rio results'!M165</f>
        <v>10.1038/s41699-023-00433-w</v>
      </c>
      <c r="F165" s="2">
        <v>9</v>
      </c>
    </row>
    <row r="166" spans="1:6" x14ac:dyDescent="0.45">
      <c r="A166" t="s">
        <v>699</v>
      </c>
      <c r="B166" t="str">
        <f>_xlfn.REGEXREPLACE(query2!B166, "https://doi.org/","")</f>
        <v>10.48550/arxiv.2212.01137</v>
      </c>
      <c r="C166">
        <v>0</v>
      </c>
      <c r="D166" s="2" t="s">
        <v>253</v>
      </c>
      <c r="E166" s="2" t="str">
        <f>'rio results'!M166</f>
        <v>10.1088/2058-8585/acb722</v>
      </c>
      <c r="F166" s="2">
        <v>9</v>
      </c>
    </row>
    <row r="167" spans="1:6" x14ac:dyDescent="0.45">
      <c r="A167" t="s">
        <v>711</v>
      </c>
      <c r="B167" t="str">
        <f>_xlfn.REGEXREPLACE(query2!B167, "https://doi.org/","")</f>
        <v>10.1016/j.renene.2024.121338</v>
      </c>
      <c r="C167">
        <v>0</v>
      </c>
      <c r="D167" s="2" t="s">
        <v>4488</v>
      </c>
      <c r="E167" s="2" t="str">
        <f>'rio results'!M167</f>
        <v>10.1186/s12885-020-07374-3</v>
      </c>
      <c r="F167" s="2">
        <v>9</v>
      </c>
    </row>
    <row r="168" spans="1:6" x14ac:dyDescent="0.45">
      <c r="A168" t="s">
        <v>1254</v>
      </c>
      <c r="B168" t="str">
        <f>_xlfn.REGEXREPLACE(query2!B168, "https://doi.org/","")</f>
        <v>10.29363/nanoge.matsus.2024.301</v>
      </c>
      <c r="C168">
        <v>0</v>
      </c>
      <c r="D168" s="2" t="s">
        <v>4512</v>
      </c>
      <c r="E168" s="2" t="str">
        <f>'rio results'!M168</f>
        <v>10.1007/s12351-018-0404-3</v>
      </c>
      <c r="F168" s="2">
        <v>9</v>
      </c>
    </row>
    <row r="169" spans="1:6" x14ac:dyDescent="0.45">
      <c r="A169" t="s">
        <v>1267</v>
      </c>
      <c r="B169" t="str">
        <f>_xlfn.REGEXREPLACE(query2!B169, "https://doi.org/","")</f>
        <v>10.29363/nanoge.matsus.2024.316</v>
      </c>
      <c r="C169">
        <v>0</v>
      </c>
      <c r="D169" s="2" t="s">
        <v>1914</v>
      </c>
      <c r="E169" s="2" t="str">
        <f>'rio results'!M169</f>
        <v>10.1002/cssc.202301922</v>
      </c>
      <c r="F169" s="2">
        <v>8</v>
      </c>
    </row>
    <row r="170" spans="1:6" x14ac:dyDescent="0.45">
      <c r="A170" t="s">
        <v>1275</v>
      </c>
      <c r="B170" t="str">
        <f>_xlfn.REGEXREPLACE(query2!B170, "https://doi.org/","")</f>
        <v>10.1016/j.energy.2024.132617</v>
      </c>
      <c r="C170">
        <v>0</v>
      </c>
      <c r="D170" s="2" t="s">
        <v>2690</v>
      </c>
      <c r="E170" s="2" t="str">
        <f>'rio results'!M170</f>
        <v>10.13532/j.jmsce.cn10-1638/td.2023.03.004</v>
      </c>
      <c r="F170" s="2">
        <v>8</v>
      </c>
    </row>
    <row r="171" spans="1:6" x14ac:dyDescent="0.45">
      <c r="A171" t="s">
        <v>1289</v>
      </c>
      <c r="B171" t="str">
        <f>_xlfn.REGEXREPLACE(query2!B171, "https://doi.org/","")</f>
        <v>10.1149/ma2020-02352253mtgabs</v>
      </c>
      <c r="C171">
        <v>0</v>
      </c>
      <c r="D171" s="2" t="s">
        <v>3350</v>
      </c>
      <c r="E171" s="2" t="str">
        <f>'rio results'!M171</f>
        <v>10.1109/TDMR.2022.3175914</v>
      </c>
      <c r="F171" s="2">
        <v>8</v>
      </c>
    </row>
    <row r="172" spans="1:6" x14ac:dyDescent="0.45">
      <c r="A172" t="s">
        <v>1296</v>
      </c>
      <c r="B172" t="str">
        <f>_xlfn.REGEXREPLACE(query2!B172, "https://doi.org/","")</f>
        <v>10.1109/ifetc53656.2022.9948498</v>
      </c>
      <c r="C172">
        <v>0</v>
      </c>
      <c r="D172" s="2" t="s">
        <v>925</v>
      </c>
      <c r="E172" s="2" t="str">
        <f>'rio results'!M172</f>
        <v>10.1021/acs.macromol.1c01613</v>
      </c>
      <c r="F172" s="2">
        <v>8</v>
      </c>
    </row>
    <row r="173" spans="1:6" x14ac:dyDescent="0.45">
      <c r="A173" t="s">
        <v>1301</v>
      </c>
      <c r="B173" t="str">
        <f>_xlfn.REGEXREPLACE(query2!B173, "https://doi.org/","")</f>
        <v>10.1109/nmdc50713.2021.9677477</v>
      </c>
      <c r="C173">
        <v>0</v>
      </c>
      <c r="D173" s="2" t="s">
        <v>4861</v>
      </c>
      <c r="E173" s="2" t="str">
        <f>'rio results'!M173</f>
        <v>10.1386/jams_00018_1</v>
      </c>
      <c r="F173" s="2">
        <v>8</v>
      </c>
    </row>
    <row r="174" spans="1:6" x14ac:dyDescent="0.45">
      <c r="A174" t="s">
        <v>1308</v>
      </c>
      <c r="B174" t="str">
        <f>_xlfn.REGEXREPLACE(query2!B174, "https://doi.org/","")</f>
        <v>10.48550/arxiv.2407.17575</v>
      </c>
      <c r="C174">
        <v>0</v>
      </c>
      <c r="D174" s="2" t="s">
        <v>1557</v>
      </c>
      <c r="E174" s="2" t="str">
        <f>'rio results'!M174</f>
        <v>10.1016/j.applthermaleng.2024.124281</v>
      </c>
      <c r="F174" s="2">
        <v>7</v>
      </c>
    </row>
    <row r="175" spans="1:6" x14ac:dyDescent="0.45">
      <c r="A175" t="s">
        <v>1308</v>
      </c>
      <c r="B175" t="str">
        <f>_xlfn.REGEXREPLACE(query2!B175, "https://doi.org/","")</f>
        <v>10.1103/physrevb.110.104429</v>
      </c>
      <c r="C175">
        <v>0</v>
      </c>
      <c r="D175" s="2" t="s">
        <v>2350</v>
      </c>
      <c r="E175" s="2" t="str">
        <f>'rio results'!M175</f>
        <v>10.1016/j.jmapro.2023.11.007</v>
      </c>
      <c r="F175" s="2">
        <v>7</v>
      </c>
    </row>
    <row r="176" spans="1:6" x14ac:dyDescent="0.45">
      <c r="A176" t="s">
        <v>1189</v>
      </c>
      <c r="B176" t="str">
        <f>_xlfn.REGEXREPLACE(query2!B176, "https://doi.org/","")</f>
        <v>10.33774/chemrxiv-2021-lj2bz</v>
      </c>
      <c r="C176">
        <v>0</v>
      </c>
      <c r="D176" s="2" t="s">
        <v>917</v>
      </c>
      <c r="E176" s="2" t="str">
        <f>'rio results'!M176</f>
        <v>10.1016/j.sna.2023.114728</v>
      </c>
      <c r="F176" s="2">
        <v>7</v>
      </c>
    </row>
    <row r="177" spans="1:6" x14ac:dyDescent="0.45">
      <c r="A177" t="s">
        <v>1321</v>
      </c>
      <c r="B177" t="str">
        <f>_xlfn.REGEXREPLACE(query2!B177, "https://doi.org/","")</f>
        <v>10.1149/ma2022-02401481mtgabs</v>
      </c>
      <c r="C177">
        <v>0</v>
      </c>
      <c r="D177" s="2" t="s">
        <v>2442</v>
      </c>
      <c r="E177" s="2" t="str">
        <f>'rio results'!M177</f>
        <v>10.1038/s41467-023-37346-7</v>
      </c>
      <c r="F177" s="2">
        <v>7</v>
      </c>
    </row>
    <row r="178" spans="1:6" x14ac:dyDescent="0.45">
      <c r="A178" t="s">
        <v>1327</v>
      </c>
      <c r="B178" t="str">
        <f>_xlfn.REGEXREPLACE(query2!B178, "https://doi.org/","")</f>
        <v>10.1149/ma2022-0113925mtgabs</v>
      </c>
      <c r="C178">
        <v>0</v>
      </c>
      <c r="D178" s="2" t="s">
        <v>2859</v>
      </c>
      <c r="E178" s="2" t="str">
        <f>'rio results'!M178</f>
        <v>10.5194/isprs-annals-X-4-W1-2022-25-2023</v>
      </c>
      <c r="F178" s="2">
        <v>7</v>
      </c>
    </row>
    <row r="179" spans="1:6" x14ac:dyDescent="0.45">
      <c r="A179" t="s">
        <v>1333</v>
      </c>
      <c r="B179" t="str">
        <f>_xlfn.REGEXREPLACE(query2!B179, "https://doi.org/","")</f>
        <v>10.1149/ma2022-02401482mtgabs</v>
      </c>
      <c r="C179">
        <v>0</v>
      </c>
      <c r="D179" s="2" t="s">
        <v>978</v>
      </c>
      <c r="E179" s="2" t="str">
        <f>'rio results'!M179</f>
        <v>10.3390/nano13010018</v>
      </c>
      <c r="F179" s="2">
        <v>7</v>
      </c>
    </row>
    <row r="180" spans="1:6" x14ac:dyDescent="0.45">
      <c r="A180" t="s">
        <v>1340</v>
      </c>
      <c r="B180" t="str">
        <f>_xlfn.REGEXREPLACE(query2!B180, "https://doi.org/","")</f>
        <v>10.1149/ma2022-01552300mtgabs</v>
      </c>
      <c r="C180">
        <v>0</v>
      </c>
      <c r="D180" s="2" t="s">
        <v>3140</v>
      </c>
      <c r="E180" s="2" t="str">
        <f>'rio results'!M180</f>
        <v>10.1088/1748-0221/17/12/C12013</v>
      </c>
      <c r="F180" s="2">
        <v>7</v>
      </c>
    </row>
    <row r="181" spans="1:6" x14ac:dyDescent="0.45">
      <c r="A181" t="s">
        <v>1347</v>
      </c>
      <c r="B181" t="str">
        <f>_xlfn.REGEXREPLACE(query2!B181, "https://doi.org/","")</f>
        <v>10.1016/b978-0-12-823708-3.00005-5</v>
      </c>
      <c r="C181">
        <v>0</v>
      </c>
      <c r="D181" s="2" t="s">
        <v>3329</v>
      </c>
      <c r="E181" s="2" t="str">
        <f>'rio results'!M181</f>
        <v>10.1177/0169796X221106013</v>
      </c>
      <c r="F181" s="2">
        <v>7</v>
      </c>
    </row>
    <row r="182" spans="1:6" x14ac:dyDescent="0.45">
      <c r="A182" t="s">
        <v>1354</v>
      </c>
      <c r="B182" t="str">
        <f>_xlfn.REGEXREPLACE(query2!B182, "https://doi.org/","")</f>
        <v>10.1117/12.3003437</v>
      </c>
      <c r="C182">
        <v>0</v>
      </c>
      <c r="D182" s="2" t="s">
        <v>3967</v>
      </c>
      <c r="E182" s="2" t="str">
        <f>'rio results'!M182</f>
        <v>10.1002/oa.2987</v>
      </c>
      <c r="F182" s="2">
        <v>7</v>
      </c>
    </row>
    <row r="183" spans="1:6" x14ac:dyDescent="0.45">
      <c r="A183" t="s">
        <v>1360</v>
      </c>
      <c r="B183" t="str">
        <f>_xlfn.REGEXREPLACE(query2!B183, "https://doi.org/","")</f>
        <v>10.2139/ssrn.4877451</v>
      </c>
      <c r="C183">
        <v>0</v>
      </c>
      <c r="D183" s="2" t="s">
        <v>4209</v>
      </c>
      <c r="E183" s="2" t="str">
        <f>'rio results'!M183</f>
        <v>10.1103/PhysRevB.103.054201</v>
      </c>
      <c r="F183" s="2">
        <v>7</v>
      </c>
    </row>
    <row r="184" spans="1:6" x14ac:dyDescent="0.45">
      <c r="A184" t="s">
        <v>1365</v>
      </c>
      <c r="B184" t="str">
        <f>_xlfn.REGEXREPLACE(query2!B184, "https://doi.org/","")</f>
        <v>10.1101/2024.07.12.599409</v>
      </c>
      <c r="C184">
        <v>0</v>
      </c>
      <c r="D184" s="2" t="s">
        <v>4235</v>
      </c>
      <c r="E184" s="2" t="str">
        <f>'rio results'!M184</f>
        <v>10.1039/d0nr08652e</v>
      </c>
      <c r="F184" s="2">
        <v>7</v>
      </c>
    </row>
    <row r="185" spans="1:6" x14ac:dyDescent="0.45">
      <c r="A185" t="s">
        <v>1369</v>
      </c>
      <c r="B185" t="str">
        <f>_xlfn.REGEXREPLACE(query2!B185, "https://doi.org/","")</f>
        <v>10.1115/1.4066889</v>
      </c>
      <c r="C185">
        <v>0</v>
      </c>
      <c r="D185" s="2" t="s">
        <v>4257</v>
      </c>
      <c r="E185" s="2" t="str">
        <f>'rio results'!M185</f>
        <v>10.1016/j.jasrep.2020.102741</v>
      </c>
      <c r="F185" s="2">
        <v>7</v>
      </c>
    </row>
    <row r="186" spans="1:6" x14ac:dyDescent="0.45">
      <c r="A186" t="s">
        <v>1369</v>
      </c>
      <c r="B186" t="str">
        <f>_xlfn.REGEXREPLACE(query2!B186, "https://doi.org/","")</f>
        <v>10.1115/gt2024-125961</v>
      </c>
      <c r="C186">
        <v>0</v>
      </c>
      <c r="D186" s="2" t="s">
        <v>262</v>
      </c>
      <c r="E186" s="2" t="str">
        <f>'rio results'!M186</f>
        <v>10.1016/j.tsf.2020.138206</v>
      </c>
      <c r="F186" s="2">
        <v>7</v>
      </c>
    </row>
    <row r="187" spans="1:6" x14ac:dyDescent="0.45">
      <c r="A187" t="s">
        <v>1380</v>
      </c>
      <c r="B187" t="str">
        <f>_xlfn.REGEXREPLACE(query2!B187, "https://doi.org/","")</f>
        <v>10.22541/au.170670450.06565845/v1</v>
      </c>
      <c r="C187">
        <v>0</v>
      </c>
      <c r="D187" s="2" t="s">
        <v>1708</v>
      </c>
      <c r="E187" s="2" t="str">
        <f>'rio results'!M187</f>
        <v>10.1111/joms.13003</v>
      </c>
      <c r="F187" s="2">
        <v>6</v>
      </c>
    </row>
    <row r="188" spans="1:6" x14ac:dyDescent="0.45">
      <c r="A188" t="s">
        <v>1385</v>
      </c>
      <c r="B188" t="str">
        <f>_xlfn.REGEXREPLACE(query2!B188, "https://doi.org/","")</f>
        <v>10.1149/ma2022-01552295mtgabs</v>
      </c>
      <c r="C188">
        <v>0</v>
      </c>
      <c r="D188" s="2" t="s">
        <v>947</v>
      </c>
      <c r="E188" s="2" t="str">
        <f>'rio results'!M188</f>
        <v>10.1007/s13233-024-00261-x</v>
      </c>
      <c r="F188" s="2">
        <v>6</v>
      </c>
    </row>
    <row r="189" spans="1:6" x14ac:dyDescent="0.45">
      <c r="A189" t="s">
        <v>1392</v>
      </c>
      <c r="B189" t="str">
        <f>_xlfn.REGEXREPLACE(query2!B189, "https://doi.org/","")</f>
        <v>10.1149/ma2022-01532200mtgabs</v>
      </c>
      <c r="C189">
        <v>0</v>
      </c>
      <c r="D189" s="2" t="s">
        <v>2407</v>
      </c>
      <c r="E189" s="2" t="str">
        <f>'rio results'!M189</f>
        <v>10.1016/j.strueco.2023.09.004</v>
      </c>
      <c r="F189" s="2">
        <v>6</v>
      </c>
    </row>
    <row r="190" spans="1:6" x14ac:dyDescent="0.45">
      <c r="A190" t="s">
        <v>1398</v>
      </c>
      <c r="B190" t="str">
        <f>_xlfn.REGEXREPLACE(query2!B190, "https://doi.org/","")</f>
        <v>10.1149/ma2020-02332130mtgabs</v>
      </c>
      <c r="C190">
        <v>0</v>
      </c>
      <c r="D190" s="2" t="s">
        <v>2920</v>
      </c>
      <c r="E190" s="2" t="str">
        <f>'rio results'!M190</f>
        <v>10.4324/9781003176497</v>
      </c>
      <c r="F190" s="2">
        <v>6</v>
      </c>
    </row>
    <row r="191" spans="1:6" x14ac:dyDescent="0.45">
      <c r="A191" t="s">
        <v>1405</v>
      </c>
      <c r="B191" t="str">
        <f>_xlfn.REGEXREPLACE(query2!B191, "https://doi.org/","")</f>
        <v>10.1109/jflex.2024.3408001</v>
      </c>
      <c r="C191">
        <v>0</v>
      </c>
      <c r="D191" s="2" t="s">
        <v>3653</v>
      </c>
      <c r="E191" s="2" t="str">
        <f>'rio results'!M191</f>
        <v>10.11834/jig.210371</v>
      </c>
      <c r="F191" s="2">
        <v>6</v>
      </c>
    </row>
    <row r="192" spans="1:6" x14ac:dyDescent="0.45">
      <c r="A192" t="s">
        <v>1412</v>
      </c>
      <c r="B192" t="str">
        <f>_xlfn.REGEXREPLACE(query2!B192, "https://doi.org/","")</f>
        <v>10.1149/ma2023-02391922mtgabs</v>
      </c>
      <c r="C192">
        <v>0</v>
      </c>
      <c r="D192" s="2" t="s">
        <v>4288</v>
      </c>
      <c r="E192" s="2" t="str">
        <f>'rio results'!M192</f>
        <v>10.1016/B978-0-444-59432-7.00020-0</v>
      </c>
      <c r="F192" s="2">
        <v>6</v>
      </c>
    </row>
    <row r="193" spans="1:6" x14ac:dyDescent="0.45">
      <c r="A193" t="s">
        <v>1418</v>
      </c>
      <c r="B193" t="str">
        <f>_xlfn.REGEXREPLACE(query2!B193, "https://doi.org/","")</f>
        <v>10.1149/ma2022-02431616mtgabs</v>
      </c>
      <c r="C193">
        <v>0</v>
      </c>
      <c r="D193" s="2" t="s">
        <v>236</v>
      </c>
      <c r="E193" s="2" t="str">
        <f>'rio results'!M193</f>
        <v>10.1109/WIFS53200.2021.9648379</v>
      </c>
      <c r="F193" s="2">
        <v>6</v>
      </c>
    </row>
    <row r="194" spans="1:6" x14ac:dyDescent="0.45">
      <c r="A194" t="s">
        <v>1425</v>
      </c>
      <c r="B194" t="str">
        <f>_xlfn.REGEXREPLACE(query2!B194, "https://doi.org/","")</f>
        <v>10.1149/ma2023-02391920mtgabs</v>
      </c>
      <c r="C194">
        <v>0</v>
      </c>
      <c r="D194" s="2" t="s">
        <v>4582</v>
      </c>
      <c r="E194" s="2" t="str">
        <f>'rio results'!M194</f>
        <v>10.1007/s00603-020-02203-2</v>
      </c>
      <c r="F194" s="2">
        <v>6</v>
      </c>
    </row>
    <row r="195" spans="1:6" x14ac:dyDescent="0.45">
      <c r="A195" t="s">
        <v>1432</v>
      </c>
      <c r="B195" t="str">
        <f>_xlfn.REGEXREPLACE(query2!B195, "https://doi.org/","")</f>
        <v>10.1149/ma2020-02372361mtgabs</v>
      </c>
      <c r="C195">
        <v>0</v>
      </c>
      <c r="D195" s="2" t="s">
        <v>845</v>
      </c>
      <c r="E195" s="2" t="str">
        <f>'rio results'!M195</f>
        <v>10.1016/j.sna.2020.112045</v>
      </c>
      <c r="F195" s="2">
        <v>6</v>
      </c>
    </row>
    <row r="196" spans="1:6" x14ac:dyDescent="0.45">
      <c r="A196" t="s">
        <v>1438</v>
      </c>
      <c r="B196" t="str">
        <f>_xlfn.REGEXREPLACE(query2!B196, "https://doi.org/","")</f>
        <v>10.1149/ma2022-01351418mtgabs</v>
      </c>
      <c r="C196">
        <v>0</v>
      </c>
      <c r="D196" s="2" t="s">
        <v>4909</v>
      </c>
      <c r="E196" s="2" t="str">
        <f>'rio results'!M196</f>
        <v>10.1115/1.4046309</v>
      </c>
      <c r="F196" s="2">
        <v>6</v>
      </c>
    </row>
    <row r="197" spans="1:6" x14ac:dyDescent="0.45">
      <c r="A197" t="s">
        <v>1451</v>
      </c>
      <c r="B197" t="str">
        <f>_xlfn.REGEXREPLACE(query2!B197, "https://doi.org/","")</f>
        <v>10.1149/ma2023-02381818mtgabs</v>
      </c>
      <c r="C197">
        <v>0</v>
      </c>
      <c r="D197" s="2" t="s">
        <v>399</v>
      </c>
      <c r="E197" s="2" t="str">
        <f>'rio results'!M197</f>
        <v>10.1021/acsami.0c00724</v>
      </c>
      <c r="F197" s="2">
        <v>6</v>
      </c>
    </row>
    <row r="198" spans="1:6" x14ac:dyDescent="0.45">
      <c r="A198" t="s">
        <v>1457</v>
      </c>
      <c r="B198" t="str">
        <f>_xlfn.REGEXREPLACE(query2!B198, "https://doi.org/","")</f>
        <v>10.1149/ma2020-02352257mtgabs</v>
      </c>
      <c r="C198">
        <v>0</v>
      </c>
      <c r="D198" s="2" t="s">
        <v>1608</v>
      </c>
      <c r="E198" s="2" t="str">
        <f>'rio results'!M198</f>
        <v>10.1186/s12954-024-00980-5</v>
      </c>
      <c r="F198" s="2">
        <v>5</v>
      </c>
    </row>
    <row r="199" spans="1:6" x14ac:dyDescent="0.45">
      <c r="A199" t="s">
        <v>1463</v>
      </c>
      <c r="B199" t="str">
        <f>_xlfn.REGEXREPLACE(query2!B199, "https://doi.org/","")</f>
        <v>10.1149/ma2022-02391413mtgabs</v>
      </c>
      <c r="C199">
        <v>0</v>
      </c>
      <c r="D199" s="2" t="s">
        <v>970</v>
      </c>
      <c r="E199" s="2" t="str">
        <f>'rio results'!M199</f>
        <v>10.1016/j.mtcomm.2024.109928</v>
      </c>
      <c r="F199" s="2">
        <v>5</v>
      </c>
    </row>
    <row r="200" spans="1:6" x14ac:dyDescent="0.45">
      <c r="A200" t="s">
        <v>792</v>
      </c>
      <c r="B200" t="str">
        <f>_xlfn.REGEXREPLACE(query2!B200, "https://doi.org/","")</f>
        <v>10.21203/rs.3.rs-3884985/v1</v>
      </c>
      <c r="D200" s="2" t="s">
        <v>962</v>
      </c>
      <c r="E200" s="2" t="str">
        <f>'rio results'!M200</f>
        <v>10.1002/batt.202300367</v>
      </c>
      <c r="F200" s="2">
        <v>5</v>
      </c>
    </row>
    <row r="201" spans="1:6" x14ac:dyDescent="0.45">
      <c r="D201" s="2" t="s">
        <v>2420</v>
      </c>
      <c r="E201" s="2" t="str">
        <f>'rio results'!M201</f>
        <v>10.1038/s41598-023-38154-1</v>
      </c>
      <c r="F201" s="2">
        <v>5</v>
      </c>
    </row>
    <row r="202" spans="1:6" x14ac:dyDescent="0.45">
      <c r="D202" s="2" t="s">
        <v>1169</v>
      </c>
      <c r="E202" s="2" t="str">
        <f>'rio results'!M202</f>
        <v>10.1016/j.aquatox.2023.106640</v>
      </c>
      <c r="F202" s="2">
        <v>5</v>
      </c>
    </row>
    <row r="203" spans="1:6" x14ac:dyDescent="0.45">
      <c r="D203" s="2" t="s">
        <v>2622</v>
      </c>
      <c r="E203" s="2" t="str">
        <f>'rio results'!M203</f>
        <v>10.1016/j.nimb.2023.05.041</v>
      </c>
      <c r="F203" s="2">
        <v>5</v>
      </c>
    </row>
    <row r="204" spans="1:6" x14ac:dyDescent="0.45">
      <c r="D204" s="2" t="s">
        <v>308</v>
      </c>
      <c r="E204" s="2" t="str">
        <f>'rio results'!M204</f>
        <v>10.1115/1.4055149</v>
      </c>
      <c r="F204" s="2">
        <v>5</v>
      </c>
    </row>
    <row r="205" spans="1:6" x14ac:dyDescent="0.45">
      <c r="D205" s="2" t="s">
        <v>3188</v>
      </c>
      <c r="E205" s="2" t="str">
        <f>'rio results'!M205</f>
        <v>10.1021/acsaem.2c01548</v>
      </c>
      <c r="F205" s="2">
        <v>5</v>
      </c>
    </row>
    <row r="206" spans="1:6" x14ac:dyDescent="0.45">
      <c r="D206" s="2" t="s">
        <v>3258</v>
      </c>
      <c r="E206" s="2" t="str">
        <f>'rio results'!M206</f>
        <v>10.1063/5.0106934</v>
      </c>
      <c r="F206" s="2">
        <v>5</v>
      </c>
    </row>
    <row r="207" spans="1:6" x14ac:dyDescent="0.45">
      <c r="D207" s="2" t="s">
        <v>985</v>
      </c>
      <c r="E207" s="2" t="str">
        <f>'rio results'!M207</f>
        <v>10.1016/j.matchemphys.2022.126272</v>
      </c>
      <c r="F207" s="2">
        <v>5</v>
      </c>
    </row>
    <row r="208" spans="1:6" x14ac:dyDescent="0.45">
      <c r="D208" s="2" t="s">
        <v>3560</v>
      </c>
      <c r="E208" s="2" t="str">
        <f>'rio results'!M208</f>
        <v>10.1039/d1ma00847a</v>
      </c>
      <c r="F208" s="2">
        <v>5</v>
      </c>
    </row>
    <row r="209" spans="4:6" x14ac:dyDescent="0.45">
      <c r="D209" s="2" t="s">
        <v>3948</v>
      </c>
      <c r="E209" s="2" t="str">
        <f>'rio results'!M209</f>
        <v>10.1088/2058-8585/ac1fd6</v>
      </c>
      <c r="F209" s="2">
        <v>5</v>
      </c>
    </row>
    <row r="210" spans="4:6" x14ac:dyDescent="0.45">
      <c r="D210" s="2" t="s">
        <v>4080</v>
      </c>
      <c r="E210" s="2" t="str">
        <f>'rio results'!M210</f>
        <v>10.1115/1.4050363</v>
      </c>
      <c r="F210" s="2">
        <v>5</v>
      </c>
    </row>
    <row r="211" spans="4:6" x14ac:dyDescent="0.45">
      <c r="D211" s="2" t="s">
        <v>4227</v>
      </c>
      <c r="E211" s="2" t="str">
        <f>'rio results'!M211</f>
        <v>10.1039/d0qm00403k</v>
      </c>
      <c r="F211" s="2">
        <v>5</v>
      </c>
    </row>
    <row r="212" spans="4:6" x14ac:dyDescent="0.45">
      <c r="D212" s="2" t="s">
        <v>4340</v>
      </c>
      <c r="E212" s="2">
        <f>'rio results'!M212</f>
        <v>0</v>
      </c>
      <c r="F212" s="2">
        <v>5</v>
      </c>
    </row>
    <row r="213" spans="4:6" x14ac:dyDescent="0.45">
      <c r="D213" s="2" t="s">
        <v>4467</v>
      </c>
      <c r="E213" s="2" t="str">
        <f>'rio results'!M213</f>
        <v>10.3390/cryst10121109</v>
      </c>
      <c r="F213" s="2">
        <v>5</v>
      </c>
    </row>
    <row r="214" spans="4:6" x14ac:dyDescent="0.45">
      <c r="D214" s="2" t="s">
        <v>764</v>
      </c>
      <c r="E214" s="2" t="str">
        <f>'rio results'!M214</f>
        <v>10.1134/S1063776120070080</v>
      </c>
      <c r="F214" s="2">
        <v>5</v>
      </c>
    </row>
    <row r="215" spans="4:6" x14ac:dyDescent="0.45">
      <c r="D215" s="2" t="s">
        <v>5065</v>
      </c>
      <c r="E215" s="2" t="str">
        <f>'rio results'!M215</f>
        <v>10.1016/B978-0-12-818475-2.00002-7</v>
      </c>
      <c r="F215" s="2">
        <v>5</v>
      </c>
    </row>
    <row r="216" spans="4:6" x14ac:dyDescent="0.45">
      <c r="D216" s="2" t="s">
        <v>1570</v>
      </c>
      <c r="E216" s="2" t="str">
        <f>'rio results'!M216</f>
        <v>10.1007/s10346-024-02346-1</v>
      </c>
      <c r="F216" s="2">
        <v>4</v>
      </c>
    </row>
    <row r="217" spans="4:6" x14ac:dyDescent="0.45">
      <c r="D217" s="2" t="s">
        <v>792</v>
      </c>
      <c r="E217" s="2" t="str">
        <f>'rio results'!M217</f>
        <v>10.1038/s41467-024-51024-2</v>
      </c>
      <c r="F217" s="2">
        <v>4</v>
      </c>
    </row>
    <row r="218" spans="4:6" x14ac:dyDescent="0.45">
      <c r="D218" s="2" t="s">
        <v>1194</v>
      </c>
      <c r="E218" s="2" t="str">
        <f>'rio results'!M218</f>
        <v>10.1016/j.jallcom.2024.176341</v>
      </c>
      <c r="F218" s="2">
        <v>4</v>
      </c>
    </row>
    <row r="219" spans="4:6" x14ac:dyDescent="0.45">
      <c r="D219" s="2" t="s">
        <v>822</v>
      </c>
      <c r="E219" s="2" t="str">
        <f>'rio results'!M219</f>
        <v>10.1103/PhysRevResearch.6.033055</v>
      </c>
      <c r="F219" s="2">
        <v>4</v>
      </c>
    </row>
    <row r="220" spans="4:6" x14ac:dyDescent="0.45">
      <c r="D220" s="2" t="s">
        <v>2042</v>
      </c>
      <c r="E220" s="2" t="str">
        <f>'rio results'!M220</f>
        <v>10.1149/1945-7111/ad4c11</v>
      </c>
      <c r="F220" s="2">
        <v>4</v>
      </c>
    </row>
    <row r="221" spans="4:6" x14ac:dyDescent="0.45">
      <c r="D221" s="2" t="s">
        <v>2110</v>
      </c>
      <c r="E221" s="2" t="str">
        <f>'rio results'!M221</f>
        <v>10.1039/d3tc03695b</v>
      </c>
      <c r="F221" s="2">
        <v>4</v>
      </c>
    </row>
    <row r="222" spans="4:6" x14ac:dyDescent="0.45">
      <c r="D222" s="2" t="s">
        <v>2612</v>
      </c>
      <c r="E222" s="2" t="str">
        <f>'rio results'!M222</f>
        <v>10.1002/aisy.202300015</v>
      </c>
      <c r="F222" s="2">
        <v>4</v>
      </c>
    </row>
    <row r="223" spans="4:6" x14ac:dyDescent="0.45">
      <c r="D223" s="2" t="s">
        <v>243</v>
      </c>
      <c r="E223" s="2" t="str">
        <f>'rio results'!M223</f>
        <v>10.1145/3544548.3581024</v>
      </c>
      <c r="F223" s="2">
        <v>4</v>
      </c>
    </row>
    <row r="224" spans="4:6" x14ac:dyDescent="0.45">
      <c r="D224" s="2" t="s">
        <v>992</v>
      </c>
      <c r="E224" s="2" t="str">
        <f>'rio results'!M224</f>
        <v>10.1016/B978-0-08-102795-0.00003-7</v>
      </c>
      <c r="F224" s="2">
        <v>4</v>
      </c>
    </row>
    <row r="225" spans="4:6" x14ac:dyDescent="0.45">
      <c r="D225" s="2" t="s">
        <v>3209</v>
      </c>
      <c r="E225" s="2" t="str">
        <f>'rio results'!M225</f>
        <v>10.1111/rssc.12572</v>
      </c>
      <c r="F225" s="2">
        <v>4</v>
      </c>
    </row>
    <row r="226" spans="4:6" x14ac:dyDescent="0.45">
      <c r="D226" s="2" t="s">
        <v>1007</v>
      </c>
      <c r="E226" s="2" t="str">
        <f>'rio results'!M226</f>
        <v>10.1177/0169796X221107217</v>
      </c>
      <c r="F226" s="2">
        <v>4</v>
      </c>
    </row>
    <row r="227" spans="4:6" x14ac:dyDescent="0.45">
      <c r="D227" s="2" t="s">
        <v>3496</v>
      </c>
      <c r="E227" s="2" t="str">
        <f>'rio results'!M227</f>
        <v>10.1016/j.jmmm.2021.168646</v>
      </c>
      <c r="F227" s="2">
        <v>4</v>
      </c>
    </row>
    <row r="228" spans="4:6" x14ac:dyDescent="0.45">
      <c r="D228" s="2" t="s">
        <v>3731</v>
      </c>
      <c r="E228" s="2" t="str">
        <f>'rio results'!M228</f>
        <v>10.1504/ijpp.2022.127431</v>
      </c>
      <c r="F228" s="2">
        <v>4</v>
      </c>
    </row>
    <row r="229" spans="4:6" x14ac:dyDescent="0.45">
      <c r="D229" s="2" t="s">
        <v>276</v>
      </c>
      <c r="E229" s="2" t="str">
        <f>'rio results'!M229</f>
        <v>10.1098/rsos.210141</v>
      </c>
      <c r="F229" s="2">
        <v>4</v>
      </c>
    </row>
    <row r="230" spans="4:6" x14ac:dyDescent="0.45">
      <c r="D230" s="2" t="s">
        <v>4179</v>
      </c>
      <c r="E230" s="2" t="str">
        <f>'rio results'!M230</f>
        <v>10.1088/1742-6596/1802/3/032035</v>
      </c>
      <c r="F230" s="2">
        <v>4</v>
      </c>
    </row>
    <row r="231" spans="4:6" x14ac:dyDescent="0.45">
      <c r="D231" s="2" t="s">
        <v>4989</v>
      </c>
      <c r="E231" s="2" t="str">
        <f>'rio results'!M231</f>
        <v>10.1109/SAS48726.2020.9220040</v>
      </c>
      <c r="F231" s="2">
        <v>4</v>
      </c>
    </row>
    <row r="232" spans="4:6" x14ac:dyDescent="0.45">
      <c r="D232" s="2" t="s">
        <v>4999</v>
      </c>
      <c r="E232" s="2" t="str">
        <f>'rio results'!M232</f>
        <v>10.1016/j.cbd.2019.100635</v>
      </c>
      <c r="F232" s="2">
        <v>4</v>
      </c>
    </row>
    <row r="233" spans="4:6" x14ac:dyDescent="0.45">
      <c r="D233" s="2" t="s">
        <v>5075</v>
      </c>
      <c r="E233" s="2" t="str">
        <f>'rio results'!M233</f>
        <v>10.1109/ACCESS.2020.3030325</v>
      </c>
      <c r="F233" s="2">
        <v>4</v>
      </c>
    </row>
    <row r="234" spans="4:6" x14ac:dyDescent="0.45">
      <c r="D234" s="2" t="s">
        <v>5121</v>
      </c>
      <c r="E234" s="2" t="str">
        <f>'rio results'!M234</f>
        <v>10.4324/9780429330025-6</v>
      </c>
      <c r="F234" s="2">
        <v>4</v>
      </c>
    </row>
    <row r="235" spans="4:6" x14ac:dyDescent="0.45">
      <c r="D235" s="2" t="s">
        <v>315</v>
      </c>
      <c r="E235" s="2" t="str">
        <f>'rio results'!M235</f>
        <v>10.1021/acsami.4c01045</v>
      </c>
      <c r="F235" s="2">
        <v>3</v>
      </c>
    </row>
    <row r="236" spans="4:6" x14ac:dyDescent="0.45">
      <c r="D236" s="2" t="s">
        <v>1904</v>
      </c>
      <c r="E236" s="2" t="str">
        <f>'rio results'!M236</f>
        <v>10.1021/acsami.3c17745</v>
      </c>
      <c r="F236" s="2">
        <v>3</v>
      </c>
    </row>
    <row r="237" spans="4:6" x14ac:dyDescent="0.45">
      <c r="D237" s="2" t="s">
        <v>1977</v>
      </c>
      <c r="E237" s="2" t="str">
        <f>'rio results'!M237</f>
        <v>10.1137/22M1506985</v>
      </c>
      <c r="F237" s="2">
        <v>3</v>
      </c>
    </row>
    <row r="238" spans="4:6" x14ac:dyDescent="0.45">
      <c r="D238" s="2" t="s">
        <v>2147</v>
      </c>
      <c r="E238" s="2" t="str">
        <f>'rio results'!M238</f>
        <v>10.1016/j.wear.2023.205225</v>
      </c>
      <c r="F238" s="2">
        <v>3</v>
      </c>
    </row>
    <row r="239" spans="4:6" x14ac:dyDescent="0.45">
      <c r="D239" s="2" t="s">
        <v>2160</v>
      </c>
      <c r="E239" s="2" t="str">
        <f>'rio results'!M239</f>
        <v>10.1088/1748-0221/19/02/C02001</v>
      </c>
      <c r="F239" s="2">
        <v>3</v>
      </c>
    </row>
    <row r="240" spans="4:6" x14ac:dyDescent="0.45">
      <c r="D240" s="2" t="s">
        <v>1201</v>
      </c>
      <c r="E240" s="2" t="str">
        <f>'rio results'!M240</f>
        <v>10.1109/SENSORS60989.2024.10784982</v>
      </c>
      <c r="F240" s="2">
        <v>3</v>
      </c>
    </row>
    <row r="241" spans="4:6" x14ac:dyDescent="0.45">
      <c r="D241" s="2" t="s">
        <v>2482</v>
      </c>
      <c r="E241" s="2" t="str">
        <f>'rio results'!M241</f>
        <v>10.1063/5.0175532</v>
      </c>
      <c r="F241" s="2">
        <v>3</v>
      </c>
    </row>
    <row r="242" spans="4:6" x14ac:dyDescent="0.45">
      <c r="D242" s="2" t="s">
        <v>2646</v>
      </c>
      <c r="E242" s="2" t="str">
        <f>'rio results'!M242</f>
        <v>10.1103/PhysRevLett.131.049701</v>
      </c>
      <c r="F242" s="2">
        <v>3</v>
      </c>
    </row>
    <row r="243" spans="4:6" x14ac:dyDescent="0.45">
      <c r="D243" s="2" t="s">
        <v>2729</v>
      </c>
      <c r="E243" s="2" t="str">
        <f>'rio results'!M243</f>
        <v>10.1049/pel2.12463</v>
      </c>
      <c r="F243" s="2">
        <v>3</v>
      </c>
    </row>
    <row r="244" spans="4:6" x14ac:dyDescent="0.45">
      <c r="D244" s="2" t="s">
        <v>346</v>
      </c>
      <c r="E244" s="2" t="str">
        <f>'rio results'!M244</f>
        <v>10.1016/j.jasrep.2022.103800</v>
      </c>
      <c r="F244" s="2">
        <v>3</v>
      </c>
    </row>
    <row r="245" spans="4:6" x14ac:dyDescent="0.45">
      <c r="D245" s="2" t="s">
        <v>2908</v>
      </c>
      <c r="E245" s="2" t="str">
        <f>'rio results'!M245</f>
        <v>10.1109/IFETC57334.2023.10254902</v>
      </c>
      <c r="F245" s="2">
        <v>3</v>
      </c>
    </row>
    <row r="246" spans="4:6" x14ac:dyDescent="0.45">
      <c r="D246" s="2" t="s">
        <v>1058</v>
      </c>
      <c r="E246" s="2" t="str">
        <f>'rio results'!M246</f>
        <v>10.1109/JFLEX.2023.3237991</v>
      </c>
      <c r="F246" s="2">
        <v>3</v>
      </c>
    </row>
    <row r="247" spans="4:6" x14ac:dyDescent="0.45">
      <c r="D247" s="2" t="s">
        <v>3003</v>
      </c>
      <c r="E247" s="2" t="str">
        <f>'rio results'!M247</f>
        <v>10.1007/978-981-19-7720-6</v>
      </c>
      <c r="F247" s="2">
        <v>3</v>
      </c>
    </row>
    <row r="248" spans="4:6" x14ac:dyDescent="0.45">
      <c r="D248" s="2" t="s">
        <v>1155</v>
      </c>
      <c r="E248" s="2" t="str">
        <f>'rio results'!M248</f>
        <v>10.1088/1748-0221/17/11/C11002</v>
      </c>
      <c r="F248" s="2">
        <v>3</v>
      </c>
    </row>
    <row r="249" spans="4:6" x14ac:dyDescent="0.45">
      <c r="D249" s="2" t="s">
        <v>3596</v>
      </c>
      <c r="E249" s="2" t="str">
        <f>'rio results'!M249</f>
        <v>10.1002/solr.202100992</v>
      </c>
      <c r="F249" s="2">
        <v>3</v>
      </c>
    </row>
    <row r="250" spans="4:6" x14ac:dyDescent="0.45">
      <c r="D250" s="2" t="s">
        <v>1079</v>
      </c>
      <c r="E250" s="2" t="str">
        <f>'rio results'!M250</f>
        <v>10.1016/j.ijheatmasstransfer.2021.122098</v>
      </c>
      <c r="F250" s="2">
        <v>3</v>
      </c>
    </row>
    <row r="251" spans="4:6" x14ac:dyDescent="0.45">
      <c r="D251" s="2" t="s">
        <v>4058</v>
      </c>
      <c r="E251" s="2" t="str">
        <f>'rio results'!M251</f>
        <v>10.1039/d1nj00362c</v>
      </c>
      <c r="F251" s="2">
        <v>3</v>
      </c>
    </row>
    <row r="252" spans="4:6" x14ac:dyDescent="0.45">
      <c r="D252" s="2" t="s">
        <v>4389</v>
      </c>
      <c r="E252" s="2" t="str">
        <f>'rio results'!M252</f>
        <v>10.1080/00207543.2020.1735656</v>
      </c>
      <c r="F252" s="2">
        <v>3</v>
      </c>
    </row>
    <row r="253" spans="4:6" x14ac:dyDescent="0.45">
      <c r="D253" s="2" t="s">
        <v>5040</v>
      </c>
      <c r="E253" s="2" t="str">
        <f>'rio results'!M253</f>
        <v>10.1016/j.worlddev.2019.104695</v>
      </c>
      <c r="F253" s="2">
        <v>3</v>
      </c>
    </row>
    <row r="254" spans="4:6" x14ac:dyDescent="0.45">
      <c r="D254" s="2" t="s">
        <v>1133</v>
      </c>
      <c r="E254" s="2" t="str">
        <f>'rio results'!M254</f>
        <v>10.1016/j.actbio.2024.10.029</v>
      </c>
      <c r="F254" s="2">
        <v>2</v>
      </c>
    </row>
    <row r="255" spans="4:6" x14ac:dyDescent="0.45">
      <c r="D255" s="2" t="s">
        <v>1037</v>
      </c>
      <c r="E255" s="2" t="str">
        <f>'rio results'!M255</f>
        <v>10.1016/j.ceramint.2024.02.223</v>
      </c>
      <c r="F255" s="2">
        <v>2</v>
      </c>
    </row>
    <row r="256" spans="4:6" x14ac:dyDescent="0.45">
      <c r="D256" s="2" t="s">
        <v>355</v>
      </c>
      <c r="E256" s="2" t="str">
        <f>'rio results'!M256</f>
        <v>10.1007/s10924-024-03300-x</v>
      </c>
      <c r="F256" s="2">
        <v>2</v>
      </c>
    </row>
    <row r="257" spans="4:6" x14ac:dyDescent="0.45">
      <c r="D257" s="2" t="s">
        <v>339</v>
      </c>
      <c r="E257" s="2" t="str">
        <f>'rio results'!M257</f>
        <v>10.1016/j.enconman.2024.118780</v>
      </c>
      <c r="F257" s="2">
        <v>2</v>
      </c>
    </row>
    <row r="258" spans="4:6" x14ac:dyDescent="0.45">
      <c r="D258" s="2" t="s">
        <v>954</v>
      </c>
      <c r="E258" s="2" t="str">
        <f>'rio results'!M258</f>
        <v>10.1103/PhysRevApplied.22.024058</v>
      </c>
      <c r="F258" s="2">
        <v>2</v>
      </c>
    </row>
    <row r="259" spans="4:6" x14ac:dyDescent="0.45">
      <c r="D259" s="2" t="s">
        <v>1014</v>
      </c>
      <c r="E259" s="2" t="str">
        <f>'rio results'!M259</f>
        <v>10.1103/PhysRevB.109.224421</v>
      </c>
      <c r="F259" s="2">
        <v>2</v>
      </c>
    </row>
    <row r="260" spans="4:6" x14ac:dyDescent="0.45">
      <c r="D260" s="2" t="s">
        <v>2065</v>
      </c>
      <c r="E260" s="2" t="str">
        <f>'rio results'!M260</f>
        <v>10.1177/08853282241240139</v>
      </c>
      <c r="F260" s="2">
        <v>2</v>
      </c>
    </row>
    <row r="261" spans="4:6" x14ac:dyDescent="0.45">
      <c r="D261" s="2" t="s">
        <v>2078</v>
      </c>
      <c r="E261" s="2" t="str">
        <f>'rio results'!M261</f>
        <v>10.1021/acsanm.4c00173</v>
      </c>
      <c r="F261" s="2">
        <v>2</v>
      </c>
    </row>
    <row r="262" spans="4:6" x14ac:dyDescent="0.45">
      <c r="D262" s="2" t="s">
        <v>377</v>
      </c>
      <c r="E262" s="2" t="str">
        <f>'rio results'!M262</f>
        <v>10.1021/acs.chas.3c00072</v>
      </c>
      <c r="F262" s="2">
        <v>2</v>
      </c>
    </row>
    <row r="263" spans="4:6" x14ac:dyDescent="0.45">
      <c r="D263" s="2" t="s">
        <v>362</v>
      </c>
      <c r="E263" s="2" t="str">
        <f>'rio results'!M263</f>
        <v>10.1088/1361-6528/ad0410</v>
      </c>
      <c r="F263" s="2">
        <v>2</v>
      </c>
    </row>
    <row r="264" spans="4:6" x14ac:dyDescent="0.45">
      <c r="D264" s="2" t="s">
        <v>2942</v>
      </c>
      <c r="E264" s="2" t="str">
        <f>'rio results'!M264</f>
        <v>10.34172/ijhpm.2023.6936</v>
      </c>
      <c r="F264" s="2">
        <v>2</v>
      </c>
    </row>
    <row r="265" spans="4:6" x14ac:dyDescent="0.45">
      <c r="D265" s="2" t="s">
        <v>1094</v>
      </c>
      <c r="E265" s="2" t="str">
        <f>'rio results'!M265</f>
        <v>10.1109/MEMS49605.2023.10052235</v>
      </c>
      <c r="F265" s="2">
        <v>2</v>
      </c>
    </row>
    <row r="266" spans="4:6" x14ac:dyDescent="0.45">
      <c r="D266" s="2" t="s">
        <v>3087</v>
      </c>
      <c r="E266" s="2" t="str">
        <f>'rio results'!M266</f>
        <v>10.1109/EMTS57498.2023.10925248</v>
      </c>
      <c r="F266" s="2">
        <v>2</v>
      </c>
    </row>
    <row r="267" spans="4:6" x14ac:dyDescent="0.45">
      <c r="D267" s="2" t="s">
        <v>3418</v>
      </c>
      <c r="E267" s="2" t="str">
        <f>'rio results'!M267</f>
        <v>10.1111/jace.18449</v>
      </c>
      <c r="F267" s="2">
        <v>2</v>
      </c>
    </row>
    <row r="268" spans="4:6" x14ac:dyDescent="0.45">
      <c r="D268" s="2" t="s">
        <v>3713</v>
      </c>
      <c r="E268" s="2">
        <f>'rio results'!M268</f>
        <v>0</v>
      </c>
      <c r="F268" s="2">
        <v>2</v>
      </c>
    </row>
    <row r="269" spans="4:6" x14ac:dyDescent="0.45">
      <c r="D269" s="2" t="s">
        <v>4306</v>
      </c>
      <c r="E269" s="2" t="str">
        <f>'rio results'!M269</f>
        <v>10.1109/NMDC50713.2021.9677489</v>
      </c>
      <c r="F269" s="2">
        <v>2</v>
      </c>
    </row>
    <row r="270" spans="4:6" x14ac:dyDescent="0.45">
      <c r="D270" s="2" t="s">
        <v>4329</v>
      </c>
      <c r="E270" s="2" t="str">
        <f>'rio results'!M270</f>
        <v>10.1109/ECCE47101.2021.9595256</v>
      </c>
      <c r="F270" s="2">
        <v>2</v>
      </c>
    </row>
    <row r="271" spans="4:6" x14ac:dyDescent="0.45">
      <c r="D271" s="2" t="s">
        <v>4618</v>
      </c>
      <c r="E271" s="2" t="str">
        <f>'rio results'!M271</f>
        <v>10.1016/j.indmarman.2020.07.004</v>
      </c>
      <c r="F271" s="2">
        <v>2</v>
      </c>
    </row>
    <row r="272" spans="4:6" x14ac:dyDescent="0.45">
      <c r="D272" s="2" t="s">
        <v>4632</v>
      </c>
      <c r="E272" s="2" t="str">
        <f>'rio results'!M272</f>
        <v>10.1111/glob.12235</v>
      </c>
      <c r="F272" s="2">
        <v>2</v>
      </c>
    </row>
    <row r="273" spans="4:6" x14ac:dyDescent="0.45">
      <c r="D273" s="2" t="s">
        <v>5083</v>
      </c>
      <c r="E273" s="2" t="str">
        <f>'rio results'!M273</f>
        <v>10.1115/GT2020-14960</v>
      </c>
      <c r="F273" s="2">
        <v>2</v>
      </c>
    </row>
    <row r="274" spans="4:6" x14ac:dyDescent="0.45">
      <c r="D274" s="2" t="s">
        <v>1746</v>
      </c>
      <c r="E274" s="2" t="str">
        <f>'rio results'!M274</f>
        <v>10.1145/3686169.3686206</v>
      </c>
      <c r="F274" s="2">
        <v>1</v>
      </c>
    </row>
    <row r="275" spans="4:6" x14ac:dyDescent="0.45">
      <c r="D275" s="2" t="s">
        <v>1162</v>
      </c>
      <c r="E275" s="2" t="str">
        <f>'rio results'!M275</f>
        <v>10.1145/3670947.3670960</v>
      </c>
      <c r="F275" s="2">
        <v>1</v>
      </c>
    </row>
    <row r="276" spans="4:6" x14ac:dyDescent="0.45">
      <c r="D276" s="2" t="s">
        <v>1837</v>
      </c>
      <c r="E276" s="2" t="str">
        <f>'rio results'!M276</f>
        <v>10.1103/PhysRevB.110.064401</v>
      </c>
      <c r="F276" s="2">
        <v>1</v>
      </c>
    </row>
    <row r="277" spans="4:6" x14ac:dyDescent="0.45">
      <c r="D277" s="2" t="s">
        <v>1939</v>
      </c>
      <c r="E277" s="2" t="str">
        <f>'rio results'!M277</f>
        <v>10.1097/JPO.0000000000000512</v>
      </c>
      <c r="F277" s="2">
        <v>1</v>
      </c>
    </row>
    <row r="278" spans="4:6" x14ac:dyDescent="0.45">
      <c r="D278" s="2" t="s">
        <v>1954</v>
      </c>
      <c r="E278" s="2">
        <f>'rio results'!M278</f>
        <v>0</v>
      </c>
      <c r="F278" s="2">
        <v>1</v>
      </c>
    </row>
    <row r="279" spans="4:6" x14ac:dyDescent="0.45">
      <c r="D279" s="2" t="s">
        <v>2124</v>
      </c>
      <c r="E279" s="2" t="str">
        <f>'rio results'!M279</f>
        <v>10.3138/cpp.2022-079</v>
      </c>
      <c r="F279" s="2">
        <v>1</v>
      </c>
    </row>
    <row r="280" spans="4:6" x14ac:dyDescent="0.45">
      <c r="D280" s="2" t="s">
        <v>2256</v>
      </c>
      <c r="E280" s="2" t="str">
        <f>'rio results'!M280</f>
        <v>10.1115/DETC2024-142944</v>
      </c>
      <c r="F280" s="2">
        <v>1</v>
      </c>
    </row>
    <row r="281" spans="4:6" x14ac:dyDescent="0.45">
      <c r="D281" s="2" t="s">
        <v>1354</v>
      </c>
      <c r="E281" s="2" t="str">
        <f>'rio results'!M281</f>
        <v>10.1117/12.3003437</v>
      </c>
      <c r="F281" s="2">
        <v>1</v>
      </c>
    </row>
    <row r="282" spans="4:6" x14ac:dyDescent="0.45">
      <c r="D282" s="2" t="s">
        <v>220</v>
      </c>
      <c r="E282" s="2" t="str">
        <f>'rio results'!M282</f>
        <v>10.1139/cjc-2023-0232</v>
      </c>
      <c r="F282" s="2">
        <v>1</v>
      </c>
    </row>
    <row r="283" spans="4:6" x14ac:dyDescent="0.45">
      <c r="D283" s="2" t="s">
        <v>1236</v>
      </c>
      <c r="E283" s="2" t="str">
        <f>'rio results'!M283</f>
        <v>10.1117/12.3003941</v>
      </c>
      <c r="F283" s="2">
        <v>1</v>
      </c>
    </row>
    <row r="284" spans="4:6" x14ac:dyDescent="0.45">
      <c r="D284" s="2" t="s">
        <v>2471</v>
      </c>
      <c r="E284" s="2" t="str">
        <f>'rio results'!M284</f>
        <v>10.1007/s42417-022-00791-7</v>
      </c>
      <c r="F284" s="2">
        <v>1</v>
      </c>
    </row>
    <row r="285" spans="4:6" x14ac:dyDescent="0.45">
      <c r="D285" s="2" t="s">
        <v>2636</v>
      </c>
      <c r="E285" s="2" t="str">
        <f>'rio results'!M285</f>
        <v>10.1016/j.nimb.2023.05.012</v>
      </c>
      <c r="F285" s="2">
        <v>1</v>
      </c>
    </row>
    <row r="286" spans="4:6" x14ac:dyDescent="0.45">
      <c r="D286" s="2" t="s">
        <v>806</v>
      </c>
      <c r="E286" s="2" t="str">
        <f>'rio results'!M286</f>
        <v>10.1016/j.supflu.2023.105939</v>
      </c>
      <c r="F286" s="2">
        <v>1</v>
      </c>
    </row>
    <row r="287" spans="4:6" x14ac:dyDescent="0.45">
      <c r="D287" s="2" t="s">
        <v>291</v>
      </c>
      <c r="E287" s="2" t="str">
        <f>'rio results'!M287</f>
        <v>10.1109/FLEPS57599.2023.10220223</v>
      </c>
      <c r="F287" s="2">
        <v>1</v>
      </c>
    </row>
    <row r="288" spans="4:6" x14ac:dyDescent="0.45">
      <c r="D288" s="2" t="s">
        <v>869</v>
      </c>
      <c r="E288" s="2" t="str">
        <f>'rio results'!M288</f>
        <v>10.3389/frai.2023.1137961</v>
      </c>
      <c r="F288" s="2">
        <v>1</v>
      </c>
    </row>
    <row r="289" spans="4:6" x14ac:dyDescent="0.45">
      <c r="D289" s="2" t="s">
        <v>3012</v>
      </c>
      <c r="E289" s="2" t="str">
        <f>'rio results'!M289</f>
        <v>10.1007/978-981-99-0321-4_11</v>
      </c>
      <c r="F289" s="2">
        <v>1</v>
      </c>
    </row>
    <row r="290" spans="4:6" x14ac:dyDescent="0.45">
      <c r="D290" s="2" t="s">
        <v>3293</v>
      </c>
      <c r="E290" s="2" t="str">
        <f>'rio results'!M290</f>
        <v>10.1177/0169796X221107954</v>
      </c>
      <c r="F290" s="2">
        <v>1</v>
      </c>
    </row>
    <row r="291" spans="4:6" x14ac:dyDescent="0.45">
      <c r="D291" s="2" t="s">
        <v>3571</v>
      </c>
      <c r="E291" s="2" t="str">
        <f>'rio results'!M291</f>
        <v>10.1109/LSENS.2022.3146353</v>
      </c>
      <c r="F291" s="2">
        <v>1</v>
      </c>
    </row>
    <row r="292" spans="4:6" x14ac:dyDescent="0.45">
      <c r="D292" s="2" t="s">
        <v>3701</v>
      </c>
      <c r="E292" s="2">
        <f>'rio results'!M292</f>
        <v>0</v>
      </c>
      <c r="F292" s="2">
        <v>1</v>
      </c>
    </row>
    <row r="293" spans="4:6" x14ac:dyDescent="0.45">
      <c r="D293" s="2" t="s">
        <v>3741</v>
      </c>
      <c r="E293" s="2" t="str">
        <f>'rio results'!M293</f>
        <v>10.1115/DETC2022-89300</v>
      </c>
      <c r="F293" s="2">
        <v>1</v>
      </c>
    </row>
    <row r="294" spans="4:6" x14ac:dyDescent="0.45">
      <c r="D294" s="2" t="s">
        <v>1021</v>
      </c>
      <c r="E294" s="2" t="str">
        <f>'rio results'!M294</f>
        <v>10.1109/EDTM53872.2022.9797966</v>
      </c>
      <c r="F294" s="2">
        <v>1</v>
      </c>
    </row>
    <row r="295" spans="4:6" x14ac:dyDescent="0.45">
      <c r="D295" s="2" t="s">
        <v>3779</v>
      </c>
      <c r="E295" s="2" t="str">
        <f>'rio results'!M295</f>
        <v>10.52975/llt.2021v88.0005</v>
      </c>
      <c r="F295" s="2">
        <v>1</v>
      </c>
    </row>
    <row r="296" spans="4:6" x14ac:dyDescent="0.45">
      <c r="D296" s="2" t="s">
        <v>3790</v>
      </c>
      <c r="E296" s="2" t="str">
        <f>'rio results'!M296</f>
        <v>10.1016/j.jasrep.2021.103233</v>
      </c>
      <c r="F296" s="2">
        <v>1</v>
      </c>
    </row>
    <row r="297" spans="4:6" x14ac:dyDescent="0.45">
      <c r="D297" s="2" t="s">
        <v>4036</v>
      </c>
      <c r="E297" s="2" t="str">
        <f>'rio results'!M297</f>
        <v>10.1002/adem.202100048</v>
      </c>
      <c r="F297" s="2">
        <v>1</v>
      </c>
    </row>
    <row r="298" spans="4:6" x14ac:dyDescent="0.45">
      <c r="D298" s="2" t="s">
        <v>4403</v>
      </c>
      <c r="E298" s="2" t="str">
        <f>'rio results'!M298</f>
        <v>10.1017/9781316671603.018</v>
      </c>
      <c r="F298" s="2">
        <v>1</v>
      </c>
    </row>
    <row r="299" spans="4:6" x14ac:dyDescent="0.45">
      <c r="D299" s="2" t="s">
        <v>4654</v>
      </c>
      <c r="E299" s="2" t="str">
        <f>'rio results'!M299</f>
        <v>10.1097/CXA.0000000000000088</v>
      </c>
      <c r="F299" s="2">
        <v>1</v>
      </c>
    </row>
    <row r="300" spans="4:6" x14ac:dyDescent="0.45">
      <c r="D300" s="2" t="s">
        <v>1544</v>
      </c>
      <c r="E300" s="2" t="str">
        <f>'rio results'!M300</f>
        <v>10.1088/2058-8585/ad7e36</v>
      </c>
      <c r="F300" s="2">
        <v>0</v>
      </c>
    </row>
    <row r="301" spans="4:6" x14ac:dyDescent="0.45">
      <c r="D301" s="2" t="s">
        <v>1684</v>
      </c>
      <c r="E301" s="2" t="str">
        <f>'rio results'!M301</f>
        <v>10.1088/1361-6420/ad7c78</v>
      </c>
      <c r="F301" s="2">
        <v>0</v>
      </c>
    </row>
    <row r="302" spans="4:6" x14ac:dyDescent="0.45">
      <c r="D302" s="2" t="s">
        <v>711</v>
      </c>
      <c r="E302" s="2" t="str">
        <f>'rio results'!M302</f>
        <v>10.1016/j.renene.2024.121338</v>
      </c>
      <c r="F302" s="2">
        <v>0</v>
      </c>
    </row>
    <row r="303" spans="4:6" x14ac:dyDescent="0.45">
      <c r="D303" s="2" t="s">
        <v>1275</v>
      </c>
      <c r="E303" s="2" t="str">
        <f>'rio results'!M303</f>
        <v>10.1016/j.energy.2024.132617</v>
      </c>
      <c r="F303" s="2">
        <v>0</v>
      </c>
    </row>
    <row r="304" spans="4:6" x14ac:dyDescent="0.45">
      <c r="D304" s="2" t="s">
        <v>1731</v>
      </c>
      <c r="E304" s="2" t="str">
        <f>'rio results'!M304</f>
        <v>10.1145/3686169.3686208</v>
      </c>
      <c r="F304" s="2">
        <v>0</v>
      </c>
    </row>
    <row r="305" spans="4:6" x14ac:dyDescent="0.45">
      <c r="D305" s="2" t="s">
        <v>1308</v>
      </c>
      <c r="E305" s="2" t="str">
        <f>'rio results'!M305</f>
        <v>10.1103/PhysRevB.110.104429</v>
      </c>
      <c r="F305" s="2">
        <v>0</v>
      </c>
    </row>
    <row r="306" spans="4:6" x14ac:dyDescent="0.45">
      <c r="D306" s="2" t="s">
        <v>2012</v>
      </c>
      <c r="E306" s="2" t="str">
        <f>'rio results'!M306</f>
        <v>10.1145/3613904.3642304</v>
      </c>
      <c r="F306" s="2">
        <v>0</v>
      </c>
    </row>
    <row r="307" spans="4:6" x14ac:dyDescent="0.45">
      <c r="D307" s="2" t="s">
        <v>2024</v>
      </c>
      <c r="E307" s="2" t="str">
        <f>'rio results'!M307</f>
        <v>10.1145/3613904.3642356</v>
      </c>
      <c r="F307" s="2">
        <v>0</v>
      </c>
    </row>
    <row r="308" spans="4:6" x14ac:dyDescent="0.45">
      <c r="D308" s="2" t="s">
        <v>2032</v>
      </c>
      <c r="E308" s="2" t="str">
        <f>'rio results'!M308</f>
        <v>10.1039/d4en00064a</v>
      </c>
      <c r="F308" s="2">
        <v>0</v>
      </c>
    </row>
    <row r="309" spans="4:6" x14ac:dyDescent="0.45">
      <c r="D309" s="2" t="s">
        <v>2233</v>
      </c>
      <c r="E309" s="2" t="str">
        <f>'rio results'!M309</f>
        <v>10.1109/JFLEX.2024.3426128</v>
      </c>
      <c r="F309" s="2">
        <v>0</v>
      </c>
    </row>
    <row r="310" spans="4:6" x14ac:dyDescent="0.45">
      <c r="D310" s="2" t="s">
        <v>1405</v>
      </c>
      <c r="E310" s="2" t="str">
        <f>'rio results'!M310</f>
        <v>10.1109/JFLEX.2024.3408001</v>
      </c>
      <c r="F310" s="2">
        <v>0</v>
      </c>
    </row>
    <row r="311" spans="4:6" x14ac:dyDescent="0.45">
      <c r="D311" s="2" t="s">
        <v>2270</v>
      </c>
      <c r="E311" s="2" t="str">
        <f>'rio results'!M311</f>
        <v>10.4324/9781003576846-7</v>
      </c>
      <c r="F311" s="2">
        <v>0</v>
      </c>
    </row>
    <row r="312" spans="4:6" x14ac:dyDescent="0.45">
      <c r="D312" s="2" t="s">
        <v>2283</v>
      </c>
      <c r="E312" s="2" t="str">
        <f>'rio results'!M312</f>
        <v>10.1115/GT2024-125961</v>
      </c>
      <c r="F312" s="2">
        <v>0</v>
      </c>
    </row>
    <row r="313" spans="4:6" x14ac:dyDescent="0.45">
      <c r="D313" s="2" t="s">
        <v>2741</v>
      </c>
      <c r="E313" s="2" t="str">
        <f>'rio results'!M313</f>
        <v>10.1146/annurev-physchem-101422-030127</v>
      </c>
      <c r="F313" s="2">
        <v>0</v>
      </c>
    </row>
    <row r="314" spans="4:6" x14ac:dyDescent="0.45">
      <c r="D314" s="2" t="s">
        <v>2892</v>
      </c>
      <c r="E314" s="2" t="str">
        <f>'rio results'!M314</f>
        <v>10.1115/DETC2023-114997</v>
      </c>
      <c r="F314" s="2">
        <v>0</v>
      </c>
    </row>
    <row r="315" spans="4:6" x14ac:dyDescent="0.45">
      <c r="D315" s="2" t="s">
        <v>2899</v>
      </c>
      <c r="E315" s="2" t="str">
        <f>'rio results'!M315</f>
        <v>10.1115/DETC2023-114987</v>
      </c>
      <c r="F315" s="2">
        <v>0</v>
      </c>
    </row>
    <row r="316" spans="4:6" x14ac:dyDescent="0.45">
      <c r="D316" s="2" t="s">
        <v>445</v>
      </c>
      <c r="E316" s="2" t="str">
        <f>'rio results'!M316</f>
        <v>10.1109/FLEPS57599.2023.10220417</v>
      </c>
      <c r="F316" s="2">
        <v>0</v>
      </c>
    </row>
    <row r="317" spans="4:6" x14ac:dyDescent="0.45">
      <c r="D317" s="2" t="s">
        <v>2955</v>
      </c>
      <c r="E317" s="2" t="str">
        <f>'rio results'!M317</f>
        <v>10.1201/9781003429746-6</v>
      </c>
      <c r="F317" s="2">
        <v>0</v>
      </c>
    </row>
    <row r="318" spans="4:6" x14ac:dyDescent="0.45">
      <c r="D318" s="2" t="s">
        <v>2989</v>
      </c>
      <c r="E318" s="2" t="str">
        <f>'rio results'!M318</f>
        <v>10.1007/978-1-0716-3323-6_2</v>
      </c>
      <c r="F318" s="2">
        <v>0</v>
      </c>
    </row>
    <row r="319" spans="4:6" x14ac:dyDescent="0.45">
      <c r="D319" s="2" t="s">
        <v>3098</v>
      </c>
      <c r="E319" s="2" t="str">
        <f>'rio results'!M319</f>
        <v>10.1109/EMTS57498.2023.10925226</v>
      </c>
      <c r="F319" s="2">
        <v>0</v>
      </c>
    </row>
    <row r="320" spans="4:6" x14ac:dyDescent="0.45">
      <c r="D320" s="2" t="s">
        <v>3106</v>
      </c>
      <c r="E320" s="2" t="str">
        <f>'rio results'!M320</f>
        <v>10.1109/EMTS57498.2023.10925301</v>
      </c>
      <c r="F320" s="2">
        <v>0</v>
      </c>
    </row>
    <row r="321" spans="4:6" x14ac:dyDescent="0.45">
      <c r="D321" s="2" t="s">
        <v>3221</v>
      </c>
      <c r="E321" s="2" t="str">
        <f>'rio results'!M321</f>
        <v>10.1016/j.matlet.2022.132861</v>
      </c>
      <c r="F321" s="2">
        <v>0</v>
      </c>
    </row>
    <row r="322" spans="4:6" x14ac:dyDescent="0.45">
      <c r="D322" s="2" t="s">
        <v>3361</v>
      </c>
      <c r="E322" s="2" t="str">
        <f>'rio results'!M322</f>
        <v>10.1016/j.mtcomm.2022.103897</v>
      </c>
      <c r="F322" s="2">
        <v>0</v>
      </c>
    </row>
    <row r="323" spans="4:6" x14ac:dyDescent="0.45">
      <c r="D323" s="2" t="s">
        <v>3456</v>
      </c>
      <c r="E323" s="2" t="str">
        <f>'rio results'!M323</f>
        <v>10.1016/j.enconman.2022.115573</v>
      </c>
      <c r="F323" s="2">
        <v>0</v>
      </c>
    </row>
    <row r="324" spans="4:6" x14ac:dyDescent="0.45">
      <c r="D324" s="2" t="s">
        <v>3688</v>
      </c>
      <c r="E324" s="2">
        <f>'rio results'!M324</f>
        <v>0</v>
      </c>
      <c r="F324" s="2">
        <v>0</v>
      </c>
    </row>
    <row r="325" spans="4:6" x14ac:dyDescent="0.45">
      <c r="D325" s="2" t="s">
        <v>3722</v>
      </c>
      <c r="E325" s="2" t="str">
        <f>'rio results'!M325</f>
        <v>10.1115/IPACK2022-98077</v>
      </c>
      <c r="F325" s="2">
        <v>0</v>
      </c>
    </row>
    <row r="326" spans="4:6" x14ac:dyDescent="0.45">
      <c r="D326" s="2" t="s">
        <v>3746</v>
      </c>
      <c r="E326" s="2" t="str">
        <f>'rio results'!M326</f>
        <v>10.1115/DETC2022-89511</v>
      </c>
      <c r="F326" s="2">
        <v>0</v>
      </c>
    </row>
    <row r="327" spans="4:6" x14ac:dyDescent="0.45">
      <c r="D327" s="2" t="s">
        <v>4104</v>
      </c>
      <c r="E327" s="2" t="str">
        <f>'rio results'!M327</f>
        <v>10.1109/PVSC43889.2021.9518957</v>
      </c>
      <c r="F327" s="2">
        <v>0</v>
      </c>
    </row>
    <row r="328" spans="4:6" x14ac:dyDescent="0.45">
      <c r="D328" s="2" t="s">
        <v>1347</v>
      </c>
      <c r="E328" s="2" t="str">
        <f>'rio results'!M328</f>
        <v>10.1016/B978-0-12-823708-3.00005-5</v>
      </c>
      <c r="F328" s="2">
        <v>0</v>
      </c>
    </row>
    <row r="329" spans="4:6" x14ac:dyDescent="0.45">
      <c r="D329" s="2" t="s">
        <v>1301</v>
      </c>
      <c r="E329" s="2" t="str">
        <f>'rio results'!M329</f>
        <v>10.1109/NMDC50713.2021.9677477</v>
      </c>
      <c r="F329" s="2">
        <v>0</v>
      </c>
    </row>
    <row r="330" spans="4:6" x14ac:dyDescent="0.45">
      <c r="D330" s="2" t="s">
        <v>5132</v>
      </c>
      <c r="E330" s="2" t="str">
        <f>'rio results'!M330</f>
        <v>10.1090/conm/746/15000</v>
      </c>
      <c r="F330" s="2">
        <v>0</v>
      </c>
    </row>
  </sheetData>
  <conditionalFormatting sqref="B2:B200">
    <cfRule type="expression" dxfId="1" priority="2">
      <formula>COUNTIF($E:$E, B2)=0</formula>
    </cfRule>
  </conditionalFormatting>
  <conditionalFormatting sqref="E2:E330">
    <cfRule type="expression" dxfId="0" priority="1">
      <formula>COUNTIF($B:$B, E2)=0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query2</vt:lpstr>
      <vt:lpstr>rio results</vt:lpstr>
      <vt:lpstr>comparison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Tania Pocrnjic</cp:lastModifiedBy>
  <dcterms:created xsi:type="dcterms:W3CDTF">2026-02-26T08:03:09Z</dcterms:created>
  <dcterms:modified xsi:type="dcterms:W3CDTF">2026-02-26T18:28:46Z</dcterms:modified>
</cp:coreProperties>
</file>